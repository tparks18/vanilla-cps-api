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4"/>
    <sheet state="visible" name="Copy of All Data" sheetId="2" r:id="rId5"/>
    <sheet state="visible" name="Network Chiefs" sheetId="3" r:id="rId6"/>
    <sheet state="visible" name="Sheet9" sheetId="4" r:id="rId7"/>
    <sheet state="visible" name="School Rep" sheetId="5" r:id="rId8"/>
    <sheet state="visible" name="Sheet1" sheetId="6" r:id="rId9"/>
    <sheet state="visible" name="Sheet6" sheetId="7" r:id="rId10"/>
  </sheets>
  <definedNames/>
  <calcPr/>
</workbook>
</file>

<file path=xl/sharedStrings.xml><?xml version="1.0" encoding="utf-8"?>
<sst xmlns="http://schemas.openxmlformats.org/spreadsheetml/2006/main" count="16880" uniqueCount="3319">
  <si>
    <t>School ID</t>
  </si>
  <si>
    <t>School Name</t>
  </si>
  <si>
    <t>School Long Name</t>
  </si>
  <si>
    <t>Transfer Rate</t>
  </si>
  <si>
    <t>Governance</t>
  </si>
  <si>
    <t>Network</t>
  </si>
  <si>
    <t>Network Chief</t>
  </si>
  <si>
    <t>Effective Leaders Score</t>
  </si>
  <si>
    <t>Effective Leaders Rating</t>
  </si>
  <si>
    <t>ESB Subdist</t>
  </si>
  <si>
    <t>ESB Dist</t>
  </si>
  <si>
    <t>CBOE Representative</t>
  </si>
  <si>
    <t>Opportunity Index</t>
  </si>
  <si>
    <t>Full Address</t>
  </si>
  <si>
    <t>Partial Address</t>
  </si>
  <si>
    <t>Ward</t>
  </si>
  <si>
    <t>Alderman</t>
  </si>
  <si>
    <t>ACERO - BRIGHTON PARK</t>
  </si>
  <si>
    <t>Acero Charter Schools - Brighton Park</t>
  </si>
  <si>
    <t>Charter</t>
  </si>
  <si>
    <t>Neutral</t>
  </si>
  <si>
    <t>7b</t>
  </si>
  <si>
    <t>4420 S Fairfield Ave | Chicago, IL 60632</t>
  </si>
  <si>
    <t>Ramirez, Julia M.</t>
  </si>
  <si>
    <t>ACERO - CISNEROS</t>
  </si>
  <si>
    <t>Acero Charter Schools - Sandra Cisneros</t>
  </si>
  <si>
    <t>8b</t>
  </si>
  <si>
    <t>2744 W Pershing Rd | Chicago, IL 60632</t>
  </si>
  <si>
    <t>ACERO - CLEMENTE</t>
  </si>
  <si>
    <t>Acero Charter Schools - Roberto Clemente</t>
  </si>
  <si>
    <t>Very Weak</t>
  </si>
  <si>
    <t>5a</t>
  </si>
  <si>
    <t>2050 N Natchez Ave | Chicago, IL 60707</t>
  </si>
  <si>
    <t>Taliaferro, Chris</t>
  </si>
  <si>
    <t>ACERO - DE LA CRUZ</t>
  </si>
  <si>
    <t>Acero Charter Schools - Sor Juana Inés de la Cruz</t>
  </si>
  <si>
    <t>2a</t>
  </si>
  <si>
    <t>7416 N Ridge Ave | Chicago, IL 60645</t>
  </si>
  <si>
    <t>Hadden, Maria E.</t>
  </si>
  <si>
    <t>ACERO - DE LAS CASAS</t>
  </si>
  <si>
    <t>Acero Charter Schools - Bartolomé de las Casas</t>
  </si>
  <si>
    <t>Weak</t>
  </si>
  <si>
    <t>7a</t>
  </si>
  <si>
    <t>1641 W 16th St | Chicago, IL 60608</t>
  </si>
  <si>
    <t>Sigcho-Lopez, Byron</t>
  </si>
  <si>
    <t>ACERO - FUENTES</t>
  </si>
  <si>
    <t>Acero Charter Schools - Carlos Fuentes</t>
  </si>
  <si>
    <t>3a</t>
  </si>
  <si>
    <t>2845 W Barry Ave | Chicago, IL 60618</t>
  </si>
  <si>
    <t>Ramirez-Rosa, Carlos</t>
  </si>
  <si>
    <t>ACERO - GARCIA HS</t>
  </si>
  <si>
    <t>Acero Charter Schools - Major Hector P. Garcia MD</t>
  </si>
  <si>
    <t>Strong</t>
  </si>
  <si>
    <t>4248 W 47th St | Chicago, IL 60632</t>
  </si>
  <si>
    <t>Gutierrez, Jeylu B.</t>
  </si>
  <si>
    <t>ACERO - IDAR</t>
  </si>
  <si>
    <t>Acero Charter Schools - Jovita Idar</t>
  </si>
  <si>
    <t>5050 S Homan Ave | Chicago, IL 60632</t>
  </si>
  <si>
    <t>ACERO - MARQUEZ</t>
  </si>
  <si>
    <t>Acero Charter Schools - Officer Donald J. Marquez</t>
  </si>
  <si>
    <t>2916 W 47th St | Chicago, IL 60632</t>
  </si>
  <si>
    <t>ACERO - PAZ</t>
  </si>
  <si>
    <t>Acero Charter Schools - Octavio Paz Campus</t>
  </si>
  <si>
    <t>2651 W 23rd St | Chicago, IL 60608</t>
  </si>
  <si>
    <t>ACERO - SANTIAGO</t>
  </si>
  <si>
    <t>Acero Charter Schools - Esmeralda Santiago</t>
  </si>
  <si>
    <t>2510 W Cortez St | Chicago, IL 60622</t>
  </si>
  <si>
    <t>Villegas, Gilbert</t>
  </si>
  <si>
    <t>ACERO - SOTO HS</t>
  </si>
  <si>
    <t>Acero Charter Schools - Victoria Soto</t>
  </si>
  <si>
    <t>5025 S St. Louis Ave | Chicago, IL 60632</t>
  </si>
  <si>
    <t>ACERO - TAMAYO</t>
  </si>
  <si>
    <t>Acero Charter Schools - Rufino Tamayo</t>
  </si>
  <si>
    <t>5135 S California Ave | Chicago, IL 60632</t>
  </si>
  <si>
    <t>ACERO - TORRES</t>
  </si>
  <si>
    <t>Acero Charter Schools - PFC Omar E. Torres</t>
  </si>
  <si>
    <t>ACERO - ZIZUMBO</t>
  </si>
  <si>
    <t>Acero Charter Schools - SPC Daniel Zizumbo</t>
  </si>
  <si>
    <t>ADDAMS</t>
  </si>
  <si>
    <t>Jane Addams Elementary School</t>
  </si>
  <si>
    <t>District</t>
  </si>
  <si>
    <t>Network 13</t>
  </si>
  <si>
    <t>10b</t>
  </si>
  <si>
    <t>10810 S Avenue H | Chicago, IL 60617</t>
  </si>
  <si>
    <t>Chico, Peter</t>
  </si>
  <si>
    <t>AHS - PASSAGES</t>
  </si>
  <si>
    <t>Asian Human Services - Passages Charter School</t>
  </si>
  <si>
    <t>2b</t>
  </si>
  <si>
    <t>1643 W Bryn Mawr Ave | Chicago, IL 60660</t>
  </si>
  <si>
    <t>Vasquez, Jr., Andre</t>
  </si>
  <si>
    <t>AIR FORCE HS</t>
  </si>
  <si>
    <t>Air Force Academy High School</t>
  </si>
  <si>
    <t>Network 16</t>
  </si>
  <si>
    <t>3630 S Wells St | Chicago, IL 60609</t>
  </si>
  <si>
    <t>Lee, Nicole T.</t>
  </si>
  <si>
    <t>ALBANY PARK</t>
  </si>
  <si>
    <t>Albany Park Multicultural Academy</t>
  </si>
  <si>
    <t>Network 1</t>
  </si>
  <si>
    <t>4929 N Sawyer Ave | Chicago, IL 60625</t>
  </si>
  <si>
    <t>Rodriguez Sanchez, Rossana</t>
  </si>
  <si>
    <t>ALCOTT ES</t>
  </si>
  <si>
    <t>Louisa May Alcott College Preparatory ES</t>
  </si>
  <si>
    <t>Network 4</t>
  </si>
  <si>
    <t>4b</t>
  </si>
  <si>
    <t>2625 N Orchard St | Chicago, IL 60614</t>
  </si>
  <si>
    <t>Knudsen, Timothy R.</t>
  </si>
  <si>
    <t>ALCOTT HS</t>
  </si>
  <si>
    <t>Louisa May Alcott College Preparatory HS</t>
  </si>
  <si>
    <t>Network 15</t>
  </si>
  <si>
    <t>2957 N Hoyne Ave | Chicago, IL 60618</t>
  </si>
  <si>
    <t>Waguespack, Scott</t>
  </si>
  <si>
    <t>ALDRIDGE</t>
  </si>
  <si>
    <t>Ira F Aldridge Elementary School</t>
  </si>
  <si>
    <t>630 E 131st St | Chicago, IL 60827</t>
  </si>
  <si>
    <t>AMUNDSEN HS</t>
  </si>
  <si>
    <t>Roald Amundsen High School</t>
  </si>
  <si>
    <t>Network 14</t>
  </si>
  <si>
    <t>5110 N Damen Ave | Chicago, IL 60625</t>
  </si>
  <si>
    <t>ARIEL</t>
  </si>
  <si>
    <t>Ariel Elementary Community Academy</t>
  </si>
  <si>
    <t>Network 9</t>
  </si>
  <si>
    <t>10a</t>
  </si>
  <si>
    <t>1119 E 46th St | Chicago, IL 60653</t>
  </si>
  <si>
    <t>Robinson, Lamont J.</t>
  </si>
  <si>
    <t>ARMOUR</t>
  </si>
  <si>
    <t>Phillip D Armour Elementary School</t>
  </si>
  <si>
    <t>ISP</t>
  </si>
  <si>
    <t>950 W 33rd Pl | Chicago, IL 60608</t>
  </si>
  <si>
    <t>ARMSTRONG G</t>
  </si>
  <si>
    <t>George Armstrong International Studies ES</t>
  </si>
  <si>
    <t>2110 W Greenleaf Ave | Chicago, IL 60645</t>
  </si>
  <si>
    <t>Silverstein, Debra L.</t>
  </si>
  <si>
    <t>ART IN MOTION</t>
  </si>
  <si>
    <t>Art in Motion Charter School</t>
  </si>
  <si>
    <t>7415 S East End | Chicago, IL 60649</t>
  </si>
  <si>
    <t>Harris, Michelle A.</t>
  </si>
  <si>
    <t>ASHBURN</t>
  </si>
  <si>
    <t>Ashburn Community Elementary School</t>
  </si>
  <si>
    <t>Network 10</t>
  </si>
  <si>
    <t>8a</t>
  </si>
  <si>
    <t>8300 S St Louis Ave | Chicago, IL 60652</t>
  </si>
  <si>
    <t>Curtis, Derrick G.</t>
  </si>
  <si>
    <t>ASHE</t>
  </si>
  <si>
    <t>Arthur R Ashe Elementary School</t>
  </si>
  <si>
    <t>Network 12</t>
  </si>
  <si>
    <t>8505 S Ingleside Ave | Chicago, IL 60619</t>
  </si>
  <si>
    <t>ASPIRA - BUSINESS &amp; FINANCE HS</t>
  </si>
  <si>
    <t>ASPIRA Business and Finance</t>
  </si>
  <si>
    <t>2989 N Milwaukee Ave | Chicago, IL 60618</t>
  </si>
  <si>
    <t>ASPIRA - EARLY COLLEGE HS</t>
  </si>
  <si>
    <t>ASPIRA Charter School - Early College High School</t>
  </si>
  <si>
    <t>3986 W Barry Ave | Chicago, IL 60618</t>
  </si>
  <si>
    <t>Cardona, Jr., Felix</t>
  </si>
  <si>
    <t>ASPIRA - HAUGAN</t>
  </si>
  <si>
    <t>ASPIRA Charter School - Haugan Middle School</t>
  </si>
  <si>
    <t>3729 W Leland Ave | Chicago, IL 60625</t>
  </si>
  <si>
    <t>AUDUBON</t>
  </si>
  <si>
    <t>Audubon Elementary School</t>
  </si>
  <si>
    <t>3500 N Hoyne Ave | Chicago, IL 60618</t>
  </si>
  <si>
    <t>AUSTIN CCA HS</t>
  </si>
  <si>
    <t>Austin College and Career Academy High School</t>
  </si>
  <si>
    <t>231 N Pine Ave | Chicago, IL 60644</t>
  </si>
  <si>
    <t>Mitts, Emma</t>
  </si>
  <si>
    <t>AVALON PARK</t>
  </si>
  <si>
    <t>Avalon Park Elementary School</t>
  </si>
  <si>
    <t>8045 S Kenwood Ave | Chicago, IL 60619</t>
  </si>
  <si>
    <t>AVONDALE-LOGANDALE</t>
  </si>
  <si>
    <t>Avondale-Logandale Elementary School</t>
  </si>
  <si>
    <t>3212 W George St | Chicago, IL 60618</t>
  </si>
  <si>
    <t>AZUELA</t>
  </si>
  <si>
    <t>Mariano Azuela Elementary School</t>
  </si>
  <si>
    <t>4707 W Marquette Rd | Chicago, IL 60629</t>
  </si>
  <si>
    <t>Tabares, Silvana</t>
  </si>
  <si>
    <t>BACK OF THE YARDS HS</t>
  </si>
  <si>
    <t>Back of the Yards IB High School</t>
  </si>
  <si>
    <t>2111 W 47th St | Chicago, IL 60609</t>
  </si>
  <si>
    <t>BARNARD</t>
  </si>
  <si>
    <t>Alice L Barnard Computer Math &amp; Science Ctr ES</t>
  </si>
  <si>
    <t>9b</t>
  </si>
  <si>
    <t>10354 S Charles St | Chicago, IL 60643</t>
  </si>
  <si>
    <t>O'Shea, Matthew J.</t>
  </si>
  <si>
    <t>BARRY</t>
  </si>
  <si>
    <t>John Barry Elementary School</t>
  </si>
  <si>
    <t>2828 N Kilbourn Ave | Chicago, IL 60641</t>
  </si>
  <si>
    <t>BARTON</t>
  </si>
  <si>
    <t>Clara Barton Elementary School</t>
  </si>
  <si>
    <t>Network 11</t>
  </si>
  <si>
    <t>9a</t>
  </si>
  <si>
    <t>7650 S Wolcott Ave | Chicago, IL 60620</t>
  </si>
  <si>
    <t>Moore, David H.</t>
  </si>
  <si>
    <t>BASS</t>
  </si>
  <si>
    <t>Perkins Bass Elementary School</t>
  </si>
  <si>
    <t>1140 W 66th St | Chicago, IL 60621</t>
  </si>
  <si>
    <t>Coleman, Stephanie D.</t>
  </si>
  <si>
    <t>BATEMAN</t>
  </si>
  <si>
    <t>Newton Bateman Elementary School</t>
  </si>
  <si>
    <t>4220 N Richmond St | Chicago, IL 60618</t>
  </si>
  <si>
    <t>BEARD</t>
  </si>
  <si>
    <t>Daniel C Beard Elementary School</t>
  </si>
  <si>
    <t>1a</t>
  </si>
  <si>
    <t>6445 W Strong St | Chicago, IL 60656</t>
  </si>
  <si>
    <t>Napolitano, Anthony V.</t>
  </si>
  <si>
    <t>BEASLEY</t>
  </si>
  <si>
    <t>Edward Beasley Elementary Magnet Academic Center</t>
  </si>
  <si>
    <t>6b</t>
  </si>
  <si>
    <t>5255 S State St | Chicago, IL 60609</t>
  </si>
  <si>
    <t>Dowell, Pat</t>
  </si>
  <si>
    <t>BEAUBIEN</t>
  </si>
  <si>
    <t>Jean Baptiste Beaubien Elementary School</t>
  </si>
  <si>
    <t>5025 N Laramie Ave | Chicago, IL 60630</t>
  </si>
  <si>
    <t>Gardiner, James M.</t>
  </si>
  <si>
    <t>BEETHOVEN</t>
  </si>
  <si>
    <t>Ludwig Van Beethoven Elementary School</t>
  </si>
  <si>
    <t>25 W 47th St | Chicago, IL 60609</t>
  </si>
  <si>
    <t>BEIDLER</t>
  </si>
  <si>
    <t>Jacob Beidler Elementary School</t>
  </si>
  <si>
    <t>Network 5</t>
  </si>
  <si>
    <t>5b</t>
  </si>
  <si>
    <t>3151 W Walnut St | Chicago, IL 60612</t>
  </si>
  <si>
    <t>Burnett, Jr., Walter</t>
  </si>
  <si>
    <t>BELDING</t>
  </si>
  <si>
    <t>Hiram H Belding Elementary School</t>
  </si>
  <si>
    <t>1b</t>
  </si>
  <si>
    <t>4257 N Tripp Ave | Chicago, IL 60641</t>
  </si>
  <si>
    <t>Nugent, Samantha</t>
  </si>
  <si>
    <t>BELL</t>
  </si>
  <si>
    <t>Alexander Graham Bell Elementary School</t>
  </si>
  <si>
    <t>3730 N Oakley Ave | Chicago, IL 60618</t>
  </si>
  <si>
    <t>Martin, Matthew J.</t>
  </si>
  <si>
    <t>BELMONT-CRAGIN</t>
  </si>
  <si>
    <t>Belmont-Cragin Elementary School</t>
  </si>
  <si>
    <t>Network 3</t>
  </si>
  <si>
    <t>3b</t>
  </si>
  <si>
    <t>5252 W Palmer St | Chicago, IL 60639</t>
  </si>
  <si>
    <t>BENNETT</t>
  </si>
  <si>
    <t>Frank I Bennett Elementary School</t>
  </si>
  <si>
    <t>10115 S Prairie Ave | Chicago, IL 60628</t>
  </si>
  <si>
    <t>Beale, Anthony</t>
  </si>
  <si>
    <t>BLACK</t>
  </si>
  <si>
    <t>Robert A Black Magnet Elementary School</t>
  </si>
  <si>
    <t>9101 S Euclid Ave | Chicago, IL 60617</t>
  </si>
  <si>
    <t>BLAINE</t>
  </si>
  <si>
    <t>James G Blaine Elementary School</t>
  </si>
  <si>
    <t>4a</t>
  </si>
  <si>
    <t>1420 W Grace St | Chicago, IL 60613</t>
  </si>
  <si>
    <t>Clay, Angela</t>
  </si>
  <si>
    <t>BLAIR</t>
  </si>
  <si>
    <t>Blair Early Childhood Center</t>
  </si>
  <si>
    <t>Very Strong</t>
  </si>
  <si>
    <t>6751 W 63rd Pl | Chicago, IL 60638</t>
  </si>
  <si>
    <t>Quinn, Marty</t>
  </si>
  <si>
    <t>BOGAN HS</t>
  </si>
  <si>
    <t>William J Bogan High School</t>
  </si>
  <si>
    <t>3939 W 79th St | Chicago, IL 60652</t>
  </si>
  <si>
    <t>BOND</t>
  </si>
  <si>
    <t>Carrie Jacobs Bond Elementary School</t>
  </si>
  <si>
    <t>7050 S May St | Chicago, IL 60621</t>
  </si>
  <si>
    <t>BOUCHET</t>
  </si>
  <si>
    <t>Edward A Bouchet Math &amp; Science Academy ES</t>
  </si>
  <si>
    <t>7355 S Jeffery Blvd | Chicago, IL 60649</t>
  </si>
  <si>
    <t>Mitchell, Gregory I.</t>
  </si>
  <si>
    <t>BOWEN HS</t>
  </si>
  <si>
    <t>Bowen High School</t>
  </si>
  <si>
    <t>Network 17</t>
  </si>
  <si>
    <t>2710 E 89th St | Chicago, IL 60617</t>
  </si>
  <si>
    <t>BRADWELL</t>
  </si>
  <si>
    <t>Myra Bradwell Communications Arts &amp; Sciences ES</t>
  </si>
  <si>
    <t>7736 S Burnham Ave | Chicago, IL 60649</t>
  </si>
  <si>
    <t>BRENNEMANN</t>
  </si>
  <si>
    <t>Joseph Brennemann Elementary School</t>
  </si>
  <si>
    <t>Network 2</t>
  </si>
  <si>
    <t>4251 N Clarendon Ave | Chicago, IL 60613</t>
  </si>
  <si>
    <t>BRENTANO</t>
  </si>
  <si>
    <t>Brentano Math &amp; Science Academy</t>
  </si>
  <si>
    <t>2723 N Fairfield Ave | Chicago, IL 60647</t>
  </si>
  <si>
    <t>La Spata, Daniel</t>
  </si>
  <si>
    <t>BRIDGE</t>
  </si>
  <si>
    <t>Norman A Bridge Elementary School</t>
  </si>
  <si>
    <t>3800 N New England Ave | Chicago, IL 60634</t>
  </si>
  <si>
    <t>Sposato, Nicholas</t>
  </si>
  <si>
    <t>BRIGHT</t>
  </si>
  <si>
    <t>Orville T Bright Elementary School</t>
  </si>
  <si>
    <t>10740 S Calhoun Ave | Chicago, IL 60617</t>
  </si>
  <si>
    <t>BRIGHTON PARK</t>
  </si>
  <si>
    <t>Brighton Park Elementary School</t>
  </si>
  <si>
    <t>Network 8</t>
  </si>
  <si>
    <t>3825 S Washtenaw Ave | Chicago, IL 60632</t>
  </si>
  <si>
    <t>BRONZEVILLE CLASSICAL</t>
  </si>
  <si>
    <t>Bronzeville Classical Elementary School</t>
  </si>
  <si>
    <t>8 W Root | Chicago, IL 60609</t>
  </si>
  <si>
    <t>BRONZEVILLE HS</t>
  </si>
  <si>
    <t>Bronzeville Scholastic Academy High School</t>
  </si>
  <si>
    <t>4934 S Wabash Ave | Chicago, IL 60615</t>
  </si>
  <si>
    <t>BROOKS HS</t>
  </si>
  <si>
    <t>Gwendolyn Brooks College Preparatory Academy HS</t>
  </si>
  <si>
    <t>250 E 111th St | Chicago, IL 60628</t>
  </si>
  <si>
    <t>BROWN R</t>
  </si>
  <si>
    <t>Ronald Brown Elementary Community Academy</t>
  </si>
  <si>
    <t>12607 S Union Ave | Chicago, IL 60628</t>
  </si>
  <si>
    <t>BROWN W</t>
  </si>
  <si>
    <t>William H Brown STEM Magnet Elementary School</t>
  </si>
  <si>
    <t>Network 6</t>
  </si>
  <si>
    <t>54 N Hermitage Ave | Chicago, IL 60612</t>
  </si>
  <si>
    <t>BROWNELL</t>
  </si>
  <si>
    <t>Charles S Brownell Elementary School</t>
  </si>
  <si>
    <t>6741 S Michigan Ave | Chicago, IL 60637</t>
  </si>
  <si>
    <t>Hall, William E.</t>
  </si>
  <si>
    <t>BRUNSON</t>
  </si>
  <si>
    <t>Milton Brunson Math &amp; Science Specialty ES</t>
  </si>
  <si>
    <t>932 N Central Ave | Chicago, IL 60651</t>
  </si>
  <si>
    <t>BUDLONG</t>
  </si>
  <si>
    <t>Lyman A Budlong Elementary School</t>
  </si>
  <si>
    <t>2701 W Foster Ave | Chicago, IL 60625</t>
  </si>
  <si>
    <t>BURBANK</t>
  </si>
  <si>
    <t>Luther Burbank Elementary School</t>
  </si>
  <si>
    <t>2035 N Mobile Ave | Chicago, IL 60639</t>
  </si>
  <si>
    <t>BURKE</t>
  </si>
  <si>
    <t>Edmond Burke Elementary School</t>
  </si>
  <si>
    <t>5356 S King Dr | Chicago, IL 60615</t>
  </si>
  <si>
    <t>BURLEY</t>
  </si>
  <si>
    <t>Augustus H Burley Elementary School</t>
  </si>
  <si>
    <t>1630 W Barry Ave | Chicago, IL 60657</t>
  </si>
  <si>
    <t>BURNHAM</t>
  </si>
  <si>
    <t>Burnham Elementary Inclusive Academy</t>
  </si>
  <si>
    <t>9928 S Crandon Ave | Chicago, IL 60617</t>
  </si>
  <si>
    <t>BURNSIDE</t>
  </si>
  <si>
    <t>Burnside Elementary Scholastic Academy</t>
  </si>
  <si>
    <t>650 E 91st Pl | Chicago, IL 60619</t>
  </si>
  <si>
    <t>BURR</t>
  </si>
  <si>
    <t>Jonathan Burr Elementary School</t>
  </si>
  <si>
    <t>1621 W Wabansia Ave | Chicago, IL 60622</t>
  </si>
  <si>
    <t>BURROUGHS</t>
  </si>
  <si>
    <t>John C Burroughs Elementary School</t>
  </si>
  <si>
    <t>3542 S Washtenaw Ave | Chicago, IL 60632</t>
  </si>
  <si>
    <t>BYRNE</t>
  </si>
  <si>
    <t>Michael M Byrne Elementary School</t>
  </si>
  <si>
    <t>5329 S Oak Park Ave | Chicago, IL 60638</t>
  </si>
  <si>
    <t>CALMECA</t>
  </si>
  <si>
    <t>Calmeca Academy of Fine Arts and Dual Language</t>
  </si>
  <si>
    <t>3456 W 38th St | Chicago, IL 60632</t>
  </si>
  <si>
    <t>CAMERON</t>
  </si>
  <si>
    <t>Daniel R Cameron Elementary School</t>
  </si>
  <si>
    <t>1234 N Monticello Ave | Chicago, IL 60651</t>
  </si>
  <si>
    <t>CAMRAS</t>
  </si>
  <si>
    <t>Marvin Camras Elementary School</t>
  </si>
  <si>
    <t>3000 N Mango Ave | Chicago, IL 60634</t>
  </si>
  <si>
    <t>Cruz, Ruth</t>
  </si>
  <si>
    <t>CANTY</t>
  </si>
  <si>
    <t>Arthur E Canty Elementary School</t>
  </si>
  <si>
    <t>3740 N Panama Ave | Chicago, IL 60634</t>
  </si>
  <si>
    <t>CARDENAS</t>
  </si>
  <si>
    <t>Lazaro Cardenas Elementary School</t>
  </si>
  <si>
    <t>2345 S Millard Ave | Chicago, IL 60623</t>
  </si>
  <si>
    <t>Rodriguez, Michael D.</t>
  </si>
  <si>
    <t>CARNEGIE</t>
  </si>
  <si>
    <t>Andrew Carnegie School</t>
  </si>
  <si>
    <t>1414 E 61st Pl | Chicago, IL 60637</t>
  </si>
  <si>
    <t>Yancy, Desmon C.</t>
  </si>
  <si>
    <t>CARROLL</t>
  </si>
  <si>
    <t>Carroll-Rosenwald Specialty Elementary School</t>
  </si>
  <si>
    <t>2929 W 83rd St | Chicago, IL 60652</t>
  </si>
  <si>
    <t>CARSON</t>
  </si>
  <si>
    <t>Rachel Carson Elementary School</t>
  </si>
  <si>
    <t>5516 S Maplewood Ave | Chicago, IL 60629</t>
  </si>
  <si>
    <t>Lopez, Raymond A.</t>
  </si>
  <si>
    <t>CARTER</t>
  </si>
  <si>
    <t>William W Carter Elementary School</t>
  </si>
  <si>
    <t>5740 S Michigan Ave | Chicago, IL 60637</t>
  </si>
  <si>
    <t>Taylor, Jeanette B.</t>
  </si>
  <si>
    <t>CARVER G</t>
  </si>
  <si>
    <t>George Washington Carver Primary School</t>
  </si>
  <si>
    <t>901 E 133rd Pl | Chicago, IL 60827</t>
  </si>
  <si>
    <t>CARVER MILITARY HS</t>
  </si>
  <si>
    <t>George Washington Carver Military Academy HS</t>
  </si>
  <si>
    <t>13100 S Doty Ave | Chicago, IL 60827</t>
  </si>
  <si>
    <t>CASALS</t>
  </si>
  <si>
    <t>Pablo Casals Elementary School</t>
  </si>
  <si>
    <t>3501 W Potomac Ave | Chicago, IL 60651</t>
  </si>
  <si>
    <t>Fuentes, Jessica L.</t>
  </si>
  <si>
    <t>CASSELL</t>
  </si>
  <si>
    <t>George F Cassell Elementary School</t>
  </si>
  <si>
    <t>11314 S Spaulding Ave | Chicago, IL 60655</t>
  </si>
  <si>
    <t>CATALPA</t>
  </si>
  <si>
    <t>Catalpa Early Childhood Center</t>
  </si>
  <si>
    <t>Not Found</t>
  </si>
  <si>
    <t>5252 N Long Ave | Chicago, IL 60630</t>
  </si>
  <si>
    <t>CATALYST - CIRCLE ROCK</t>
  </si>
  <si>
    <t>Catalyst Elementary Charter School - Circle Rock</t>
  </si>
  <si>
    <t>5608 W Washington Blvd | Chicago, IL 60644</t>
  </si>
  <si>
    <t>CATALYST - MARIA</t>
  </si>
  <si>
    <t>Catalyst - Maria Charter School</t>
  </si>
  <si>
    <t>6727 S California Ave | Chicago, IL 60629</t>
  </si>
  <si>
    <t>CATALYST MARIA HS</t>
  </si>
  <si>
    <t>CATHER</t>
  </si>
  <si>
    <t>Willa Cather Elementary School</t>
  </si>
  <si>
    <t>2908 W Washington Blvd | Chicago, IL 60612</t>
  </si>
  <si>
    <t>CHALMERS</t>
  </si>
  <si>
    <t>Thomas Chalmers STEAM Elementary School</t>
  </si>
  <si>
    <t>2745 W Roosevelt Rd | Chicago, IL 60608</t>
  </si>
  <si>
    <t>Ervin, Jason C.</t>
  </si>
  <si>
    <t>CHAPPELL</t>
  </si>
  <si>
    <t>Eliza Chappell Elementary School</t>
  </si>
  <si>
    <t>2135 W Foster Ave | Chicago, IL 60625</t>
  </si>
  <si>
    <t>CHASE</t>
  </si>
  <si>
    <t>Salmon P Chase Elementary School</t>
  </si>
  <si>
    <t>2021 N Point St | Chicago, IL 60647</t>
  </si>
  <si>
    <t>CHAVEZ</t>
  </si>
  <si>
    <t>Cesar E Chavez Multicultural Academic Center</t>
  </si>
  <si>
    <t>4747 S Marshfield Ave | Chicago, IL 60609</t>
  </si>
  <si>
    <t>CHIARTS HS</t>
  </si>
  <si>
    <t>Chicago High School for the Arts (ChiArts)</t>
  </si>
  <si>
    <t>Contract</t>
  </si>
  <si>
    <t>2714 W Augusta Blvd | Chicago, IL 60622</t>
  </si>
  <si>
    <t>CHICAGO ACADEMY ES</t>
  </si>
  <si>
    <t>Chicago Academy Elementary School</t>
  </si>
  <si>
    <t>3400 N Austin Ave | Chicago, IL 60634</t>
  </si>
  <si>
    <t>CHICAGO ACADEMY HS</t>
  </si>
  <si>
    <t>Chicago Academy High School</t>
  </si>
  <si>
    <t>CHICAGO AGRICULTURE HS</t>
  </si>
  <si>
    <t>Chicago High School For Agricultural Sciences</t>
  </si>
  <si>
    <t>3857 W 111th St | Chicago, IL 60655</t>
  </si>
  <si>
    <t>CHICAGO COLLEGIATE</t>
  </si>
  <si>
    <t>Chicago Collegiate</t>
  </si>
  <si>
    <t>11816 S Indiana | Chicago, IL 60628</t>
  </si>
  <si>
    <t>CHICAGO EXCEL HS</t>
  </si>
  <si>
    <t>Chicago Excel Academy HS</t>
  </si>
  <si>
    <t>Options</t>
  </si>
  <si>
    <t>1257 W 111th St | Chicago, IL 60643</t>
  </si>
  <si>
    <t>Mosley, Ronnie L.</t>
  </si>
  <si>
    <t>CHICAGO MATH &amp; SCIENCE HS</t>
  </si>
  <si>
    <t>Chicago Math and Science Academy Charter School</t>
  </si>
  <si>
    <t>7212 N Clark St | Chicago, IL 60626</t>
  </si>
  <si>
    <t>CHICAGO MILITARY HS</t>
  </si>
  <si>
    <t>Chicago Military Academy High School</t>
  </si>
  <si>
    <t>3519 S Giles Ave | Chicago, IL 60653</t>
  </si>
  <si>
    <t>CHICAGO TECH HS</t>
  </si>
  <si>
    <t>Chicago Technology Academy High School</t>
  </si>
  <si>
    <t>1301 W 14th St | Chicago, IL 60608</t>
  </si>
  <si>
    <t>CHICAGO VOCATIONAL HS</t>
  </si>
  <si>
    <t>Chicago Vocational Career Academy</t>
  </si>
  <si>
    <t>2100 E 87th St | Chicago, IL 60617</t>
  </si>
  <si>
    <t>CHICAGO WORLD LANGUAGE ACADEMY</t>
  </si>
  <si>
    <t>Chicago World Language Academy</t>
  </si>
  <si>
    <t>1340 W Harrison St | Chicago, IL 60607</t>
  </si>
  <si>
    <t>Conway, William</t>
  </si>
  <si>
    <t>CHOPIN</t>
  </si>
  <si>
    <t>Frederic Chopin Elementary School</t>
  </si>
  <si>
    <t>2450 W Rice St | Chicago, IL 60622</t>
  </si>
  <si>
    <t>CHRISTOPHER</t>
  </si>
  <si>
    <t>Walter S Christopher Elementary School</t>
  </si>
  <si>
    <t>5042 S Artesian Ave | Chicago, IL 60632</t>
  </si>
  <si>
    <t>CHRISTOPHER HOUSE</t>
  </si>
  <si>
    <t>Christopher House Charter School</t>
  </si>
  <si>
    <t>5235 W Belden Ave | Chicago, IL 60639</t>
  </si>
  <si>
    <t>CICS - AVALON/SOUTH SHORE</t>
  </si>
  <si>
    <t>1501 E 83rd Pl | Chicago, IL 60619</t>
  </si>
  <si>
    <t>CICS - BASIL</t>
  </si>
  <si>
    <t>1816 W Garfield Blvd | Chicago, IL 60609</t>
  </si>
  <si>
    <t>CICS - BOND</t>
  </si>
  <si>
    <t>CICS - Lloyd Bond</t>
  </si>
  <si>
    <t>13300 S Langley Ave | Chicago, IL 60827</t>
  </si>
  <si>
    <t>CICS - BUCKTOWN</t>
  </si>
  <si>
    <t>6a</t>
  </si>
  <si>
    <t>2235 N Hamilton Ave | Chicago, IL 60647</t>
  </si>
  <si>
    <t>CICS - ELLISON HS</t>
  </si>
  <si>
    <t>CICS - Ralph Ellison</t>
  </si>
  <si>
    <t>1817 W 80th St | Chicago, IL 60620</t>
  </si>
  <si>
    <t>CICS - IRVING PARK</t>
  </si>
  <si>
    <t>3820 N Spaulding Ave | Chicago, IL 60618</t>
  </si>
  <si>
    <t>CICS - LONGWOOD</t>
  </si>
  <si>
    <t>1309 W 95th St | Chicago, IL 60643</t>
  </si>
  <si>
    <t>CICS - LOOMIS</t>
  </si>
  <si>
    <t>9535 S Loomis St | Chicago, IL 60643</t>
  </si>
  <si>
    <t>CICS - NORTHTOWN HS</t>
  </si>
  <si>
    <t>CICS - Northtown</t>
  </si>
  <si>
    <t>3900 W Peterson Ave | Chicago, IL 60659</t>
  </si>
  <si>
    <t>CICS - PRAIRIE</t>
  </si>
  <si>
    <t>11530 S Prairie Ave | Chicago, IL 60628</t>
  </si>
  <si>
    <t>CICS - WASHINGTON PARK</t>
  </si>
  <si>
    <t>110 E 61st St | Chicago, IL 60637</t>
  </si>
  <si>
    <t>CICS - WEST BELDEN</t>
  </si>
  <si>
    <t>2245 N Mcvicker Ave | Chicago, IL 60639</t>
  </si>
  <si>
    <t>CICS - WRIGHTWOOD</t>
  </si>
  <si>
    <t>8130 S California Ave | Chicago, IL 60652</t>
  </si>
  <si>
    <t>CLAREMONT</t>
  </si>
  <si>
    <t>Claremont STEM Magnet Elementary School</t>
  </si>
  <si>
    <t>2300 W 64th St | Chicago, IL 60636</t>
  </si>
  <si>
    <t>CLARK ES</t>
  </si>
  <si>
    <t>George Rogers Clark Elementary School</t>
  </si>
  <si>
    <t>1045 S Monitor Ave | Chicago, IL 60644</t>
  </si>
  <si>
    <t>CLARK HS</t>
  </si>
  <si>
    <t>Michele Clark Academic Prep Magnet High School</t>
  </si>
  <si>
    <t>5101 W Harrison St | Chicago, IL 60644</t>
  </si>
  <si>
    <t>CLAY</t>
  </si>
  <si>
    <t>Henry Clay Elementary School</t>
  </si>
  <si>
    <t>13231 S Burley Ave | Chicago, IL 60633</t>
  </si>
  <si>
    <t>CLEMENTE HS</t>
  </si>
  <si>
    <t>Roberto Clemente Community Academy High School</t>
  </si>
  <si>
    <t>1147 N Western Ave | Chicago, IL 60622</t>
  </si>
  <si>
    <t>CLEVELAND</t>
  </si>
  <si>
    <t>Grover Cleveland Elementary School</t>
  </si>
  <si>
    <t>3121 W Byron St | Chicago, IL 60618</t>
  </si>
  <si>
    <t>CLINTON</t>
  </si>
  <si>
    <t>DeWitt Clinton Elementary School</t>
  </si>
  <si>
    <t>6110 N Fairfield Ave | Chicago, IL 60659</t>
  </si>
  <si>
    <t>CLISSOLD</t>
  </si>
  <si>
    <t>Henry R Clissold Elementary School</t>
  </si>
  <si>
    <t>2350 W 110th Pl | Chicago, IL 60643</t>
  </si>
  <si>
    <t>COLEMON</t>
  </si>
  <si>
    <t>Johnnie Colemon Elementary Academy</t>
  </si>
  <si>
    <t>1441 W 119th St | Chicago, IL 60643</t>
  </si>
  <si>
    <t>COLES</t>
  </si>
  <si>
    <t>Edward Coles Elementary Language Academy</t>
  </si>
  <si>
    <t>8441 S Yates Blvd | Chicago, IL 60617</t>
  </si>
  <si>
    <t>COLLINS STEAM HS</t>
  </si>
  <si>
    <t>Collins Academy STEAM High School</t>
  </si>
  <si>
    <t>1313 S Sacramento Dr | Chicago, IL 60623</t>
  </si>
  <si>
    <t>Scott, Monique L.</t>
  </si>
  <si>
    <t>COLUMBIA EXPLORERS</t>
  </si>
  <si>
    <t>Columbia Explorers Elementary Academy</t>
  </si>
  <si>
    <t>4520 S Kedzie Ave | Chicago, IL 60632</t>
  </si>
  <si>
    <t>COOK</t>
  </si>
  <si>
    <t>John W Cook Elementary School</t>
  </si>
  <si>
    <t>8150 S Bishop St | Chicago, IL 60620</t>
  </si>
  <si>
    <t>COONLEY</t>
  </si>
  <si>
    <t>John C Coonley Elementary School</t>
  </si>
  <si>
    <t>4046 N Leavitt St | Chicago, IL 60618</t>
  </si>
  <si>
    <t>COOPER</t>
  </si>
  <si>
    <t>Peter Cooper Elementary Dual Language Academy</t>
  </si>
  <si>
    <t>Network 7</t>
  </si>
  <si>
    <t>1624 W 19th St | Chicago, IL 60608</t>
  </si>
  <si>
    <t>CORKERY</t>
  </si>
  <si>
    <t>Daniel J Corkery Elementary School</t>
  </si>
  <si>
    <t>2510 S Kildare Ave | Chicago, IL 60623</t>
  </si>
  <si>
    <t>CORLISS HS</t>
  </si>
  <si>
    <t>George H Corliss High School</t>
  </si>
  <si>
    <t>821 E 103rd St | Chicago, IL 60628</t>
  </si>
  <si>
    <t>COURTENAY</t>
  </si>
  <si>
    <t>Mary E Courtenay Elementary Language Arts Center</t>
  </si>
  <si>
    <t>4420 N Beacon St | Chicago, IL 60640</t>
  </si>
  <si>
    <t>CRANE MEDICAL HS</t>
  </si>
  <si>
    <t>Richard T Crane Medical Preparatory HS</t>
  </si>
  <si>
    <t>2245 W Jackson Blvd | Chicago, IL 60612</t>
  </si>
  <si>
    <t>CROWN</t>
  </si>
  <si>
    <t>Crown Community Academy of Fine Arts Center ES</t>
  </si>
  <si>
    <t>2128 S Saint Louis Ave | Chicago, IL 60623</t>
  </si>
  <si>
    <t>CUFFE</t>
  </si>
  <si>
    <t>Paul Cuffe Math-Science Technology Academy ES</t>
  </si>
  <si>
    <t>8324 S Racine Ave | Chicago, IL 60620</t>
  </si>
  <si>
    <t>CULLEN</t>
  </si>
  <si>
    <t>Countee Cullen Elementary School</t>
  </si>
  <si>
    <t>10650 S Eberhart Ave | Chicago, IL 60628</t>
  </si>
  <si>
    <t>CURIE HS</t>
  </si>
  <si>
    <t>Marie Sklodowska Curie Metropolitan High School</t>
  </si>
  <si>
    <t>4959 S Archer Ave | Chicago, IL 60632</t>
  </si>
  <si>
    <t>CURTIS</t>
  </si>
  <si>
    <t>George W Curtis Elementary School</t>
  </si>
  <si>
    <t>32 E 115th St | Chicago, IL 60628</t>
  </si>
  <si>
    <t>DAISY BATES</t>
  </si>
  <si>
    <t>Daisy Bates Academy of Social Justice</t>
  </si>
  <si>
    <t>8546 S Cregier Ave | Chicago, IL 60617</t>
  </si>
  <si>
    <t>DALEY</t>
  </si>
  <si>
    <t>Richard J Daley Elementary Academy</t>
  </si>
  <si>
    <t>5024 S Wolcott Ave | Chicago, IL 60609</t>
  </si>
  <si>
    <t>DARWIN</t>
  </si>
  <si>
    <t>Charles R Darwin Elementary School</t>
  </si>
  <si>
    <t>3116 W Belden Ave | Chicago, IL 60647</t>
  </si>
  <si>
    <t>DAVIS M</t>
  </si>
  <si>
    <t>Sir Miles Davis Magnet Elementary Academy</t>
  </si>
  <si>
    <t>6740 S Paulina St | Chicago, IL 60636</t>
  </si>
  <si>
    <t>DAVIS N</t>
  </si>
  <si>
    <t>Nathan S Davis Elementary School</t>
  </si>
  <si>
    <t>3014 W 39th Pl | Chicago, IL 60632</t>
  </si>
  <si>
    <t>DAWES</t>
  </si>
  <si>
    <t>Charles Gates Dawes Elementary School</t>
  </si>
  <si>
    <t>3810 W 81st Pl | Chicago, IL 60652</t>
  </si>
  <si>
    <t>DE DIEGO</t>
  </si>
  <si>
    <t>Jose De Diego Elementary Community Academy</t>
  </si>
  <si>
    <t>1313 N Claremont Ave | Chicago, IL 60622</t>
  </si>
  <si>
    <t>DECATUR</t>
  </si>
  <si>
    <t>Stephen Decatur Classical Elementary School</t>
  </si>
  <si>
    <t>7030 N Sacramento Ave | Chicago, IL 60645</t>
  </si>
  <si>
    <t>DENEEN</t>
  </si>
  <si>
    <t>Charles S Deneen Elementary School</t>
  </si>
  <si>
    <t>7240 S Wabash Ave | Chicago, IL 60619</t>
  </si>
  <si>
    <t>DEPRIEST</t>
  </si>
  <si>
    <t>Oscar DePriest Elementary School</t>
  </si>
  <si>
    <t>139 S Parkside Ave | Chicago, IL 60644</t>
  </si>
  <si>
    <t>DETT</t>
  </si>
  <si>
    <t>Robert Nathaniel Dett Elementary School</t>
  </si>
  <si>
    <t>2131 W Monroe St | Chicago, IL 60612</t>
  </si>
  <si>
    <t>DEVER</t>
  </si>
  <si>
    <t>William E Dever Elementary School</t>
  </si>
  <si>
    <t>3436 N Osceola Ave | Chicago, IL 60634</t>
  </si>
  <si>
    <t>DEVRY HS</t>
  </si>
  <si>
    <t>Devry University Advantage Academy</t>
  </si>
  <si>
    <t>1900 W Lawrence Ave | Chicago, IL 60640</t>
  </si>
  <si>
    <t>DEWEY</t>
  </si>
  <si>
    <t>Dewey Elementary Academy of Fine Arts</t>
  </si>
  <si>
    <t>5415 S Union Ave | Chicago, IL 60609</t>
  </si>
  <si>
    <t>DIRKSEN</t>
  </si>
  <si>
    <t>Everett McKinley Dirksen Elementary School</t>
  </si>
  <si>
    <t>8601 W Foster Ave | Chicago, IL 60656</t>
  </si>
  <si>
    <t>DISNEY</t>
  </si>
  <si>
    <t>Walt Disney Magnet Elementary School</t>
  </si>
  <si>
    <t>4140 N Marine Dr | Chicago, IL 60613</t>
  </si>
  <si>
    <t>DISNEY II ES</t>
  </si>
  <si>
    <t>Disney II Magnet School</t>
  </si>
  <si>
    <t>3815 N Kedvale Ave | Chicago, IL 60641</t>
  </si>
  <si>
    <t>DISNEY II HS</t>
  </si>
  <si>
    <t>Disney II Magnet High School</t>
  </si>
  <si>
    <t>3900 N Lawndale Ave | Chicago, IL 60618</t>
  </si>
  <si>
    <t>DIXON</t>
  </si>
  <si>
    <t>Arthur Dixon Elementary School</t>
  </si>
  <si>
    <t>8306 S Saint Lawrence Ave | Chicago, IL 60619</t>
  </si>
  <si>
    <t>DOOLITTLE</t>
  </si>
  <si>
    <t>James R Doolittle Jr Elementary School</t>
  </si>
  <si>
    <t>535 E 35th St | Chicago, IL 60616</t>
  </si>
  <si>
    <t>DORE</t>
  </si>
  <si>
    <t>John C Dore Elementary School</t>
  </si>
  <si>
    <t>7134 W 65th St | Chicago, IL 60638</t>
  </si>
  <si>
    <t>DOUGLASS HS</t>
  </si>
  <si>
    <t>Frederick A Douglass Academy High School</t>
  </si>
  <si>
    <t>543 N Waller Ave | Chicago, IL 60644</t>
  </si>
  <si>
    <t>DRAKE</t>
  </si>
  <si>
    <t>John B Drake Elementary School</t>
  </si>
  <si>
    <t>2710 S Dearborn St | Chicago, IL 60616</t>
  </si>
  <si>
    <t>DRUMMOND</t>
  </si>
  <si>
    <t>Thomas Drummond Elementary School</t>
  </si>
  <si>
    <t>1845 W Cortland St | Chicago, IL 60622</t>
  </si>
  <si>
    <t>DUBOIS</t>
  </si>
  <si>
    <t>William E B Dubois Elementary School</t>
  </si>
  <si>
    <t>330 E 133rd St | Chicago, IL 60827</t>
  </si>
  <si>
    <t>DULLES</t>
  </si>
  <si>
    <t>John Foster Dulles Elementary School</t>
  </si>
  <si>
    <t>6311 S Calumet Ave | Chicago, IL 60637</t>
  </si>
  <si>
    <t>DUNBAR HS</t>
  </si>
  <si>
    <t>Dunbar Career Academy High School</t>
  </si>
  <si>
    <t>3000 S King Dr | Chicago, IL 60616</t>
  </si>
  <si>
    <t>DUNNE</t>
  </si>
  <si>
    <t>Dunne Technology Academy</t>
  </si>
  <si>
    <t>10845 S Union Ave | Chicago, IL 60628</t>
  </si>
  <si>
    <t>DURKIN PARK</t>
  </si>
  <si>
    <t>Durkin Park Elementary School</t>
  </si>
  <si>
    <t>8445 S Kolin Ave | Chicago, IL 60652</t>
  </si>
  <si>
    <t>DVORAK</t>
  </si>
  <si>
    <t>Dvorak Technology Academy</t>
  </si>
  <si>
    <t>3615 W 16th St | Chicago, IL 60623</t>
  </si>
  <si>
    <t>DYETT ARTS HS</t>
  </si>
  <si>
    <t>Walter Henri Dyett High School for the Arts</t>
  </si>
  <si>
    <t>555 E 51St | Chicago, IL 60615</t>
  </si>
  <si>
    <t>EARHART</t>
  </si>
  <si>
    <t>Amelia Earhart Options for Knowledge ES</t>
  </si>
  <si>
    <t>1710 E 93rd St | Chicago, IL 60617</t>
  </si>
  <si>
    <t>EARLE</t>
  </si>
  <si>
    <t>Charles W Earle Elementary School</t>
  </si>
  <si>
    <t>2040 W 62Nd St | Chicago, IL 60636</t>
  </si>
  <si>
    <t>EBERHART</t>
  </si>
  <si>
    <t>John F Eberhart Elementary School</t>
  </si>
  <si>
    <t>3400 W 65th Pl | Chicago, IL 60629</t>
  </si>
  <si>
    <t>EBINGER</t>
  </si>
  <si>
    <t>Christian Ebinger Elementary School</t>
  </si>
  <si>
    <t>7350 W Pratt Ave | Chicago, IL 60631</t>
  </si>
  <si>
    <t>EDGEBROOK</t>
  </si>
  <si>
    <t>Edgebrook Elementary School</t>
  </si>
  <si>
    <t>6525 N Hiawatha Ave | Chicago, IL 60646</t>
  </si>
  <si>
    <t>EDISON</t>
  </si>
  <si>
    <t>Thomas A Edison Regional Gifted Center</t>
  </si>
  <si>
    <t>EDISON PARK</t>
  </si>
  <si>
    <t>Edison Park Elementary School</t>
  </si>
  <si>
    <t>6220 N Olcott Ave | Chicago, IL 60631</t>
  </si>
  <si>
    <t>EDWARDS</t>
  </si>
  <si>
    <t>Richard Edwards Elementary School</t>
  </si>
  <si>
    <t>4815 S Karlov Ave | Chicago, IL 60632</t>
  </si>
  <si>
    <t>ELLINGTON</t>
  </si>
  <si>
    <t>Edward K Ellington Elementary School</t>
  </si>
  <si>
    <t>243 N Parkside Ave | Chicago, IL 60644</t>
  </si>
  <si>
    <t>ENGLEWOOD STEM HS</t>
  </si>
  <si>
    <t>Englewood STEM High School</t>
  </si>
  <si>
    <t>6835 S Normal | Chicago, IL 60621</t>
  </si>
  <si>
    <t>EPIC HS</t>
  </si>
  <si>
    <t>EPIC Academy</t>
  </si>
  <si>
    <t>8255 S Houston Ave | Chicago, IL 60617</t>
  </si>
  <si>
    <t>ERICSON</t>
  </si>
  <si>
    <t>Leif Ericson Elementary Scholastic Academy</t>
  </si>
  <si>
    <t>3600 W 5th Ave | Chicago, IL 60624</t>
  </si>
  <si>
    <t>ERIE</t>
  </si>
  <si>
    <t>Erie Elementary Charter School</t>
  </si>
  <si>
    <t>1405 N Washtenaw Ave | Chicago, IL 60622</t>
  </si>
  <si>
    <t>ESMOND</t>
  </si>
  <si>
    <t>Esmond Elementary School</t>
  </si>
  <si>
    <t>1865 W Montvale Ave | Chicago, IL 60643</t>
  </si>
  <si>
    <t>EVERETT</t>
  </si>
  <si>
    <t>Edward Everett Elementary School</t>
  </si>
  <si>
    <t>3419 S Bell Ave | Chicago, IL 60608</t>
  </si>
  <si>
    <t>EVERGREEN</t>
  </si>
  <si>
    <t>Evergreen Academy Middle School</t>
  </si>
  <si>
    <t>3537 S Paulina St | Chicago, IL 60609</t>
  </si>
  <si>
    <t>EVERS</t>
  </si>
  <si>
    <t>Medgar Evers Elementary School</t>
  </si>
  <si>
    <t>9811 S Lowe Ave | Chicago, IL 60628</t>
  </si>
  <si>
    <t>EXCEL ENGLEWOOD HS</t>
  </si>
  <si>
    <t>Excel Academy of Englewood</t>
  </si>
  <si>
    <t>7141 S Morgan | Chicago, IL 60621</t>
  </si>
  <si>
    <t>EXCEL SOUTH SHORE HS</t>
  </si>
  <si>
    <t>Excel Academy of South Shore</t>
  </si>
  <si>
    <t>7530 S South Shore Dr | Chicago, IL 60649</t>
  </si>
  <si>
    <t>EXCEL SOUTHWEST HS</t>
  </si>
  <si>
    <t>Excel Academy Southwest</t>
  </si>
  <si>
    <t>7050 S Washtenaw Ave | Chicago, IL 60629</t>
  </si>
  <si>
    <t>FAIRFIELD</t>
  </si>
  <si>
    <t>Fairfield Elementary Academy</t>
  </si>
  <si>
    <t>6201 S Fairfield Ave | Chicago, IL 60629</t>
  </si>
  <si>
    <t>FALCONER</t>
  </si>
  <si>
    <t>Laughlin Falconer Elementary School</t>
  </si>
  <si>
    <t>3020 N Lamon Ave | Chicago, IL 60641</t>
  </si>
  <si>
    <t>FARADAY</t>
  </si>
  <si>
    <t>Michael Faraday Elementary School</t>
  </si>
  <si>
    <t>3250 W Monroe St | Chicago, IL 60624</t>
  </si>
  <si>
    <t>FARMER</t>
  </si>
  <si>
    <t>James Farmer Jr Elementary School</t>
  </si>
  <si>
    <t>4214 S St Lawrence Ave | Chicago, IL 60653</t>
  </si>
  <si>
    <t>FARNSWORTH</t>
  </si>
  <si>
    <t>James B Farnsworth Elementary School</t>
  </si>
  <si>
    <t>5414 N Linder Ave | Chicago, IL 60630</t>
  </si>
  <si>
    <t>FARRAGUT HS</t>
  </si>
  <si>
    <t>David G Farragut Career Academy High School</t>
  </si>
  <si>
    <t>2345 S Christiana Ave | Chicago, IL 60623</t>
  </si>
  <si>
    <t>FENGER HS</t>
  </si>
  <si>
    <t>Christian Fenger Academy</t>
  </si>
  <si>
    <t>11220 S Wallace St | Chicago, IL 60628</t>
  </si>
  <si>
    <t>FERNWOOD</t>
  </si>
  <si>
    <t>Fernwood Elementary School</t>
  </si>
  <si>
    <t>10041 S Union Ave | Chicago, IL 60628</t>
  </si>
  <si>
    <t>FIELD</t>
  </si>
  <si>
    <t>Eugene Field Elementary School</t>
  </si>
  <si>
    <t>7019 N Ashland Ave | Chicago, IL 60626</t>
  </si>
  <si>
    <t>FINKL</t>
  </si>
  <si>
    <t>William F Finkl Elementary School</t>
  </si>
  <si>
    <t>2332 S Western Ave | Chicago, IL 60608</t>
  </si>
  <si>
    <t>FISHER</t>
  </si>
  <si>
    <t>Dr. Fisher Early Learning Center</t>
  </si>
  <si>
    <t>1840 N Clark St | Chicago, IL 60614</t>
  </si>
  <si>
    <t>FISKE</t>
  </si>
  <si>
    <t>John Fiske Elementary School</t>
  </si>
  <si>
    <t>6020 S Langley Ave | Chicago, IL 60637</t>
  </si>
  <si>
    <t>FOREMAN HS</t>
  </si>
  <si>
    <t>Edwin G. Foreman College and Career Academy</t>
  </si>
  <si>
    <t>3235 N Leclaire Ave | Chicago, IL 60641</t>
  </si>
  <si>
    <t>FORT DEARBORN</t>
  </si>
  <si>
    <t>Fort Dearborn Elementary School</t>
  </si>
  <si>
    <t>9025 S Throop St | Chicago, IL 60620</t>
  </si>
  <si>
    <t>FOSTER PARK</t>
  </si>
  <si>
    <t>Foster Park Elementary School</t>
  </si>
  <si>
    <t>8530 S Wood St | Chicago, IL 60620</t>
  </si>
  <si>
    <t>FRANKLIN</t>
  </si>
  <si>
    <t>Franklin Elementary Fine Arts Center</t>
  </si>
  <si>
    <t>225 W Evergreen Ave | Chicago, IL 60610</t>
  </si>
  <si>
    <t>Hopkins, Brian</t>
  </si>
  <si>
    <t>FRAZIER PROSPECTIVE</t>
  </si>
  <si>
    <t>Frazier Prospective IB Magnet ES</t>
  </si>
  <si>
    <t>4027 W Grenshaw St | Chicago, IL 60624</t>
  </si>
  <si>
    <t>FULTON</t>
  </si>
  <si>
    <t>Robert Fulton Elementary School</t>
  </si>
  <si>
    <t>5300 S Hermitage Ave | Chicago, IL 60609</t>
  </si>
  <si>
    <t>FUNSTON</t>
  </si>
  <si>
    <t>Frederick Funston Elementary School</t>
  </si>
  <si>
    <t>2010 N Central Park Ave | Chicago, IL 60647</t>
  </si>
  <si>
    <t>GAGE PARK HS</t>
  </si>
  <si>
    <t>Gage Park High School</t>
  </si>
  <si>
    <t>5630 S Rockwell St | Chicago, IL 60629</t>
  </si>
  <si>
    <t>GALE</t>
  </si>
  <si>
    <t>Stephen F Gale Elementary Community Academy</t>
  </si>
  <si>
    <t>1631 W Jonquil Ter | Chicago, IL 60626</t>
  </si>
  <si>
    <t>GALILEO</t>
  </si>
  <si>
    <t>Galileo Math &amp; Science Scholastic Academy ES</t>
  </si>
  <si>
    <t>820 S Carpenter St | Chicago, IL 60607</t>
  </si>
  <si>
    <t>GALLISTEL</t>
  </si>
  <si>
    <t>Matthew Gallistel Elementary Language Academy</t>
  </si>
  <si>
    <t>10347 S Ewing Ave | Chicago, IL 60617</t>
  </si>
  <si>
    <t>GARVEY</t>
  </si>
  <si>
    <t>Marcus Moziah Garvey Elementary School</t>
  </si>
  <si>
    <t>10309 S Morgan St | Chicago, IL 60643</t>
  </si>
  <si>
    <t>GARVY</t>
  </si>
  <si>
    <t>John W Garvy Elementary School</t>
  </si>
  <si>
    <t>5225 N Oak Park Ave | Chicago, IL 60656</t>
  </si>
  <si>
    <t>GARY</t>
  </si>
  <si>
    <t>Joseph E Gary Elementary School</t>
  </si>
  <si>
    <t>3740 W 31st St | Chicago, IL 60623</t>
  </si>
  <si>
    <t>GILLESPIE</t>
  </si>
  <si>
    <t>Frank L Gillespie Elementary School</t>
  </si>
  <si>
    <t>9301 S State St | Chicago, IL 60619</t>
  </si>
  <si>
    <t>GINSBURG</t>
  </si>
  <si>
    <t>Ruth Bader Ginsburg Elementary School</t>
  </si>
  <si>
    <t>1003 N Leavitt St | Chicago, IL 60622</t>
  </si>
  <si>
    <t>GLOBAL CITIZENSHIP</t>
  </si>
  <si>
    <t>Academy for Global Citizenship</t>
  </si>
  <si>
    <t>4647 W 47th St | Chicago, IL 60632</t>
  </si>
  <si>
    <t>GOETHE</t>
  </si>
  <si>
    <t>Johann W von Goethe Elementary School</t>
  </si>
  <si>
    <t>2236 N Rockwell St | Chicago, IL 60647</t>
  </si>
  <si>
    <t>GOODE HS</t>
  </si>
  <si>
    <t>Sarah E. Goode STEM Academy</t>
  </si>
  <si>
    <t>7651 S Homan Ave | Chicago, IL 60652</t>
  </si>
  <si>
    <t>GOUDY</t>
  </si>
  <si>
    <t>William C. Goudy Technology Academy</t>
  </si>
  <si>
    <t>5120 N Winthrop Ave | Chicago, IL 60640</t>
  </si>
  <si>
    <t>Manaa-Hoppenworth, Leni</t>
  </si>
  <si>
    <t>GRAHAM ES</t>
  </si>
  <si>
    <t>Alexander Graham Elementary School</t>
  </si>
  <si>
    <t>4436 S Union Ave | Chicago, IL 60609</t>
  </si>
  <si>
    <t>GRAHAM HS</t>
  </si>
  <si>
    <t>Ray Graham Training Center</t>
  </si>
  <si>
    <t>2347 S Wabash Ave | Chicago, IL 60616</t>
  </si>
  <si>
    <t>GRAY</t>
  </si>
  <si>
    <t>William P Gray Elementary School</t>
  </si>
  <si>
    <t>3730 N Laramie Ave | Chicago, IL 60641</t>
  </si>
  <si>
    <t>GREAT LAKES</t>
  </si>
  <si>
    <t>Great Lakes Academy Charter School</t>
  </si>
  <si>
    <t>8401 S Saginaw Ave | Chicago, IL 60617</t>
  </si>
  <si>
    <t>GREELEY</t>
  </si>
  <si>
    <t>Horace Greeley Elementary School</t>
  </si>
  <si>
    <t>832 W Sheridan Rd | Chicago, IL 60613</t>
  </si>
  <si>
    <t>GREEN</t>
  </si>
  <si>
    <t>Wendell E Green Elementary School</t>
  </si>
  <si>
    <t>1150 W 96th St | Chicago, IL 60643</t>
  </si>
  <si>
    <t>GREENE</t>
  </si>
  <si>
    <t>Nathanael Greene Elementary School</t>
  </si>
  <si>
    <t>3525 S Honore St | Chicago, IL 60609</t>
  </si>
  <si>
    <t>GREGORY</t>
  </si>
  <si>
    <t>John Milton Gregory Elementary School</t>
  </si>
  <si>
    <t>3715 W Polk St | Chicago, IL 60624</t>
  </si>
  <si>
    <t>GRESHAM</t>
  </si>
  <si>
    <t>Walter Q Gresham Elementary School</t>
  </si>
  <si>
    <t>8524 S Green St | Chicago, IL 60620</t>
  </si>
  <si>
    <t>GRIMES</t>
  </si>
  <si>
    <t>Robert L Grimes Elementary School</t>
  </si>
  <si>
    <t>5450 W 64th Pl | Chicago, IL 60638</t>
  </si>
  <si>
    <t>GRISSOM</t>
  </si>
  <si>
    <t>Virgil Grissom Elementary School</t>
  </si>
  <si>
    <t>12810 S Escanaba Ave | Chicago, IL 60633</t>
  </si>
  <si>
    <t>GUNSAULUS</t>
  </si>
  <si>
    <t>Frank W Gunsaulus Elementary Scholastic Academy</t>
  </si>
  <si>
    <t>4420 S Sacramento Ave | Chicago, IL 60632</t>
  </si>
  <si>
    <t>HAINES</t>
  </si>
  <si>
    <t>John Charles Haines Elementary School</t>
  </si>
  <si>
    <t>247 W 23rd Pl | Chicago, IL 60616</t>
  </si>
  <si>
    <t>HALE</t>
  </si>
  <si>
    <t>Nathan Hale Elementary School</t>
  </si>
  <si>
    <t>6140 S Melvina Ave | Chicago, IL 60638</t>
  </si>
  <si>
    <t>HALEY</t>
  </si>
  <si>
    <t>Alex Haley Elementary Academy</t>
  </si>
  <si>
    <t>11411 S Eggleston Ave | Chicago, IL 60628</t>
  </si>
  <si>
    <t>HAMILTON</t>
  </si>
  <si>
    <t>Alexander Hamilton Elementary School</t>
  </si>
  <si>
    <t>1650 W Cornelia Ave | Chicago, IL 60657</t>
  </si>
  <si>
    <t>HAMLINE</t>
  </si>
  <si>
    <t>John H Hamline Elementary School</t>
  </si>
  <si>
    <t>4747 S Bishop St | Chicago, IL 60609</t>
  </si>
  <si>
    <t>HAMMOND</t>
  </si>
  <si>
    <t>Charles G Hammond Elementary School</t>
  </si>
  <si>
    <t>2819 W 21st Pl | Chicago, IL 60623</t>
  </si>
  <si>
    <t>HAMPTON</t>
  </si>
  <si>
    <t>Lionel Hampton Fine &amp; Performing Arts ES</t>
  </si>
  <si>
    <t>3434 W 77th St | Chicago, IL 60652</t>
  </si>
  <si>
    <t>HANCOCK HS</t>
  </si>
  <si>
    <t>John Hancock College Preparatory High School</t>
  </si>
  <si>
    <t>5437 W 64th Pl | Chicago, IL 60638</t>
  </si>
  <si>
    <t>HANSON PARK</t>
  </si>
  <si>
    <t>Hanson Park Elementary School</t>
  </si>
  <si>
    <t>5411 W Fullerton Ave | Chicago, IL 60639</t>
  </si>
  <si>
    <t>HARLAN HS</t>
  </si>
  <si>
    <t>Harlan Community Academy High School</t>
  </si>
  <si>
    <t>9652 S Michigan Ave | Chicago, IL 60628</t>
  </si>
  <si>
    <t>HARTE</t>
  </si>
  <si>
    <t>Bret Harte Elementary School</t>
  </si>
  <si>
    <t>1556 E 56th St | Chicago, IL 60637</t>
  </si>
  <si>
    <t>HARVARD</t>
  </si>
  <si>
    <t>John Harvard Elementary School of Excellence</t>
  </si>
  <si>
    <t>7525 S Harvard | Chicago, IL 60620</t>
  </si>
  <si>
    <t>HAUGAN</t>
  </si>
  <si>
    <t>Helge A Haugan Elementary School</t>
  </si>
  <si>
    <t>4540 N Hamlin Ave | Chicago, IL 60625</t>
  </si>
  <si>
    <t>HAWTHORNE</t>
  </si>
  <si>
    <t>Hawthorne Elementary Scholastic Academy</t>
  </si>
  <si>
    <t>3319 N Clifton Ave | Chicago, IL 60657</t>
  </si>
  <si>
    <t>Lawson, Bennett R.</t>
  </si>
  <si>
    <t>HAY</t>
  </si>
  <si>
    <t>John Hay Elementary Community Academy</t>
  </si>
  <si>
    <t>1018 N Laramie Ave | Chicago, IL 60651</t>
  </si>
  <si>
    <t>HAYT</t>
  </si>
  <si>
    <t>Stephen K Hayt Elementary School</t>
  </si>
  <si>
    <t>1518 W Granville Ave | Chicago, IL 60660</t>
  </si>
  <si>
    <t>HEALY</t>
  </si>
  <si>
    <t>Robert Healy Elementary School</t>
  </si>
  <si>
    <t>3010 S Parnell Ave | Chicago, IL 60616</t>
  </si>
  <si>
    <t>HEARST</t>
  </si>
  <si>
    <t>Phoebe Apperson Hearst Elementary School</t>
  </si>
  <si>
    <t>4640 S Lamon Ave | Chicago, IL 60638</t>
  </si>
  <si>
    <t>HEDGES</t>
  </si>
  <si>
    <t>James Hedges Elementary School</t>
  </si>
  <si>
    <t>4747 S Winchester Ave | Chicago, IL 60609</t>
  </si>
  <si>
    <t>HEFFERAN</t>
  </si>
  <si>
    <t>Helen M Hefferan Elementary School</t>
  </si>
  <si>
    <t>4409 W Wilcox St | Chicago, IL 60624</t>
  </si>
  <si>
    <t>HENDERSON</t>
  </si>
  <si>
    <t>Charles R Henderson Elementary School</t>
  </si>
  <si>
    <t>5650 S Wolcott Ave | Chicago, IL 60636</t>
  </si>
  <si>
    <t>HENDRICKS</t>
  </si>
  <si>
    <t>Thomas A Hendricks Elementary Community Academy</t>
  </si>
  <si>
    <t>4316 S Princeton Ave | Chicago, IL 60609</t>
  </si>
  <si>
    <t>HENRY</t>
  </si>
  <si>
    <t>Patrick Henry Elementary School</t>
  </si>
  <si>
    <t>4250 N Saint Louis Ave | Chicago, IL 60618</t>
  </si>
  <si>
    <t>HERNANDEZ</t>
  </si>
  <si>
    <t>Irene C. Hernandez Middle School for the Advancement of Science</t>
  </si>
  <si>
    <t>3510 W 55th St | Chicago, IL 60632</t>
  </si>
  <si>
    <t>HERZL</t>
  </si>
  <si>
    <t>Theodore Herzl Elementary School</t>
  </si>
  <si>
    <t>3711 W Douglas Blvd | Chicago, IL 60623</t>
  </si>
  <si>
    <t>HIBBARD</t>
  </si>
  <si>
    <t>William G Hibbard Elementary School</t>
  </si>
  <si>
    <t>3244 W Ainslie St | Chicago, IL 60625</t>
  </si>
  <si>
    <t>HIGGINS</t>
  </si>
  <si>
    <t>Thomas J Higgins Elementary Community Academy</t>
  </si>
  <si>
    <t>11710 S Morgan St | Chicago, IL 60643</t>
  </si>
  <si>
    <t>HIRSCH HS</t>
  </si>
  <si>
    <t>Emil G Hirsch Metropolitan High School</t>
  </si>
  <si>
    <t>7740 S Ingleside Ave | Chicago, IL 60619</t>
  </si>
  <si>
    <t>HITCH</t>
  </si>
  <si>
    <t>Rufus M Hitch Elementary School</t>
  </si>
  <si>
    <t>5625 N Mcvicker Ave | Chicago, IL 60646</t>
  </si>
  <si>
    <t>HOLDEN</t>
  </si>
  <si>
    <t>Charles N Holden Elementary School</t>
  </si>
  <si>
    <t>1104 W 31st St | Chicago, IL 60608</t>
  </si>
  <si>
    <t>HOLMES</t>
  </si>
  <si>
    <t>Oliver Wendell Holmes Elementary School</t>
  </si>
  <si>
    <t>955 W Garfield Blvd | Chicago, IL 60621</t>
  </si>
  <si>
    <t>HORIZON - SOUTHWEST</t>
  </si>
  <si>
    <t>Horizon Science Academy Southwest Chicago Charter</t>
  </si>
  <si>
    <t>5401 S Western Ave | Chicago, IL 60609</t>
  </si>
  <si>
    <t>HOWE</t>
  </si>
  <si>
    <t>Julia Ward Howe Elementary School of Excellence</t>
  </si>
  <si>
    <t>720 N Lorel Ave | Chicago, IL 60644</t>
  </si>
  <si>
    <t>HOYNE</t>
  </si>
  <si>
    <t>Thomas Hoyne Elementary School</t>
  </si>
  <si>
    <t>8905 S Crandon Ave | Chicago, IL 60617</t>
  </si>
  <si>
    <t>HUBBARD HS</t>
  </si>
  <si>
    <t>Gurdon S Hubbard High School</t>
  </si>
  <si>
    <t>6200 S Hamlin Ave | Chicago, IL 60629</t>
  </si>
  <si>
    <t>HUGHES C</t>
  </si>
  <si>
    <t>Charles Evans Hughes Elementary School</t>
  </si>
  <si>
    <t>4247 W 15th St | Chicago, IL 60623</t>
  </si>
  <si>
    <t>HUGHES L</t>
  </si>
  <si>
    <t>Langston Hughes Elementary School</t>
  </si>
  <si>
    <t>240 W 104th St | Chicago, IL 60628</t>
  </si>
  <si>
    <t>HURLEY</t>
  </si>
  <si>
    <t>Edward N Hurley Elementary School</t>
  </si>
  <si>
    <t>3849 W 69th Pl | Chicago, IL 60629</t>
  </si>
  <si>
    <t>HYDE PARK HS</t>
  </si>
  <si>
    <t>Hyde Park Academy High School</t>
  </si>
  <si>
    <t>6220 S Stony Island Ave | Chicago, IL 60637</t>
  </si>
  <si>
    <t>INFINITY HS</t>
  </si>
  <si>
    <t>Infinity Math Science and Technology High School</t>
  </si>
  <si>
    <t>3120 S Kostner Ave | Chicago, IL 60623</t>
  </si>
  <si>
    <t>INSTITUTO - HEALTH</t>
  </si>
  <si>
    <t>Instituto Health Sciences Career Academy</t>
  </si>
  <si>
    <t>2520 S Western Ave | Chicago, IL 60608</t>
  </si>
  <si>
    <t>INSTITUTO - JUSTICE HS</t>
  </si>
  <si>
    <t>Instituto - Justice and Leadership</t>
  </si>
  <si>
    <t>2570 S Blue Island Ave | Chicago, IL 60608</t>
  </si>
  <si>
    <t>INTER-AMERICAN</t>
  </si>
  <si>
    <t>Inter-American Elementary Magnet School</t>
  </si>
  <si>
    <t>851 W Waveland Ave | Chicago, IL 60613</t>
  </si>
  <si>
    <t>INTRINSIC HS</t>
  </si>
  <si>
    <t>Intrinsic Charter School</t>
  </si>
  <si>
    <t>4540 W Belmont Ave | Chicago, IL 60641</t>
  </si>
  <si>
    <t>IRVING</t>
  </si>
  <si>
    <t>Washington Irving Elementary School</t>
  </si>
  <si>
    <t>749 S Oakley Blvd | Chicago, IL 60612</t>
  </si>
  <si>
    <t>JACKSON M</t>
  </si>
  <si>
    <t>Mahalia Jackson Elementary School</t>
  </si>
  <si>
    <t>917 W 88th St | Chicago, IL 60620</t>
  </si>
  <si>
    <t>JAHN</t>
  </si>
  <si>
    <t>Friedrich L. Jahn Elementary of the Fine Arts</t>
  </si>
  <si>
    <t>3149 N Wolcott Ave | Chicago, IL 60657</t>
  </si>
  <si>
    <t>JAMIESON</t>
  </si>
  <si>
    <t>Minnie Mars Jamieson Elementary School</t>
  </si>
  <si>
    <t>5650 N Mozart St | Chicago, IL 60659</t>
  </si>
  <si>
    <t>JEFFERSON HS</t>
  </si>
  <si>
    <t>Nancy B Jefferson Alternative High School</t>
  </si>
  <si>
    <t>1100 S Hamilton Ave | Chicago, IL 60612</t>
  </si>
  <si>
    <t>JENSEN</t>
  </si>
  <si>
    <t>Jensen Elementary Scholastic Academy</t>
  </si>
  <si>
    <t>3030 W Harrison St | Chicago, IL 60612</t>
  </si>
  <si>
    <t>JOHNSON</t>
  </si>
  <si>
    <t>James Weldon Johnson STEAM Elementary School</t>
  </si>
  <si>
    <t>1420 S Albany Ave | Chicago, IL 60623</t>
  </si>
  <si>
    <t>JONES HS</t>
  </si>
  <si>
    <t>William Jones College Preparatory High School</t>
  </si>
  <si>
    <t>700 S State St | Chicago, IL 60605</t>
  </si>
  <si>
    <t>JOPLIN</t>
  </si>
  <si>
    <t>Scott Joplin Elementary School</t>
  </si>
  <si>
    <t>7931 S Honore St | Chicago, IL 60620</t>
  </si>
  <si>
    <t>JORDAN</t>
  </si>
  <si>
    <t>Jordan Elementary Community School</t>
  </si>
  <si>
    <t>7414 N Wolcott Ave | Chicago, IL 60626</t>
  </si>
  <si>
    <t>JUAREZ HS</t>
  </si>
  <si>
    <t>Benito Juarez Community Academy High School</t>
  </si>
  <si>
    <t>1450 W Cermak Rd | Chicago, IL 60608</t>
  </si>
  <si>
    <t>JULIAN HS</t>
  </si>
  <si>
    <t>Percy L Julian High School</t>
  </si>
  <si>
    <t>10330 S Elizabeth St | Chicago, IL 60643</t>
  </si>
  <si>
    <t>JUNGMAN</t>
  </si>
  <si>
    <t>Joseph Jungman STEM Magnet Elementary School</t>
  </si>
  <si>
    <t>1746 S Miller St | Chicago, IL 60608</t>
  </si>
  <si>
    <t>KANOON</t>
  </si>
  <si>
    <t>Gerald Delgado Kanoon Elementary Magnet School</t>
  </si>
  <si>
    <t>2233 S Kedzie Ave | Chicago, IL 60623</t>
  </si>
  <si>
    <t>KELLER</t>
  </si>
  <si>
    <t>Annie Keller Regional Gifted Center</t>
  </si>
  <si>
    <t>3020 W 108th St | Chicago, IL 60655</t>
  </si>
  <si>
    <t>KELLMAN</t>
  </si>
  <si>
    <t>Joseph Kellman Corporate Community ES</t>
  </si>
  <si>
    <t>3030 W Arthington St | Chicago, IL 60612</t>
  </si>
  <si>
    <t>KELLOGG</t>
  </si>
  <si>
    <t>Kate S Kellogg Elementary School</t>
  </si>
  <si>
    <t>9241 S Leavitt St | Chicago, IL 60643</t>
  </si>
  <si>
    <t>KELLY HS</t>
  </si>
  <si>
    <t>Thomas Kelly College Preparatory</t>
  </si>
  <si>
    <t>4136 S California Ave | Chicago, IL 60632</t>
  </si>
  <si>
    <t>KELVYN PARK HS</t>
  </si>
  <si>
    <t>Kelvyn Park High School</t>
  </si>
  <si>
    <t>4343 W Wrightwood Ave | Chicago, IL 60639</t>
  </si>
  <si>
    <t>KENNEDY HS</t>
  </si>
  <si>
    <t>John F Kennedy High School</t>
  </si>
  <si>
    <t>6325 W 56th St | Chicago, IL 60638</t>
  </si>
  <si>
    <t>KENWOOD HS</t>
  </si>
  <si>
    <t>Kenwood Academy</t>
  </si>
  <si>
    <t>5015 S Blackstone Ave | Chicago, IL 60615</t>
  </si>
  <si>
    <t>KERSHAW</t>
  </si>
  <si>
    <t>Joshua D Kershaw Elementary School</t>
  </si>
  <si>
    <t>6450 S Lowe Ave | Chicago, IL 60621</t>
  </si>
  <si>
    <t>KILMER</t>
  </si>
  <si>
    <t>Joyce Kilmer Elementary School</t>
  </si>
  <si>
    <t>6700 N Greenview Ave | Chicago, IL 60626</t>
  </si>
  <si>
    <t>KING ES</t>
  </si>
  <si>
    <t>Dr. Martin Luther King Jr Academy of Social Justice</t>
  </si>
  <si>
    <t>644 W 71st St | Chicago, IL 60621</t>
  </si>
  <si>
    <t>KING HS</t>
  </si>
  <si>
    <t>Dr Martin Luther King Jr College Prep HS</t>
  </si>
  <si>
    <t>4445 S Drexel Blvd | Chicago, IL 60653</t>
  </si>
  <si>
    <t>KINZIE</t>
  </si>
  <si>
    <t>John H Kinzie Elementary School</t>
  </si>
  <si>
    <t>5625 S Mobile Ave | Chicago, IL 60638</t>
  </si>
  <si>
    <t>KIPLING</t>
  </si>
  <si>
    <t>Rudyard Kipling Elementary School</t>
  </si>
  <si>
    <t>9351 S Lowe Ave | Chicago, IL 60620</t>
  </si>
  <si>
    <t>KIPP - ACADEMY</t>
  </si>
  <si>
    <t>KIPP Academy Chicago Campus</t>
  </si>
  <si>
    <t>4818 W Ohio St | Chicago, IL 60644</t>
  </si>
  <si>
    <t>KIPP - ASCEND</t>
  </si>
  <si>
    <t>KIPP Ascend Charter School</t>
  </si>
  <si>
    <t>1616 S Avers Ave | Chicago, IL 60623</t>
  </si>
  <si>
    <t>KIPP - BLOOM</t>
  </si>
  <si>
    <t>KIPP Chicago Charter School - KIPP Bloom</t>
  </si>
  <si>
    <t>5515 S Lowe Ave | Chicago, IL 60621</t>
  </si>
  <si>
    <t>KIPP - ONE</t>
  </si>
  <si>
    <t>KIPP One Academy</t>
  </si>
  <si>
    <t>730 N Pulaski | Chicago, IL 60624</t>
  </si>
  <si>
    <t>KOZMINSKI</t>
  </si>
  <si>
    <t>Charles Kozminski Elementary Community Academy</t>
  </si>
  <si>
    <t>936 E 54th St | Chicago, IL 60615</t>
  </si>
  <si>
    <t>LAKE VIEW HS</t>
  </si>
  <si>
    <t>Lake View High School</t>
  </si>
  <si>
    <t>4015 N Ashland Ave | Chicago, IL 60613</t>
  </si>
  <si>
    <t>LANE TECH HS</t>
  </si>
  <si>
    <t>Albert G Lane Technical High School</t>
  </si>
  <si>
    <t>2501 W Addison St | Chicago, IL 60618</t>
  </si>
  <si>
    <t>LANGFORD</t>
  </si>
  <si>
    <t>Anna R. Langford Community Academy</t>
  </si>
  <si>
    <t>6010 S Throop St | Chicago, IL 60636</t>
  </si>
  <si>
    <t>LARA</t>
  </si>
  <si>
    <t>Agustin Lara Elementary Academy</t>
  </si>
  <si>
    <t>4619 S Wolcott Ave | Chicago, IL 60609</t>
  </si>
  <si>
    <t>LASALLE</t>
  </si>
  <si>
    <t>LaSalle Elementary Language Academy</t>
  </si>
  <si>
    <t>1734 N Orleans St | Chicago, IL 60614</t>
  </si>
  <si>
    <t>LASALLE II</t>
  </si>
  <si>
    <t>LaSalle II Magnet Elementary School</t>
  </si>
  <si>
    <t>1148 N Honore St | Chicago, IL 60622</t>
  </si>
  <si>
    <t>LAVIZZO</t>
  </si>
  <si>
    <t>Lavizzo Elementary School</t>
  </si>
  <si>
    <t>138 W 109th St | Chicago, IL 60628</t>
  </si>
  <si>
    <t>LAWNDALE</t>
  </si>
  <si>
    <t>Lawndale Elementary Community Academy</t>
  </si>
  <si>
    <t>3500 W Douglas Blvd | Chicago, IL 60623</t>
  </si>
  <si>
    <t>LEARN - 7</t>
  </si>
  <si>
    <t>L.E.A.R.N. Charter School - 7th Campus</t>
  </si>
  <si>
    <t>3021 W Carroll Ave | Chicago, IL 60612</t>
  </si>
  <si>
    <t>LEARN - BUTLER</t>
  </si>
  <si>
    <t>L.E.A.R.N. - Romano Butler Campus</t>
  </si>
  <si>
    <t>1132 S Homan Ave | Chicago, IL 60624</t>
  </si>
  <si>
    <t>LEARN - CAMPBELL</t>
  </si>
  <si>
    <t>L.E.A.R.N. - Charles and Dorothy Campbell Campus</t>
  </si>
  <si>
    <t>212 S Francisco Ave | Chicago, IL 60612</t>
  </si>
  <si>
    <t>LEARN - EXCEL</t>
  </si>
  <si>
    <t>L.E.A.R.N. - Excel Campus</t>
  </si>
  <si>
    <t>LEARN - MIDDLE</t>
  </si>
  <si>
    <t>L.E.A.R.N. - Middle School Campus</t>
  </si>
  <si>
    <t>LEARN - PERKINS</t>
  </si>
  <si>
    <t>L.E.A.R.N. - Hunter Perkins Campus</t>
  </si>
  <si>
    <t>1700 W 83rd St | Chicago, IL 60620</t>
  </si>
  <si>
    <t>LEARN - SOUTH CHICAGO</t>
  </si>
  <si>
    <t>L.E.A.R.N. - South Chicago Campus</t>
  </si>
  <si>
    <t>8914 S Buffalo Ave | Chicago, IL 60617</t>
  </si>
  <si>
    <t>LEE</t>
  </si>
  <si>
    <t>Richard Henry Lee Elementary School</t>
  </si>
  <si>
    <t>6448 S Tripp Ave | Chicago, IL 60629</t>
  </si>
  <si>
    <t>LEGACY</t>
  </si>
  <si>
    <t>Legacy Charter School</t>
  </si>
  <si>
    <t>3318 W Ogden Ave | Chicago, IL 60623</t>
  </si>
  <si>
    <t>LEGAL PREP HS</t>
  </si>
  <si>
    <t>Legal Prep Charter Academy</t>
  </si>
  <si>
    <t>4319 W Washington Blvd | Chicago, IL 60624</t>
  </si>
  <si>
    <t>LELAND</t>
  </si>
  <si>
    <t>George Leland Elementary School</t>
  </si>
  <si>
    <t>512 S Lavergne Ave | Chicago, IL 60644</t>
  </si>
  <si>
    <t>LENART</t>
  </si>
  <si>
    <t>Lenart Elementary Regional Gifted Center</t>
  </si>
  <si>
    <t>8101 S Lasalle St | Chicago, IL 60620</t>
  </si>
  <si>
    <t>LEWIS</t>
  </si>
  <si>
    <t>Leslie Lewis Elementary School</t>
  </si>
  <si>
    <t>1431 N Leamington Ave | Chicago, IL 60651</t>
  </si>
  <si>
    <t>LIBBY</t>
  </si>
  <si>
    <t>Arthur A Libby Elementary School</t>
  </si>
  <si>
    <t>5300 S Loomis Blvd | Chicago, IL 60609</t>
  </si>
  <si>
    <t>LINCOLN</t>
  </si>
  <si>
    <t>Abraham Lincoln Elementary School</t>
  </si>
  <si>
    <t>615 W Kemper Pl | Chicago, IL 60614</t>
  </si>
  <si>
    <t>LINCOLN PARK HS</t>
  </si>
  <si>
    <t>Lincoln Park High School</t>
  </si>
  <si>
    <t>2001 N Orchard St | Chicago, IL 60614</t>
  </si>
  <si>
    <t>LINDBLOM HS</t>
  </si>
  <si>
    <t>Robert Lindblom Math &amp; Science Academy HS</t>
  </si>
  <si>
    <t>6130 S Wolcott Ave | Chicago, IL 60636</t>
  </si>
  <si>
    <t>LITTLE VILLAGE</t>
  </si>
  <si>
    <t>Little Village Elementary School</t>
  </si>
  <si>
    <t>2620 S Lawndale Ave | Chicago, IL 60623</t>
  </si>
  <si>
    <t>LLOYD</t>
  </si>
  <si>
    <t>Henry D Lloyd Elementary School</t>
  </si>
  <si>
    <t>2103 N Lamon Ave | Chicago, IL 60639</t>
  </si>
  <si>
    <t>LOCKE A</t>
  </si>
  <si>
    <t>Alain Locke Charter School</t>
  </si>
  <si>
    <t>3141 W Jackson Blvd | Chicago, IL 60612</t>
  </si>
  <si>
    <t>LOCKE J</t>
  </si>
  <si>
    <t>Josephine C Locke Elementary School</t>
  </si>
  <si>
    <t>2828 N Oak Park Ave | Chicago, IL 60634</t>
  </si>
  <si>
    <t>LOGAN SQUARE</t>
  </si>
  <si>
    <t>3651 W Schubert Ave | Chicago, IL 60647</t>
  </si>
  <si>
    <t>LORCA</t>
  </si>
  <si>
    <t>Federico Garcia Lorca Elementary School</t>
  </si>
  <si>
    <t>3231 N Springfield Ave | Chicago, IL 60618</t>
  </si>
  <si>
    <t>LOVETT</t>
  </si>
  <si>
    <t>Joseph Lovett Elementary School</t>
  </si>
  <si>
    <t>6333 W Bloomingdale Ave | Chicago, IL 60639</t>
  </si>
  <si>
    <t>LOWELL</t>
  </si>
  <si>
    <t>James Russell Lowell Elementary School</t>
  </si>
  <si>
    <t>3320 W Hirsch St | Chicago, IL 60651</t>
  </si>
  <si>
    <t>LOZANO</t>
  </si>
  <si>
    <t>Rodolfo Lozano Bilingual &amp; International Ctr ES</t>
  </si>
  <si>
    <t>1501 N Greenview Ave | Chicago, IL 60642</t>
  </si>
  <si>
    <t>LYON</t>
  </si>
  <si>
    <t>Mary Lyon Elementary School</t>
  </si>
  <si>
    <t>2941 N Mcvicker Ave | Chicago, IL 60634</t>
  </si>
  <si>
    <t>MADERO</t>
  </si>
  <si>
    <t>Francisco I Madero Middle School</t>
  </si>
  <si>
    <t>3202 W 28th St | Chicago, IL 60623</t>
  </si>
  <si>
    <t>MADISON</t>
  </si>
  <si>
    <t>James Madison Elementary School</t>
  </si>
  <si>
    <t>7433 S Dorchester Ave | Chicago, IL 60619</t>
  </si>
  <si>
    <t>MANIERRE</t>
  </si>
  <si>
    <t>George Manierre Elementary School</t>
  </si>
  <si>
    <t>1420 N Hudson Ave | Chicago, IL 60610</t>
  </si>
  <si>
    <t>MANLEY HS</t>
  </si>
  <si>
    <t>Manley Career Academy High School</t>
  </si>
  <si>
    <t>2935 W Polk St | Chicago, IL 60612</t>
  </si>
  <si>
    <t>MANN</t>
  </si>
  <si>
    <t>Horace Mann Elementary School</t>
  </si>
  <si>
    <t>8050 S Chappel Ave | Chicago, IL 60617</t>
  </si>
  <si>
    <t>MARINE LEADERSHIP AT AMES HS</t>
  </si>
  <si>
    <t>Marine Leadership Academy at Ames</t>
  </si>
  <si>
    <t>1920 N Hamlin Ave | Chicago, IL 60647</t>
  </si>
  <si>
    <t>MARQUETTE</t>
  </si>
  <si>
    <t>Marquette Elementary</t>
  </si>
  <si>
    <t>6550 S Richmond St | Chicago, IL 60629</t>
  </si>
  <si>
    <t>MARSH</t>
  </si>
  <si>
    <t>John L Marsh Elementary School</t>
  </si>
  <si>
    <t>9822 S Exchange Ave | Chicago, IL 60617</t>
  </si>
  <si>
    <t>MARSHALL HS</t>
  </si>
  <si>
    <t>John Marshall Metropolitan High School</t>
  </si>
  <si>
    <t>3250 W Adams St | Chicago, IL 60624</t>
  </si>
  <si>
    <t>MASON</t>
  </si>
  <si>
    <t>Roswell B Mason Elementary School</t>
  </si>
  <si>
    <t>4217 W 18th St | Chicago, IL 60623</t>
  </si>
  <si>
    <t>MATHER HS</t>
  </si>
  <si>
    <t>Stephen T Mather High School</t>
  </si>
  <si>
    <t>5835 N Lincoln Ave | Chicago, IL 60659</t>
  </si>
  <si>
    <t>MAYER</t>
  </si>
  <si>
    <t>Oscar Mayer Magnet School</t>
  </si>
  <si>
    <t>2250 N Clifton Ave | Chicago, IL 60614</t>
  </si>
  <si>
    <t>MAYS</t>
  </si>
  <si>
    <t>Benjamin E Mays Elementary Academy</t>
  </si>
  <si>
    <t>6656 S Normal Blvd | Chicago, IL 60621</t>
  </si>
  <si>
    <t>MCAULIFFE</t>
  </si>
  <si>
    <t>Sharon Christa Mcauliffe Elementary School</t>
  </si>
  <si>
    <t>1841 N Springfield Ave | Chicago, IL 60647</t>
  </si>
  <si>
    <t>MCCORMICK</t>
  </si>
  <si>
    <t>Cyrus H McCormick Elementary School</t>
  </si>
  <si>
    <t>2712 S Sawyer Ave | Chicago, IL 60623</t>
  </si>
  <si>
    <t>MCCUTCHEON</t>
  </si>
  <si>
    <t>John T McCutcheon Elementary School</t>
  </si>
  <si>
    <t>4865 N Sheridan Rd | Chicago, IL 60640</t>
  </si>
  <si>
    <t>MCDADE</t>
  </si>
  <si>
    <t>James E McDade Elementary Classical School</t>
  </si>
  <si>
    <t>8801 S Indiana Ave | Chicago, IL 60619</t>
  </si>
  <si>
    <t>MCDOWELL</t>
  </si>
  <si>
    <t>Mary E Mcdowell Elementary School</t>
  </si>
  <si>
    <t>1419 E 89th St | Chicago, IL 60619</t>
  </si>
  <si>
    <t>MCKAY</t>
  </si>
  <si>
    <t>Francis M McKay Elementary School</t>
  </si>
  <si>
    <t>6901 S Fairfield Ave | Chicago, IL 60629</t>
  </si>
  <si>
    <t>MCNAIR</t>
  </si>
  <si>
    <t>Ronald E McNair Elementary School</t>
  </si>
  <si>
    <t>4820 W Walton St | Chicago, IL 60651</t>
  </si>
  <si>
    <t>MCPHERSON</t>
  </si>
  <si>
    <t>James B Mcpherson Elementary School</t>
  </si>
  <si>
    <t>4728 N Wolcott Ave | Chicago, IL 60640</t>
  </si>
  <si>
    <t>MELODY</t>
  </si>
  <si>
    <t>Genevieve Melody Elementary School</t>
  </si>
  <si>
    <t>3937 W Wilcox St | Chicago, IL 60624</t>
  </si>
  <si>
    <t>METCALFE</t>
  </si>
  <si>
    <t>Ralph H Metcalfe Elementary Community Academy</t>
  </si>
  <si>
    <t>12339 S Normal Ave | Chicago, IL 60628</t>
  </si>
  <si>
    <t>MIÑOSO</t>
  </si>
  <si>
    <t>Minnie Miñoso Academy</t>
  </si>
  <si>
    <t>3527 S Wallace St | Chicago, IL 60609</t>
  </si>
  <si>
    <t>MIRELES</t>
  </si>
  <si>
    <t>Arnold Mireles Elementary Academy</t>
  </si>
  <si>
    <t>9000 S Exchange Ave | Chicago, IL 60617</t>
  </si>
  <si>
    <t>MITCHELL</t>
  </si>
  <si>
    <t>Ellen Mitchell Elementary School</t>
  </si>
  <si>
    <t>2233 W Ohio St | Chicago, IL 60612</t>
  </si>
  <si>
    <t>MOLLISON</t>
  </si>
  <si>
    <t>Irvin C Mollison Elementary School</t>
  </si>
  <si>
    <t>4415 S Dr Martin L King Jr Dr | Chicago, IL 60653</t>
  </si>
  <si>
    <t>MONARCAS</t>
  </si>
  <si>
    <t>Monarcas Academy</t>
  </si>
  <si>
    <t>5815 S Homan Ave | Chicago, IL 60629</t>
  </si>
  <si>
    <t>MONTESSORI ENGLEWOOD</t>
  </si>
  <si>
    <t>The Montessori School of Englewood Charter</t>
  </si>
  <si>
    <t>6936 S Hermitage Ave | Chicago, IL 60636</t>
  </si>
  <si>
    <t>MOOS</t>
  </si>
  <si>
    <t>Bernhard Moos Elementary School</t>
  </si>
  <si>
    <t>1711 N California Ave | Chicago, IL 60647</t>
  </si>
  <si>
    <t>MORGAN PARK HS</t>
  </si>
  <si>
    <t>Morgan Park High School</t>
  </si>
  <si>
    <t>1744 W Pryor Ave | Chicago, IL 60643</t>
  </si>
  <si>
    <t>MORRILL</t>
  </si>
  <si>
    <t>Donald Morrill Math &amp; Science Elementary School</t>
  </si>
  <si>
    <t>6011 S Rockwell St | Chicago, IL 60629</t>
  </si>
  <si>
    <t>MORTON</t>
  </si>
  <si>
    <t>Morton School of Excellence</t>
  </si>
  <si>
    <t>431 N Troy St | Chicago, IL 60612</t>
  </si>
  <si>
    <t>MOSAIC</t>
  </si>
  <si>
    <t>Mosaic School of Fine Arts</t>
  </si>
  <si>
    <t>6710 N Washtenaw Ave | Chicago, IL 60645</t>
  </si>
  <si>
    <t>MOUNT GREENWOOD</t>
  </si>
  <si>
    <t>Mount Greenwood Elementary School</t>
  </si>
  <si>
    <t>10841 S Homan Ave | Chicago, IL 60655</t>
  </si>
  <si>
    <t>MOUNT VERNON</t>
  </si>
  <si>
    <t>Mount Vernon Elementary School</t>
  </si>
  <si>
    <t>10540 S Morgan St | Chicago, IL 60643</t>
  </si>
  <si>
    <t>MOVING EVEREST</t>
  </si>
  <si>
    <t>Moving Everest Charter School</t>
  </si>
  <si>
    <t>416 N Laramie Ave | Chicago, IL 60644</t>
  </si>
  <si>
    <t>MOZART</t>
  </si>
  <si>
    <t>Wolfgang A Mozart Elementary School</t>
  </si>
  <si>
    <t>2200 N Hamlin Ave | Chicago, IL 60647</t>
  </si>
  <si>
    <t>MULTICULTURAL ARTS HS</t>
  </si>
  <si>
    <t>Multicultural Arts High School</t>
  </si>
  <si>
    <t>MURPHY</t>
  </si>
  <si>
    <t>John B Murphy Elementary School</t>
  </si>
  <si>
    <t>3539 W Grace St | Chicago, IL 60618</t>
  </si>
  <si>
    <t>MURRAY</t>
  </si>
  <si>
    <t>Phillip Murray Elementary Language Academy</t>
  </si>
  <si>
    <t>5335 S Kenwood Ave | Chicago, IL 60615</t>
  </si>
  <si>
    <t>NAMASTE</t>
  </si>
  <si>
    <t>Namaste Charter School</t>
  </si>
  <si>
    <t>3737 S Paulina St | Chicago, IL 60609</t>
  </si>
  <si>
    <t>NASH</t>
  </si>
  <si>
    <t>Henry H Nash Elementary School</t>
  </si>
  <si>
    <t>4837 W Erie St | Chicago, IL 60644</t>
  </si>
  <si>
    <t>NATIONAL TEACHERS</t>
  </si>
  <si>
    <t>National Teachers Elementary Academy</t>
  </si>
  <si>
    <t>55 W Cermak Rd | Chicago, IL 60616</t>
  </si>
  <si>
    <t>NEIL</t>
  </si>
  <si>
    <t>Jane A Neil Elementary School</t>
  </si>
  <si>
    <t>8555 S Michigan Ave | Chicago, IL 60619</t>
  </si>
  <si>
    <t>NETTELHORST</t>
  </si>
  <si>
    <t>Louis Nettelhorst Elementary School</t>
  </si>
  <si>
    <t>3252 N Broadway St | Chicago, IL 60657</t>
  </si>
  <si>
    <t>NEW FIELD</t>
  </si>
  <si>
    <t>New Field Elementary School</t>
  </si>
  <si>
    <t>1707 W Morse Ave | Chicago, IL 60626</t>
  </si>
  <si>
    <t>NEW SULLIVAN</t>
  </si>
  <si>
    <t>William K New Sullivan Elementary School</t>
  </si>
  <si>
    <t>8331 S Mackinaw Ave | Chicago, IL 60617</t>
  </si>
  <si>
    <t>NEWBERRY</t>
  </si>
  <si>
    <t>Walter L Newberry Math &amp; Science Academy ES</t>
  </si>
  <si>
    <t>700 W Willow St | Chicago, IL 60614</t>
  </si>
  <si>
    <t>NICHOLSON</t>
  </si>
  <si>
    <t>Lillian R. Nicholson STEM Academy</t>
  </si>
  <si>
    <t>6006 S Peoria St | Chicago, IL 60621</t>
  </si>
  <si>
    <t>NIGHTINGALE</t>
  </si>
  <si>
    <t>Florence Nightingale Elementary School</t>
  </si>
  <si>
    <t>5250 S Rockwell St | Chicago, IL 60632</t>
  </si>
  <si>
    <t>NINOS HEROES</t>
  </si>
  <si>
    <t>Ninos Heroes Elementary Academic Center</t>
  </si>
  <si>
    <t>8344 S Commercial Ave | Chicago, IL 60617</t>
  </si>
  <si>
    <t>NIXON</t>
  </si>
  <si>
    <t>William P Nixon Elementary School</t>
  </si>
  <si>
    <t>2121 N Keeler Ave | Chicago, IL 60639</t>
  </si>
  <si>
    <t>NLCP - CHRISTIANA HS</t>
  </si>
  <si>
    <t>North Lawndale College Prep - Christiana</t>
  </si>
  <si>
    <t>1615 S Christiana Ave | Chicago, IL 60623</t>
  </si>
  <si>
    <t>NLCP - COLLINS HS</t>
  </si>
  <si>
    <t>North Lawndale College Prep - Collins</t>
  </si>
  <si>
    <t>NOBEL</t>
  </si>
  <si>
    <t>Alfred Nobel Elementary School</t>
  </si>
  <si>
    <t>4127 W Hirsch St | Chicago, IL 60651</t>
  </si>
  <si>
    <t>NOBLE - ACADEMY HS</t>
  </si>
  <si>
    <t>Noble - The Noble Academy</t>
  </si>
  <si>
    <t>1443 N Ogden Ave | Chicago, IL 60610</t>
  </si>
  <si>
    <t>NOBLE - BAKER HS</t>
  </si>
  <si>
    <t>Noble - Baker College Prep</t>
  </si>
  <si>
    <t>NOBLE - BULLS HS</t>
  </si>
  <si>
    <t>Noble - Chicago Bulls College Prep</t>
  </si>
  <si>
    <t>2040 W Adams St | Chicago, IL 60612</t>
  </si>
  <si>
    <t>NOBLE - BUTLER HS</t>
  </si>
  <si>
    <t>Noble - Butler College Prep</t>
  </si>
  <si>
    <t>NOBLE - COMER</t>
  </si>
  <si>
    <t>Noble - Gary Comer College Prep</t>
  </si>
  <si>
    <t>7131 S South Chicago Ave | Chicago, IL 60619</t>
  </si>
  <si>
    <t>NOBLE - DRW HS</t>
  </si>
  <si>
    <t>Noble - DRW College Prep</t>
  </si>
  <si>
    <t>931 S Homan Ave | Chicago, IL 60624</t>
  </si>
  <si>
    <t>NOBLE - GOLDER HS</t>
  </si>
  <si>
    <t>Noble - Golder College Prep</t>
  </si>
  <si>
    <t>1454 W Superior St | Chicago, IL 60642</t>
  </si>
  <si>
    <t>NOBLE - HANSBERRY HS</t>
  </si>
  <si>
    <t>Noble - Hansberry College Prep</t>
  </si>
  <si>
    <t>8748 S Aberdeen St | Chicago, IL 60620</t>
  </si>
  <si>
    <t>NOBLE - ITW SPEER HS</t>
  </si>
  <si>
    <t>Noble - ITW David Speer Academy</t>
  </si>
  <si>
    <t>5321 W Grand Ave | Chicago, IL 60639</t>
  </si>
  <si>
    <t>NOBLE - JOHNSON HS</t>
  </si>
  <si>
    <t>Noble - John and Eunice Johnson College Prep</t>
  </si>
  <si>
    <t>6350 S Stewart Ave | Chicago, IL 60621</t>
  </si>
  <si>
    <t>NOBLE - MANSUETO HS</t>
  </si>
  <si>
    <t>Noble Mansueto High School</t>
  </si>
  <si>
    <t>2911 W 47Th | Chicago, IL 60632</t>
  </si>
  <si>
    <t>NOBLE - MUCHIN HS</t>
  </si>
  <si>
    <t>Noble - Muchin College Prep</t>
  </si>
  <si>
    <t>1 N State St | Chicago, IL 60602</t>
  </si>
  <si>
    <t>NOBLE - NOBLE HS</t>
  </si>
  <si>
    <t>Noble - Noble College Prep</t>
  </si>
  <si>
    <t>1010 N Noble St | Chicago, IL 60642</t>
  </si>
  <si>
    <t>NOBLE - PRITZKER HS</t>
  </si>
  <si>
    <t>Noble - Pritzker College Prep</t>
  </si>
  <si>
    <t>4131 W Cortland St | Chicago, IL 60639</t>
  </si>
  <si>
    <t>NOBLE - RAUNER HS</t>
  </si>
  <si>
    <t>Noble - Rauner College Prep</t>
  </si>
  <si>
    <t>1337 W Ohio St | Chicago, IL 60642</t>
  </si>
  <si>
    <t>NOBLE - ROWE CLARK HS</t>
  </si>
  <si>
    <t>Noble - Rowe-Clark Math and Science Academy</t>
  </si>
  <si>
    <t>3645 W Chicago Ave | Chicago, IL 60651</t>
  </si>
  <si>
    <t>NOBLE - UIC HS</t>
  </si>
  <si>
    <t>Noble - UIC College Prep</t>
  </si>
  <si>
    <t>1231 S Damen Ave | Chicago, IL 60608</t>
  </si>
  <si>
    <t>NORTH RIVER</t>
  </si>
  <si>
    <t>North River Elementary School</t>
  </si>
  <si>
    <t>NORTH-GRAND HS</t>
  </si>
  <si>
    <t>North-Grand High School</t>
  </si>
  <si>
    <t>4338 W Wabansia Ave | Chicago, IL 60639</t>
  </si>
  <si>
    <t>NORTHSIDE LEARNING HS</t>
  </si>
  <si>
    <t>Northside Learning Center</t>
  </si>
  <si>
    <t>3730 W Bryn Mawr Ave | Chicago, IL 60659</t>
  </si>
  <si>
    <t>NORTHSIDE PREP HS</t>
  </si>
  <si>
    <t>Northside College Prep</t>
  </si>
  <si>
    <t>5501 N Kedzie Ave | Chicago, IL 60625</t>
  </si>
  <si>
    <t>NORTHWEST</t>
  </si>
  <si>
    <t>Northwest Middle School</t>
  </si>
  <si>
    <t>NORWOOD PARK</t>
  </si>
  <si>
    <t>Norwood Park Elementary School</t>
  </si>
  <si>
    <t>5900 N Nina Ave | Chicago, IL 60631</t>
  </si>
  <si>
    <t>OGDEN ES</t>
  </si>
  <si>
    <t>William B Ogden Elementary School</t>
  </si>
  <si>
    <t>24 W Walton St | Chicago, IL 60610</t>
  </si>
  <si>
    <t>OGDEN HS</t>
  </si>
  <si>
    <t>Ogden International High School</t>
  </si>
  <si>
    <t>1250 W Erie St | Chicago, IL 60642</t>
  </si>
  <si>
    <t>OGLESBY</t>
  </si>
  <si>
    <t>Richard J Oglesby Elementary School</t>
  </si>
  <si>
    <t>7646 S Green St | Chicago, IL 60620</t>
  </si>
  <si>
    <t>OKEEFFE</t>
  </si>
  <si>
    <t>Isabelle C O'Keeffe Elementary School</t>
  </si>
  <si>
    <t>6940 S Merrill Ave | Chicago, IL 60649</t>
  </si>
  <si>
    <t>OMBUDSMAN - NORTHWEST HS</t>
  </si>
  <si>
    <t>Ombudsman Chicago- Northwest</t>
  </si>
  <si>
    <t>ALOP</t>
  </si>
  <si>
    <t>7500 N Harlem Ave | Chicago, IL 60631</t>
  </si>
  <si>
    <t>OMBUDSMAN - ROSELAND HS</t>
  </si>
  <si>
    <t>Ombudsman Chicago - Roseland</t>
  </si>
  <si>
    <t>10928 S Halsted | Chicago, IL 60628</t>
  </si>
  <si>
    <t>OMBUDSMAN - SOUTH HS</t>
  </si>
  <si>
    <t>Ombudsman Chicago - South</t>
  </si>
  <si>
    <t>6057 S Western Ave | Chicago, IL 60636</t>
  </si>
  <si>
    <t>OMBUDSMAN - WEST HS</t>
  </si>
  <si>
    <t>Ombudsman Chicago- West</t>
  </si>
  <si>
    <t>2401 W Congress Pkwy | Chicago, IL 60612</t>
  </si>
  <si>
    <t>ONAHAN</t>
  </si>
  <si>
    <t>William J Onahan Elementary School</t>
  </si>
  <si>
    <t>6634 W Raven St | Chicago, IL 60631</t>
  </si>
  <si>
    <t>ORIOLE PARK</t>
  </si>
  <si>
    <t>Oriole Park Elementary School</t>
  </si>
  <si>
    <t>5424 N Oketo Ave | Chicago, IL 60656</t>
  </si>
  <si>
    <t>OROZCO</t>
  </si>
  <si>
    <t>Orozco Fine Arts &amp; Sciences Elementary School</t>
  </si>
  <si>
    <t>1940 W 18th St | Chicago, IL 60608</t>
  </si>
  <si>
    <t>ORR HS</t>
  </si>
  <si>
    <t>Orr Academy</t>
  </si>
  <si>
    <t>730 N Pulaski Rd | Chicago, IL 60624</t>
  </si>
  <si>
    <t>ORTIZ DE DOMINGUEZ</t>
  </si>
  <si>
    <t>Josefa Ortiz De Dominguez Elementary School</t>
  </si>
  <si>
    <t>3000 S Lawndale Ave | Chicago, IL 60623</t>
  </si>
  <si>
    <t>OTIS</t>
  </si>
  <si>
    <t>James Otis Elementary School</t>
  </si>
  <si>
    <t>525 N Armour St | Chicago, IL 60642</t>
  </si>
  <si>
    <t>OTOOLE</t>
  </si>
  <si>
    <t>Luke O'Toole Elementary School</t>
  </si>
  <si>
    <t>6550 S Seeley Ave | Chicago, IL 60636</t>
  </si>
  <si>
    <t>OWEN</t>
  </si>
  <si>
    <t>William Bishop Owen Scholastic Academy ES</t>
  </si>
  <si>
    <t>8247 S Christiana Ave | Chicago, IL 60652</t>
  </si>
  <si>
    <t>OWENS</t>
  </si>
  <si>
    <t>Jesse Owens Elementary Community Academy</t>
  </si>
  <si>
    <t>12302 S State St | Chicago, IL 60628</t>
  </si>
  <si>
    <t>PALMER</t>
  </si>
  <si>
    <t>John Palmer Elementary School</t>
  </si>
  <si>
    <t>5051 N Kenneth Ave | Chicago, IL 60630</t>
  </si>
  <si>
    <t>PARK MANOR</t>
  </si>
  <si>
    <t>Park Manor Elementary School</t>
  </si>
  <si>
    <t>7037 S Rhodes Ave | Chicago, IL 60637</t>
  </si>
  <si>
    <t>PARKER</t>
  </si>
  <si>
    <t>Francis W Parker Elementary Community Academy</t>
  </si>
  <si>
    <t>6800 S Stewart Ave | Chicago, IL 60621</t>
  </si>
  <si>
    <t>PARKSIDE</t>
  </si>
  <si>
    <t>Parkside Elementary Community Academy</t>
  </si>
  <si>
    <t>6938 S East End Ave | Chicago, IL 60649</t>
  </si>
  <si>
    <t>PASTEUR</t>
  </si>
  <si>
    <t>Louis Pasteur Elementary School</t>
  </si>
  <si>
    <t>5825 S Kostner Ave | Chicago, IL 60629</t>
  </si>
  <si>
    <t>PATHWAYS - ASHBURN HS</t>
  </si>
  <si>
    <t>Pathways in Education- Ashburn</t>
  </si>
  <si>
    <t>3284 W 87th St | Chicago, IL 60652</t>
  </si>
  <si>
    <t>PATHWAYS - AVONDALE HS</t>
  </si>
  <si>
    <t>Pathways in Education- Avondale</t>
  </si>
  <si>
    <t>3100 W Belmont Ave | Chicago, IL 60618</t>
  </si>
  <si>
    <t>PATHWAYS - BRIGHTON PARK HS</t>
  </si>
  <si>
    <t>Pathways in Education- Brighton Park</t>
  </si>
  <si>
    <t>3124 W 47th St | Chicago, IL 60632</t>
  </si>
  <si>
    <t>PATHWAYS - HUMBOLDT PARK HS</t>
  </si>
  <si>
    <t>Pathways in Education - Humboldt Park</t>
  </si>
  <si>
    <t>2421 W Division | Chicago, IL 60622</t>
  </si>
  <si>
    <t>PAYTON HS</t>
  </si>
  <si>
    <t>Walter Payton College Preparatory High School</t>
  </si>
  <si>
    <t>1034 N Wells St | Chicago, IL 60610</t>
  </si>
  <si>
    <t>PEACE AND EDUCATION HS</t>
  </si>
  <si>
    <t>Peace &amp; Education Coalition HS</t>
  </si>
  <si>
    <t>4946 S Paulina St | Chicago, IL 60609</t>
  </si>
  <si>
    <t>PECK</t>
  </si>
  <si>
    <t>Ferdinand Peck Elementary School</t>
  </si>
  <si>
    <t>3826 W 58th St | Chicago, IL 60629</t>
  </si>
  <si>
    <t>PEIRCE</t>
  </si>
  <si>
    <t>Helen Peirce International Studies ES</t>
  </si>
  <si>
    <t>1423 W Bryn Mawr Ave | Chicago, IL 60660</t>
  </si>
  <si>
    <t>PENN</t>
  </si>
  <si>
    <t>William Penn Elementary School</t>
  </si>
  <si>
    <t>PEREZ</t>
  </si>
  <si>
    <t>Manuel Perez Elementary School</t>
  </si>
  <si>
    <t>1241 W 19th St | Chicago, IL 60608</t>
  </si>
  <si>
    <t>PERSHING</t>
  </si>
  <si>
    <t>John J Pershing STEAM Magnet Elementary School</t>
  </si>
  <si>
    <t>3200 S Calumet Ave | Chicago, IL 60616</t>
  </si>
  <si>
    <t>PERSPECTIVES - JOSLIN HS</t>
  </si>
  <si>
    <t>Perspectives - Rodney D. Joslin</t>
  </si>
  <si>
    <t>1930 S Archer Ave | Chicago, IL 60616</t>
  </si>
  <si>
    <t>PERSPECTIVES - LEADERSHIP HS</t>
  </si>
  <si>
    <t>Perspectives - Leadership Academy</t>
  </si>
  <si>
    <t>8522 S Lafayette Ave | Chicago, IL 60620</t>
  </si>
  <si>
    <t>PERSPECTIVES - MATH &amp; SCI HS</t>
  </si>
  <si>
    <t>Perspectives - Math and Science Academy</t>
  </si>
  <si>
    <t>3663 S Wabash Ave | Chicago, IL 60653</t>
  </si>
  <si>
    <t>PERSPECTIVES - TECH HS</t>
  </si>
  <si>
    <t>Perspectives - High School of Technology</t>
  </si>
  <si>
    <t>PETERSON</t>
  </si>
  <si>
    <t>Mary Gage Peterson Elementary School</t>
  </si>
  <si>
    <t>5510 N Christiana Ave | Chicago, IL 60625</t>
  </si>
  <si>
    <t>PHILLIPS HS</t>
  </si>
  <si>
    <t>Wendell Phillips Academy</t>
  </si>
  <si>
    <t>244 E Pershing Rd | Chicago, IL 60653</t>
  </si>
  <si>
    <t>PHOENIX MILITARY HS</t>
  </si>
  <si>
    <t>Phoenix Military Academy</t>
  </si>
  <si>
    <t>145 S Campbell Ave | Chicago, IL 60612</t>
  </si>
  <si>
    <t>PICCOLO</t>
  </si>
  <si>
    <t>Brian Piccolo Elementary Specialty School</t>
  </si>
  <si>
    <t>1040 N Keeler Ave | Chicago, IL 60651</t>
  </si>
  <si>
    <t>PICKARD</t>
  </si>
  <si>
    <t>Josiah Pickard Elementary School</t>
  </si>
  <si>
    <t>2301 W 21st Pl | Chicago, IL 60608</t>
  </si>
  <si>
    <t>PILSEN</t>
  </si>
  <si>
    <t>Pilsen Elementary Community Academy</t>
  </si>
  <si>
    <t>1420 W 17th St | Chicago, IL 60608</t>
  </si>
  <si>
    <t>PIRIE</t>
  </si>
  <si>
    <t>John T Pirie Fine Arts &amp; Academic Center ES</t>
  </si>
  <si>
    <t>650 E 85th St | Chicago, IL 60619</t>
  </si>
  <si>
    <t>PLAMONDON</t>
  </si>
  <si>
    <t>Ambrose Plamondon Elementary School</t>
  </si>
  <si>
    <t>2642 W 15th Pl | Chicago, IL 60608</t>
  </si>
  <si>
    <t>PLATO</t>
  </si>
  <si>
    <t>Plato Learning Academy</t>
  </si>
  <si>
    <t>5545 W Harrison St | Chicago, IL 60644</t>
  </si>
  <si>
    <t>POE</t>
  </si>
  <si>
    <t>Edgar Allan Poe Elementary Classical School</t>
  </si>
  <si>
    <t>10538 S Langley Ave | Chicago, IL 60628</t>
  </si>
  <si>
    <t>POLARIS</t>
  </si>
  <si>
    <t>Polaris Charter Academy</t>
  </si>
  <si>
    <t>620 N Sawyer Ave | Chicago, IL 60624</t>
  </si>
  <si>
    <t>PORTAGE PARK</t>
  </si>
  <si>
    <t>Portage Park Elementary School</t>
  </si>
  <si>
    <t>5330 W Berteau Ave | Chicago, IL 60641</t>
  </si>
  <si>
    <t>POWELL</t>
  </si>
  <si>
    <t>Adam Clayton Powell Paideia Community Academy ES</t>
  </si>
  <si>
    <t>7511 S South Shore Dr | Chicago, IL 60649</t>
  </si>
  <si>
    <t>PRESCOTT</t>
  </si>
  <si>
    <t>William H Prescott Elementary School</t>
  </si>
  <si>
    <t>1632 W Wrightwood Ave | Chicago, IL 60614</t>
  </si>
  <si>
    <t>PRIETO</t>
  </si>
  <si>
    <t>Dr Jorge Prieto Math and Science Academy</t>
  </si>
  <si>
    <t>2231 N Central Ave | Chicago, IL 60639</t>
  </si>
  <si>
    <t>PRITZKER</t>
  </si>
  <si>
    <t>A.N. Pritzker School</t>
  </si>
  <si>
    <t>2009 W Schiller St | Chicago, IL 60622</t>
  </si>
  <si>
    <t>PROSSER HS</t>
  </si>
  <si>
    <t>Charles Allen Prosser Career Academy</t>
  </si>
  <si>
    <t>2148 N Long Ave | Chicago, IL 60639</t>
  </si>
  <si>
    <t>PROVIDENCE ENGLEWOOD</t>
  </si>
  <si>
    <t>Providence Englewood Charter School</t>
  </si>
  <si>
    <t>6515 S Ashland Ave | Chicago, IL 60636</t>
  </si>
  <si>
    <t>PRUSSING</t>
  </si>
  <si>
    <t>Ernst Prussing Elementary School</t>
  </si>
  <si>
    <t>4650 N Menard Ave | Chicago, IL 60630</t>
  </si>
  <si>
    <t>PULASKI</t>
  </si>
  <si>
    <t>Pulaski International School of Chicago</t>
  </si>
  <si>
    <t>2230 W Mclean Ave | Chicago, IL 60647</t>
  </si>
  <si>
    <t>PULLMAN</t>
  </si>
  <si>
    <t>George M Pullman Elementary School</t>
  </si>
  <si>
    <t>11311 S Forrestville Ave | Chicago, IL 60628</t>
  </si>
  <si>
    <t>RABY HS</t>
  </si>
  <si>
    <t>Al Raby High School</t>
  </si>
  <si>
    <t>3545 W Fulton Blvd | Chicago, IL 60624</t>
  </si>
  <si>
    <t>RANDOLPH</t>
  </si>
  <si>
    <t>Asa Philip Randolph Elementary School</t>
  </si>
  <si>
    <t>7316 S Hoyne Ave | Chicago, IL 60636</t>
  </si>
  <si>
    <t>RAVENSWOOD</t>
  </si>
  <si>
    <t>Ravenswood Elementary School</t>
  </si>
  <si>
    <t>4332 N Paulina St | Chicago, IL 60613</t>
  </si>
  <si>
    <t>RAY</t>
  </si>
  <si>
    <t>William H Ray Elementary School</t>
  </si>
  <si>
    <t>5631 S Kimbark Ave | Chicago, IL 60637</t>
  </si>
  <si>
    <t>REAVIS</t>
  </si>
  <si>
    <t>William C Reavis Math &amp; Science Specialty ES</t>
  </si>
  <si>
    <t>834 E 50th St | Chicago, IL 60615</t>
  </si>
  <si>
    <t>REILLY</t>
  </si>
  <si>
    <t>Frank W Reilly Elementary School</t>
  </si>
  <si>
    <t>3650 W School St | Chicago, IL 60618</t>
  </si>
  <si>
    <t>REINBERG</t>
  </si>
  <si>
    <t>Peter A Reinberg Elementary School</t>
  </si>
  <si>
    <t>3425 N Major Ave | Chicago, IL 60634</t>
  </si>
  <si>
    <t>REVERE</t>
  </si>
  <si>
    <t>Paul Revere Elementary School</t>
  </si>
  <si>
    <t>1010 E 72Nd St | Chicago, IL 60619</t>
  </si>
  <si>
    <t>RICHARDS HS</t>
  </si>
  <si>
    <t>Ellen H Richards Career Academy</t>
  </si>
  <si>
    <t>5009 S Laflin St | Chicago, IL 60609</t>
  </si>
  <si>
    <t>RICHARDSON</t>
  </si>
  <si>
    <t>Robert J. Richardson Middle School</t>
  </si>
  <si>
    <t>6018 S Karlov | Chicago, IL 60629</t>
  </si>
  <si>
    <t>RICKOVER MILITARY HS</t>
  </si>
  <si>
    <t>Hyman G Rickover Naval Academy High School</t>
  </si>
  <si>
    <t>5700 W Berteau Ave | Chicago, IL 60634</t>
  </si>
  <si>
    <t>ROBINSON</t>
  </si>
  <si>
    <t>Jackie Robinson Elementary School</t>
  </si>
  <si>
    <t>4225 S Lake Park Ave | Chicago, IL 60653</t>
  </si>
  <si>
    <t>ROGERS</t>
  </si>
  <si>
    <t>Philip Rogers Elementary School</t>
  </si>
  <si>
    <t>7345 N Washtenaw Ave | Chicago, IL 60645</t>
  </si>
  <si>
    <t>ROOSEVELT HS</t>
  </si>
  <si>
    <t>Theodore Roosevelt High School</t>
  </si>
  <si>
    <t>3436 W Wilson Ave | Chicago, IL 60625</t>
  </si>
  <si>
    <t>ROWE</t>
  </si>
  <si>
    <t>Rowe Elementary Charter School</t>
  </si>
  <si>
    <t>1424 N Cleaver St | Chicago, IL 60642</t>
  </si>
  <si>
    <t>RUDOLPH</t>
  </si>
  <si>
    <t>Wilma Rudolph Elementary Learning Center</t>
  </si>
  <si>
    <t>1628 W Washington Blvd | Chicago, IL 60612</t>
  </si>
  <si>
    <t>RUGGLES</t>
  </si>
  <si>
    <t>Martha Ruggles Elementary School</t>
  </si>
  <si>
    <t>7831 S Prairie Ave | Chicago, IL 60619</t>
  </si>
  <si>
    <t>RUIZ</t>
  </si>
  <si>
    <t>Irma C Ruiz Elementary School</t>
  </si>
  <si>
    <t>2410 S Leavitt St | Chicago, IL 60608</t>
  </si>
  <si>
    <t>RYDER</t>
  </si>
  <si>
    <t>William H Ryder Math &amp; Science Specialty ES</t>
  </si>
  <si>
    <t>8716 S Wallace St | Chicago, IL 60620</t>
  </si>
  <si>
    <t>SABIN</t>
  </si>
  <si>
    <t>Albert R Sabin Elementary Magnet School</t>
  </si>
  <si>
    <t>2216 W Hirsch St | Chicago, IL 60622</t>
  </si>
  <si>
    <t>SADLOWSKI</t>
  </si>
  <si>
    <t>Edward E. Sadlowski Elementary School</t>
  </si>
  <si>
    <t>3930 E 105Th | Chicago, IL 60617</t>
  </si>
  <si>
    <t>SAFE ACHIEVE ES</t>
  </si>
  <si>
    <t>Safe Achieve Academy Elementary</t>
  </si>
  <si>
    <t>SAFE</t>
  </si>
  <si>
    <t>7877 S Coles Ave | Chicago, IL 60649</t>
  </si>
  <si>
    <t>SAFE ACHIEVE HS</t>
  </si>
  <si>
    <t>Safe Achieve Academy HS</t>
  </si>
  <si>
    <t>SAFE ACHIEVE WEST HS</t>
  </si>
  <si>
    <t>SAFE Achieve Academy West HS</t>
  </si>
  <si>
    <t>SALAZAR</t>
  </si>
  <si>
    <t>Ruben Salazar Elementary Bilingual Center</t>
  </si>
  <si>
    <t>160 W Wendell St | Chicago, IL 60610</t>
  </si>
  <si>
    <t>SANDOVAL</t>
  </si>
  <si>
    <t>Sandoval Elementary School</t>
  </si>
  <si>
    <t>5534 S Saint Louis Ave | Chicago, IL 60629</t>
  </si>
  <si>
    <t>SAUCEDO</t>
  </si>
  <si>
    <t>Maria Saucedo STEAM Magnet Academy</t>
  </si>
  <si>
    <t>2850 W 24th Blvd | Chicago, IL 60623</t>
  </si>
  <si>
    <t>SAUGANASH</t>
  </si>
  <si>
    <t>Sauganash Elementary School</t>
  </si>
  <si>
    <t>6040 N Kilpatrick Ave | Chicago, IL 60646</t>
  </si>
  <si>
    <t>SAWYER</t>
  </si>
  <si>
    <t>Sidney Sawyer Elementary School</t>
  </si>
  <si>
    <t>5248 S Sawyer Ave | Chicago, IL 60632</t>
  </si>
  <si>
    <t>SAYRE</t>
  </si>
  <si>
    <t>Harriet E Sayre Elementary Language Academy</t>
  </si>
  <si>
    <t>1850 N Newland Ave | Chicago, IL 60707</t>
  </si>
  <si>
    <t>SCAMMON</t>
  </si>
  <si>
    <t>Jonathan Y Scammon Elementary School</t>
  </si>
  <si>
    <t>4201 W Henderson St | Chicago, IL 60641</t>
  </si>
  <si>
    <t>SCHMID</t>
  </si>
  <si>
    <t>Theophilus Schmid Elementary School</t>
  </si>
  <si>
    <t>9755 S Greenwood Ave | Chicago, IL 60628</t>
  </si>
  <si>
    <t>SCHUBERT</t>
  </si>
  <si>
    <t>Franz Peter Schubert Elementary School</t>
  </si>
  <si>
    <t>2727 N Long Ave | Chicago, IL 60639</t>
  </si>
  <si>
    <t>SCHURZ HS</t>
  </si>
  <si>
    <t>Carl Schurz High School</t>
  </si>
  <si>
    <t>3601 N Milwaukee Ave | Chicago, IL 60641</t>
  </si>
  <si>
    <t>SENN HS</t>
  </si>
  <si>
    <t>Nicholas Senn High School</t>
  </si>
  <si>
    <t>5900 N Glenwood Ave | Chicago, IL 60660</t>
  </si>
  <si>
    <t>SEWARD</t>
  </si>
  <si>
    <t>William H Seward Communication Arts Academy</t>
  </si>
  <si>
    <t>4600 S Hermitage Ave | Chicago, IL 60609</t>
  </si>
  <si>
    <t>SHERIDAN</t>
  </si>
  <si>
    <t>Mark Sheridan Math &amp; Science Academy</t>
  </si>
  <si>
    <t>533 W 27th St | Chicago, IL 60616</t>
  </si>
  <si>
    <t>SHERMAN</t>
  </si>
  <si>
    <t>William T Sherman Elementary School</t>
  </si>
  <si>
    <t>1000 W 52Nd St | Chicago, IL 60609</t>
  </si>
  <si>
    <t>SHERWOOD</t>
  </si>
  <si>
    <t>Jesse Sherwood Elementary School</t>
  </si>
  <si>
    <t>245 W 57th St | Chicago, IL 60621</t>
  </si>
  <si>
    <t>SHIELDS</t>
  </si>
  <si>
    <t>James Shields Elementary School</t>
  </si>
  <si>
    <t>4250 S Rockwell St | Chicago, IL 60632</t>
  </si>
  <si>
    <t>SHIELDS MIDDLE</t>
  </si>
  <si>
    <t>James Shields Middle School</t>
  </si>
  <si>
    <t>2611 W 48th St | Chicago, IL 60632</t>
  </si>
  <si>
    <t>SHOESMITH</t>
  </si>
  <si>
    <t>Beulah Shoesmith Elementary School</t>
  </si>
  <si>
    <t>1330 E 50th St | Chicago, IL 60615</t>
  </si>
  <si>
    <t>SHOOP</t>
  </si>
  <si>
    <t>John D Shoop Math-Science Technical Academy ES</t>
  </si>
  <si>
    <t>11140 S Bishop St | Chicago, IL 60643</t>
  </si>
  <si>
    <t>SIMEON HS</t>
  </si>
  <si>
    <t>Neal F Simeon Career Academy High School</t>
  </si>
  <si>
    <t>8147 S Vincennes Ave | Chicago, IL 60620</t>
  </si>
  <si>
    <t>SIMPSON HS</t>
  </si>
  <si>
    <t>Simpson Academy HS for Young Women</t>
  </si>
  <si>
    <t>1321 S Paulina St | Chicago, IL 60608</t>
  </si>
  <si>
    <t>SKINNER</t>
  </si>
  <si>
    <t>Mark Skinner Elementary School</t>
  </si>
  <si>
    <t>1260 W Adams St | Chicago, IL 60607</t>
  </si>
  <si>
    <t>SKINNER NORTH</t>
  </si>
  <si>
    <t>Skinner North</t>
  </si>
  <si>
    <t>640 W Scott St | Chicago, IL 60610</t>
  </si>
  <si>
    <t>SMITH</t>
  </si>
  <si>
    <t>Wendell Smith Elementary School</t>
  </si>
  <si>
    <t>744 E 103rd St | Chicago, IL 60628</t>
  </si>
  <si>
    <t>SMYSER</t>
  </si>
  <si>
    <t>Washington D Smyser Elementary School</t>
  </si>
  <si>
    <t>4310 N Melvina Ave | Chicago, IL 60634</t>
  </si>
  <si>
    <t>SMYTH</t>
  </si>
  <si>
    <t>John M Smyth Elementary School</t>
  </si>
  <si>
    <t>1059 W 13th St | Chicago, IL 60608</t>
  </si>
  <si>
    <t>SOCIAL JUSTICE HS</t>
  </si>
  <si>
    <t>Greater Lawndale High School for Social Justice</t>
  </si>
  <si>
    <t>SOLOMON</t>
  </si>
  <si>
    <t>Hannah G Solomon Elementary School</t>
  </si>
  <si>
    <t>6206 N Hamlin Ave | Chicago, IL 60659</t>
  </si>
  <si>
    <t>SOLORIO HS</t>
  </si>
  <si>
    <t>Eric Solorio Academy High School</t>
  </si>
  <si>
    <t>5400 S St Louis Ave | Chicago, IL 60632</t>
  </si>
  <si>
    <t>SOR JUANA</t>
  </si>
  <si>
    <t>Sor Juana Ines de la Cruz ES</t>
  </si>
  <si>
    <t>4034 W 56Th | Chicago, IL 60629</t>
  </si>
  <si>
    <t>SOUTH LOOP</t>
  </si>
  <si>
    <t>South Loop Elementary School</t>
  </si>
  <si>
    <t>1601 S Dearborn St | Chicago, IL 60616</t>
  </si>
  <si>
    <t>SOUTH SHORE ES</t>
  </si>
  <si>
    <t>South Shore Fine Arts Academy</t>
  </si>
  <si>
    <t>1415 E 70th St | Chicago, IL 60637</t>
  </si>
  <si>
    <t>SOUTH SHORE INTL HS</t>
  </si>
  <si>
    <t>South Shore Intl College Prep High School</t>
  </si>
  <si>
    <t>1955 E 75th St | Chicago, IL 60649</t>
  </si>
  <si>
    <t>SOUTHSIDE HS</t>
  </si>
  <si>
    <t>Southside Occupational Academy</t>
  </si>
  <si>
    <t>7342 S Hoyne Ave | Chicago, IL 60636</t>
  </si>
  <si>
    <t>SPENCER</t>
  </si>
  <si>
    <t>Spencer Technology Academy</t>
  </si>
  <si>
    <t>214 N Lavergne Ave | Chicago, IL 60644</t>
  </si>
  <si>
    <t>SPRY ES</t>
  </si>
  <si>
    <t>John Spry Elementary Community School</t>
  </si>
  <si>
    <t>2400 S Marshall Blvd | Chicago, IL 60623</t>
  </si>
  <si>
    <t>SPRY HS</t>
  </si>
  <si>
    <t>Spry Community Links High School</t>
  </si>
  <si>
    <t>STAGG</t>
  </si>
  <si>
    <t>Amos Alonzo Stagg Elementary School</t>
  </si>
  <si>
    <t>7424 S Morgan St | Chicago, IL 60621</t>
  </si>
  <si>
    <t>STEINMETZ HS</t>
  </si>
  <si>
    <t>Charles P Steinmetz College Preparatory HS</t>
  </si>
  <si>
    <t>3030 N Mobile Ave | Chicago, IL 60634</t>
  </si>
  <si>
    <t>STEM</t>
  </si>
  <si>
    <t>STEM Magnet Academy</t>
  </si>
  <si>
    <t>1522 W Fillmore St | Chicago, IL 60607</t>
  </si>
  <si>
    <t>STEVENSON</t>
  </si>
  <si>
    <t>Adlai E Stevenson Elementary School</t>
  </si>
  <si>
    <t>8010 S Kostner Ave | Chicago, IL 60652</t>
  </si>
  <si>
    <t>STOCK</t>
  </si>
  <si>
    <t>Frederick Stock Elementary School</t>
  </si>
  <si>
    <t>7507 W Birchwood Ave | Chicago, IL 60631</t>
  </si>
  <si>
    <t>STONE</t>
  </si>
  <si>
    <t>Stone Elementary Scholastic Academy</t>
  </si>
  <si>
    <t>6239 N Leavitt St | Chicago, IL 60659</t>
  </si>
  <si>
    <t>STOWE</t>
  </si>
  <si>
    <t>Harriet Beecher Stowe Elementary School</t>
  </si>
  <si>
    <t>3444 W Wabansia Ave | Chicago, IL 60647</t>
  </si>
  <si>
    <t>SUDER</t>
  </si>
  <si>
    <t>Suder Montessori Magnet ES</t>
  </si>
  <si>
    <t>2022 W Washington Blvd | Chicago, IL 60612</t>
  </si>
  <si>
    <t>SULLIVAN HS</t>
  </si>
  <si>
    <t>Roger C Sullivan High School</t>
  </si>
  <si>
    <t>6631 N Bosworth Ave | Chicago, IL 60626</t>
  </si>
  <si>
    <t>SUMNER</t>
  </si>
  <si>
    <t>Charles Sumner Math &amp; Science Community Acad ES</t>
  </si>
  <si>
    <t>4320 W 5th Ave | Chicago, IL 60624</t>
  </si>
  <si>
    <t>SUTHERLAND</t>
  </si>
  <si>
    <t>Elizabeth H Sutherland Elementary School</t>
  </si>
  <si>
    <t>10015 S Leavitt St | Chicago, IL 60643</t>
  </si>
  <si>
    <t>SWIFT</t>
  </si>
  <si>
    <t>George B Swift Elementary Specialty School</t>
  </si>
  <si>
    <t>5900 N Winthrop Ave | Chicago, IL 60660</t>
  </si>
  <si>
    <t>TAFT HS</t>
  </si>
  <si>
    <t>William Howard Taft High School</t>
  </si>
  <si>
    <t>6530 W Bryn Mawr Ave | Chicago, IL 60631</t>
  </si>
  <si>
    <t>TALCOTT</t>
  </si>
  <si>
    <t>Mancel Talcott Elementary School</t>
  </si>
  <si>
    <t>1840 W Ohio St | Chicago, IL 60622</t>
  </si>
  <si>
    <t>TALMAN</t>
  </si>
  <si>
    <t>Talman Elementary School</t>
  </si>
  <si>
    <t>5450 S Talman Ave | Chicago, IL 60632</t>
  </si>
  <si>
    <t>TANNER</t>
  </si>
  <si>
    <t>Henry O Tanner Elementary School</t>
  </si>
  <si>
    <t>7350 S Evans Ave | Chicago, IL 60619</t>
  </si>
  <si>
    <t>TARKINGTON</t>
  </si>
  <si>
    <t>Tarkington School of Excellence</t>
  </si>
  <si>
    <t>3330 W 71st St | Chicago, IL 60629</t>
  </si>
  <si>
    <t>TAYLOR</t>
  </si>
  <si>
    <t>Douglas Taylor Elementary School</t>
  </si>
  <si>
    <t>9912 S Avenue H | Chicago, IL 60617</t>
  </si>
  <si>
    <t>TELPOCHCALLI</t>
  </si>
  <si>
    <t>Telpochcalli Elementary School</t>
  </si>
  <si>
    <t>2832 W 24th Blvd | Chicago, IL 60623</t>
  </si>
  <si>
    <t>THOMAS</t>
  </si>
  <si>
    <t>Velma F Thomas Early Childhood Center</t>
  </si>
  <si>
    <t>3625 S Hoyne Ave | Chicago, IL 60609</t>
  </si>
  <si>
    <t>THORP J</t>
  </si>
  <si>
    <t>James N Thorp Elementary School</t>
  </si>
  <si>
    <t>THORP O</t>
  </si>
  <si>
    <t>Ole A Thorp Elementary Scholastic Academy</t>
  </si>
  <si>
    <t>6024 W Warwick Ave | Chicago, IL 60634</t>
  </si>
  <si>
    <t>TILDEN HS</t>
  </si>
  <si>
    <t>Edward Tilden Career Community Academy HS</t>
  </si>
  <si>
    <t>4747 S Union Ave | Chicago, IL 60609</t>
  </si>
  <si>
    <t>TILL</t>
  </si>
  <si>
    <t>Emmett Louis Till Math and Science Academy</t>
  </si>
  <si>
    <t>6543 S Champlain Ave | Chicago, IL 60637</t>
  </si>
  <si>
    <t>TILTON</t>
  </si>
  <si>
    <t>George W Tilton Elementary School</t>
  </si>
  <si>
    <t>223 N Keeler Ave | Chicago, IL 60624</t>
  </si>
  <si>
    <t>TUBMAN</t>
  </si>
  <si>
    <t xml:space="preserve">Harriet Tubman Elementary School </t>
  </si>
  <si>
    <t>2851 N Seminary Ave | Chicago, IL 60657</t>
  </si>
  <si>
    <t>TURNER-DREW</t>
  </si>
  <si>
    <t>Turner-Drew Elementary Language Academy</t>
  </si>
  <si>
    <t>9300 S Princeton Ave | Chicago, IL 60620</t>
  </si>
  <si>
    <t>TWAIN</t>
  </si>
  <si>
    <t>Mark Twain Elementary School</t>
  </si>
  <si>
    <t>5134 S Lotus Ave | Chicago, IL 60638</t>
  </si>
  <si>
    <t>U OF C - DONOGHUE</t>
  </si>
  <si>
    <t>University of Chicago - Donoghue</t>
  </si>
  <si>
    <t>707 E 37th St | Chicago, IL 60653</t>
  </si>
  <si>
    <t>U OF C - NKO</t>
  </si>
  <si>
    <t>University of Chicago - North Kenwood/Oakland</t>
  </si>
  <si>
    <t>U OF C - WOODLAWN HS</t>
  </si>
  <si>
    <t>University of Chicago - Woodlawn</t>
  </si>
  <si>
    <t>6300 S University Ave | Chicago, IL 60637</t>
  </si>
  <si>
    <t>UPLIFT HS</t>
  </si>
  <si>
    <t>Uplift Community High School</t>
  </si>
  <si>
    <t>900 W Wilson Ave | Chicago, IL 60640</t>
  </si>
  <si>
    <t>URBAN PREP - BRONZEVILLE HS</t>
  </si>
  <si>
    <t>Urban Prep Academy for Young Men - Bronzeville</t>
  </si>
  <si>
    <t>521 E 35th St | Chicago, IL 60616</t>
  </si>
  <si>
    <t>URBAN PREP - ENGLEWOOD HS</t>
  </si>
  <si>
    <t>Urban Prep Academy for Young Men - Englewood</t>
  </si>
  <si>
    <t>6201 S Stewart Ave | Chicago, IL 60621</t>
  </si>
  <si>
    <t>VANDERPOEL</t>
  </si>
  <si>
    <t>John H Vanderpoel Elementary Magnet School</t>
  </si>
  <si>
    <t>9510 S Prospect Ave | Chicago, IL 60643</t>
  </si>
  <si>
    <t>VAUGHN HS</t>
  </si>
  <si>
    <t>Jacqueline B Vaughn Occupational High School</t>
  </si>
  <si>
    <t>4355 N Linder Ave | Chicago, IL 60641</t>
  </si>
  <si>
    <t>VICK</t>
  </si>
  <si>
    <t>Barbara Vick Early Childhood &amp; Family Center</t>
  </si>
  <si>
    <t>2554 W 113th St | Chicago, IL 60655</t>
  </si>
  <si>
    <t>VOLTA</t>
  </si>
  <si>
    <t>Alessandro Volta Elementary School</t>
  </si>
  <si>
    <t>4950 N Avers Ave | Chicago, IL 60625</t>
  </si>
  <si>
    <t>VON LINNE</t>
  </si>
  <si>
    <t>Carl Von Linne Elementary School</t>
  </si>
  <si>
    <t>3221 N Sacramento Ave | Chicago, IL 60618</t>
  </si>
  <si>
    <t>VON STEUBEN HS</t>
  </si>
  <si>
    <t>Friedrich W Von Steuben Metropolitan Science HS</t>
  </si>
  <si>
    <t>5039 N Kimball Ave | Chicago, IL 60625</t>
  </si>
  <si>
    <t>WACKER</t>
  </si>
  <si>
    <t>Charles H Wacker Elementary School</t>
  </si>
  <si>
    <t>9746 S Morgan St | Chicago, IL 60643</t>
  </si>
  <si>
    <t>WADSWORTH</t>
  </si>
  <si>
    <t>James Wadsworth Elementary School</t>
  </si>
  <si>
    <t>6650 S Ellis Ave | Chicago, IL 60637</t>
  </si>
  <si>
    <t>WALSH</t>
  </si>
  <si>
    <t>John A Walsh Elementary School</t>
  </si>
  <si>
    <t>2015 S Peoria St | Chicago, IL 60608</t>
  </si>
  <si>
    <t>WARD J</t>
  </si>
  <si>
    <t>James Ward Elementary School</t>
  </si>
  <si>
    <t>2701 S Shields Ave | Chicago, IL 60616</t>
  </si>
  <si>
    <t>WARD L</t>
  </si>
  <si>
    <t>Laura S Ward Elementary School</t>
  </si>
  <si>
    <t>646 N Lawndale Ave | Chicago, IL 60624</t>
  </si>
  <si>
    <t>WARREN</t>
  </si>
  <si>
    <t>Joseph Warren Elementary School</t>
  </si>
  <si>
    <t>9239 S Jeffery Ave | Chicago, IL 60617</t>
  </si>
  <si>
    <t>WASHINGTON G ES</t>
  </si>
  <si>
    <t>George Washington Elementary School</t>
  </si>
  <si>
    <t>3611 E 114th St | Chicago, IL 60617</t>
  </si>
  <si>
    <t>WASHINGTON H ES</t>
  </si>
  <si>
    <t>Harold Washington Elementary School</t>
  </si>
  <si>
    <t>9130 S University Ave | Chicago, IL 60619</t>
  </si>
  <si>
    <t>WASHINGTON HS</t>
  </si>
  <si>
    <t>George Washington High School</t>
  </si>
  <si>
    <t>3535 E 114th St | Chicago, IL 60617</t>
  </si>
  <si>
    <t>WATERS</t>
  </si>
  <si>
    <t>Thomas J Waters Elementary School</t>
  </si>
  <si>
    <t>4540 N Campbell Ave | Chicago, IL 60625</t>
  </si>
  <si>
    <t>WEBSTER</t>
  </si>
  <si>
    <t>Daniel Webster Elementary School</t>
  </si>
  <si>
    <t>4055 W Arthington St | Chicago, IL 60624</t>
  </si>
  <si>
    <t>WELLS ES</t>
  </si>
  <si>
    <t>Ida B Wells Preparatory Elementary Academy</t>
  </si>
  <si>
    <t>249 E 37th St | Chicago, IL 60653</t>
  </si>
  <si>
    <t>WELLS HS</t>
  </si>
  <si>
    <t>Wells Community Academy High School</t>
  </si>
  <si>
    <t>936 N Ashland Ave | Chicago, IL 60622</t>
  </si>
  <si>
    <t>WENTWORTH</t>
  </si>
  <si>
    <t>Daniel S Wentworth Elementary School</t>
  </si>
  <si>
    <t>1340 W 71st St | Chicago, IL 60636</t>
  </si>
  <si>
    <t>WEST PARK</t>
  </si>
  <si>
    <t>West Park Elementary Academy</t>
  </si>
  <si>
    <t>1425 N Tripp Ave | Chicago, IL 60651</t>
  </si>
  <si>
    <t>WEST RIDGE</t>
  </si>
  <si>
    <t>West Ridge Elementary School</t>
  </si>
  <si>
    <t>6700 N Whipple St | Chicago, IL 60645</t>
  </si>
  <si>
    <t>WESTCOTT</t>
  </si>
  <si>
    <t>Oliver S Westcott Elementary School</t>
  </si>
  <si>
    <t>409 W 80th St | Chicago, IL 60620</t>
  </si>
  <si>
    <t>WESTINGHOUSE HS</t>
  </si>
  <si>
    <t>George Westinghouse College Prep</t>
  </si>
  <si>
    <t>3223 W Franklin Blvd | Chicago, IL 60624</t>
  </si>
  <si>
    <t>WHISTLER</t>
  </si>
  <si>
    <t>John Whistler Elementary School</t>
  </si>
  <si>
    <t>11533 S Ada St | Chicago, IL 60643</t>
  </si>
  <si>
    <t>WHITE</t>
  </si>
  <si>
    <t>Edward White Elementary Career Academy</t>
  </si>
  <si>
    <t>1136 W 122Nd St | Chicago, IL 60643</t>
  </si>
  <si>
    <t>WHITNEY</t>
  </si>
  <si>
    <t>Eli Whitney Elementary School</t>
  </si>
  <si>
    <t>2815 S Komensky Ave | Chicago, IL 60623</t>
  </si>
  <si>
    <t>WHITTIER</t>
  </si>
  <si>
    <t>John Greenleaf Whittier Elementary School</t>
  </si>
  <si>
    <t>1900 W 23rd St | Chicago, IL 60608</t>
  </si>
  <si>
    <t>WILDWOOD</t>
  </si>
  <si>
    <t>Wildwood IB World Magnet School</t>
  </si>
  <si>
    <t>6950 N Hiawatha Ave | Chicago, IL 60646</t>
  </si>
  <si>
    <t>WILLIAMS HS</t>
  </si>
  <si>
    <t>Daniel Hale Williams Prep School of Medicine</t>
  </si>
  <si>
    <t>WOODLAWN</t>
  </si>
  <si>
    <t>Woodlawn Community Elementary School</t>
  </si>
  <si>
    <t>6657 S Kimbark Ave | Chicago, IL 60637</t>
  </si>
  <si>
    <t>WOODSON</t>
  </si>
  <si>
    <t>Carter G Woodson South Elementary School</t>
  </si>
  <si>
    <t>4414 S Evans Ave | Chicago, IL 60653</t>
  </si>
  <si>
    <t>WORLD LANGUAGE HS</t>
  </si>
  <si>
    <t>World Language Academy High School</t>
  </si>
  <si>
    <t>YATES</t>
  </si>
  <si>
    <t>Richard Yates Elementary School</t>
  </si>
  <si>
    <t>1839 N Richmond St | Chicago, IL 60647</t>
  </si>
  <si>
    <t>YCCS - ASPIRA PANTOJA</t>
  </si>
  <si>
    <t>YCCS-ASPIRA,Antonia Pantoja Alternative HS</t>
  </si>
  <si>
    <t>3121 N Pulaski Rd | Chicago, IL 60641</t>
  </si>
  <si>
    <t>YCCS - ASSOCIATION HOUSE</t>
  </si>
  <si>
    <t>YCCS-Association House HS</t>
  </si>
  <si>
    <t>1116 N Kedzie, 4th Floor Ave | Chicago, IL 60651</t>
  </si>
  <si>
    <t>YCCS - CAMPOS</t>
  </si>
  <si>
    <t>YCCS-Dr. Pedro Albizu Campos Puerto Rican HS</t>
  </si>
  <si>
    <t>2739 W Division St | Chicago, IL 60622</t>
  </si>
  <si>
    <t>YCCS - CCA ACADEMY</t>
  </si>
  <si>
    <t>YCCS-CCA Academy HS</t>
  </si>
  <si>
    <t>1231 S Pulaski Rd | Chicago, IL 60623</t>
  </si>
  <si>
    <t>YCCS - CHATHAM</t>
  </si>
  <si>
    <t>YCCS-Chatham AcademyHS</t>
  </si>
  <si>
    <t>9035 S Langley Ave | Chicago, IL 60619</t>
  </si>
  <si>
    <t>YCCS - INNOVATIONS</t>
  </si>
  <si>
    <t>YCCS- Innovations HS of Arts Integration</t>
  </si>
  <si>
    <t>17 N State St | Chicago, IL 60602</t>
  </si>
  <si>
    <t>YCCS - LATINO YOUTH</t>
  </si>
  <si>
    <t>YCCS-Latino Youth Alternative HS</t>
  </si>
  <si>
    <t>2001 S California Ave | Chicago, IL 60608</t>
  </si>
  <si>
    <t>YCCS - MCKINLEY</t>
  </si>
  <si>
    <t>YCCS- McKinley Lakeside Leadership HS</t>
  </si>
  <si>
    <t>2920 S Wabash Ave | Chicago, IL 60616</t>
  </si>
  <si>
    <t>YCCS - OLIVE HARVEY</t>
  </si>
  <si>
    <t>YCCS-Olive Harvey Middle College HS</t>
  </si>
  <si>
    <t>10001 S Woodlawn Ave | Chicago, IL 60628</t>
  </si>
  <si>
    <t>YCCS - PROGRESSIVE LEADERSHIP</t>
  </si>
  <si>
    <t>YCCS-Progressive Leadership Academy</t>
  </si>
  <si>
    <t>6620 S Dr Martin Luther King Jr Dr | Chicago, IL 60637</t>
  </si>
  <si>
    <t>YCCS - SCHOLASTIC ACHIEVEMENT</t>
  </si>
  <si>
    <t>YCCS- Academy of Scholastic Achievement HS</t>
  </si>
  <si>
    <t>4651 W Madison St | Chicago, IL 60644</t>
  </si>
  <si>
    <t>YCCS - SULLIVAN</t>
  </si>
  <si>
    <t>YCCS-Sullivan House Alternative HS</t>
  </si>
  <si>
    <t>8164 S South Chicago Ave | Chicago, IL 60617</t>
  </si>
  <si>
    <t>YCCS - TRUMAN</t>
  </si>
  <si>
    <t>YCCS-Truman Middle College HS</t>
  </si>
  <si>
    <t>1145 W Wilson Ave | Chicago, IL 60640</t>
  </si>
  <si>
    <t>YCCS - WEST</t>
  </si>
  <si>
    <t>YCCS-West HS</t>
  </si>
  <si>
    <t>4909 W Division St | Chicago, IL 60651</t>
  </si>
  <si>
    <t>YCCS - WEST TOWN</t>
  </si>
  <si>
    <t>YCCS-West Town Acad Alternative HS</t>
  </si>
  <si>
    <t>500 N Sacramento Blvd | Chicago, IL 60612</t>
  </si>
  <si>
    <t>YCCS - YOUTH CONNECTION</t>
  </si>
  <si>
    <t>YCCS-Youth Connection Leadership Acad HS</t>
  </si>
  <si>
    <t>1814 S Union Ave | Chicago, IL 60616</t>
  </si>
  <si>
    <t>YCCS - YOUTH DEVELOPMENT</t>
  </si>
  <si>
    <t>YCCS-Community Youth Development Institute HS</t>
  </si>
  <si>
    <t>7836 S Union Ave | Chicago, IL 60620</t>
  </si>
  <si>
    <t>YORK HS</t>
  </si>
  <si>
    <t>Consuella B York Alternative High School</t>
  </si>
  <si>
    <t>2700 S California Ave | Chicago, IL 60608</t>
  </si>
  <si>
    <t>YOUNG ES</t>
  </si>
  <si>
    <t>Ella Flagg Young Elementary School</t>
  </si>
  <si>
    <t>1434 N Parkside Ave | Chicago, IL 60651</t>
  </si>
  <si>
    <t>YOUNG HS</t>
  </si>
  <si>
    <t>Whitney M Young Magnet High School</t>
  </si>
  <si>
    <t>211 S Laflin St | Chicago, IL 60607</t>
  </si>
  <si>
    <t>ZAPATA</t>
  </si>
  <si>
    <t>Emiliano Zapata Elementary Academy</t>
  </si>
  <si>
    <t>2728 S Kostner Ave | Chicago, IL 60623</t>
  </si>
  <si>
    <t>Dr. Terrycita D. Perry</t>
  </si>
  <si>
    <t>Devon LaRosa</t>
  </si>
  <si>
    <t>Julie McGlade</t>
  </si>
  <si>
    <t>Jerry Travlos</t>
  </si>
  <si>
    <t>Michael Boraz</t>
  </si>
  <si>
    <t>Dr. Laura LeMone</t>
  </si>
  <si>
    <t>Alene Mason</t>
  </si>
  <si>
    <t>Mira Weber</t>
  </si>
  <si>
    <t>Shenethe Parks</t>
  </si>
  <si>
    <t>Latasha Geverola</t>
  </si>
  <si>
    <t>Shontae Higginbottom</t>
  </si>
  <si>
    <t>Jennifer Farrell‐Rottman</t>
  </si>
  <si>
    <t>Myron Hester</t>
  </si>
  <si>
    <t>Marilou Rebolledo</t>
  </si>
  <si>
    <t>Gilberto Piedrahita</t>
  </si>
  <si>
    <t>Dr. Ethan Netterstrom</t>
  </si>
  <si>
    <t>Richard Smith</t>
  </si>
  <si>
    <t>Dr. Antonio Acevedo</t>
  </si>
  <si>
    <t>school</t>
  </si>
  <si>
    <t>address</t>
  </si>
  <si>
    <t>network</t>
  </si>
  <si>
    <t>governance</t>
  </si>
  <si>
    <t>4420 S FAIRFIELD AVE</t>
  </si>
  <si>
    <t>2744 W PERSHING RD</t>
  </si>
  <si>
    <t>2050 N NATCHEZ AVE</t>
  </si>
  <si>
    <t>7416 N RIDGE AVE</t>
  </si>
  <si>
    <t>1641 W 16TH ST</t>
  </si>
  <si>
    <t>2845 W BARRY AVE</t>
  </si>
  <si>
    <t>4248 W 47TH ST</t>
  </si>
  <si>
    <t>5050 S HOMAN AVE</t>
  </si>
  <si>
    <t>2916 W 47TH ST</t>
  </si>
  <si>
    <t>2651 W 23RD ST</t>
  </si>
  <si>
    <t>2510 W CORTEZ ST</t>
  </si>
  <si>
    <t>5025 S ST. LOUIS AVE</t>
  </si>
  <si>
    <t>5135 S CALIFORNIA AVE</t>
  </si>
  <si>
    <t>10810 S AVENUE H</t>
  </si>
  <si>
    <t>1643 W BRYN MAWR AVE</t>
  </si>
  <si>
    <t>3630 S WELLS ST</t>
  </si>
  <si>
    <t>4929 N SAWYER AVE</t>
  </si>
  <si>
    <t>2625 N ORCHARD ST</t>
  </si>
  <si>
    <t>2957 N HOYNE AVE</t>
  </si>
  <si>
    <t>630 E 131ST ST</t>
  </si>
  <si>
    <t>5110 N DAMEN AVE</t>
  </si>
  <si>
    <t>1119 E 46TH ST</t>
  </si>
  <si>
    <t>950 W 33RD PL</t>
  </si>
  <si>
    <t>2110 W GREENLEAF AVE</t>
  </si>
  <si>
    <t>7415 S EAST END</t>
  </si>
  <si>
    <t>8300 S ST LOUIS AVE</t>
  </si>
  <si>
    <t>8505 S INGLESIDE AVE</t>
  </si>
  <si>
    <t>2989 N MILWAUKEE AVE</t>
  </si>
  <si>
    <t>3986 W BARRY AVE</t>
  </si>
  <si>
    <t>3729 W LELAND AVE</t>
  </si>
  <si>
    <t>3500 N HOYNE AVE</t>
  </si>
  <si>
    <t>231 N PINE AVE</t>
  </si>
  <si>
    <t>8045 S KENWOOD AVE</t>
  </si>
  <si>
    <t>3212 W GEORGE ST</t>
  </si>
  <si>
    <t>4707 W MARQUETTE RD</t>
  </si>
  <si>
    <t>2111 W 47TH ST</t>
  </si>
  <si>
    <t>10354 S CHARLES ST</t>
  </si>
  <si>
    <t>2828 N KILBOURN AVE</t>
  </si>
  <si>
    <t>7650 S WOLCOTT AVE</t>
  </si>
  <si>
    <t>1140 W 66TH ST</t>
  </si>
  <si>
    <t>4220 N RICHMOND ST</t>
  </si>
  <si>
    <t>6445 W STRONG ST</t>
  </si>
  <si>
    <t>5255 S STATE ST</t>
  </si>
  <si>
    <t>5025 N LARAMIE AVE</t>
  </si>
  <si>
    <t>25 W 47TH ST</t>
  </si>
  <si>
    <t>3151 W WALNUT ST</t>
  </si>
  <si>
    <t>4257 N TRIPP AVE</t>
  </si>
  <si>
    <t>3730 N OAKLEY AVE</t>
  </si>
  <si>
    <t>5252 W PALMER ST</t>
  </si>
  <si>
    <t>10115 S PRAIRIE AVE</t>
  </si>
  <si>
    <t>9101 S EUCLID AVE</t>
  </si>
  <si>
    <t>1420 W GRACE ST</t>
  </si>
  <si>
    <t>6751 W 63RD PL</t>
  </si>
  <si>
    <t>3939 W 79TH ST</t>
  </si>
  <si>
    <t>7050 S MAY ST</t>
  </si>
  <si>
    <t>BOONE</t>
  </si>
  <si>
    <t>6710 N WASHTENAW AVE</t>
  </si>
  <si>
    <t>7355 S JEFFERY BLVD</t>
  </si>
  <si>
    <t>2710 E 89TH ST</t>
  </si>
  <si>
    <t>7736 S BURNHAM AVE</t>
  </si>
  <si>
    <t>4251 N CLARENDON AVE</t>
  </si>
  <si>
    <t>2723 N FAIRFIELD AVE</t>
  </si>
  <si>
    <t>3800 N NEW ENGLAND AVE</t>
  </si>
  <si>
    <t>10740 S CALHOUN AVE</t>
  </si>
  <si>
    <t>3825 S WASHTENAW AVE</t>
  </si>
  <si>
    <t>8 W ROOT</t>
  </si>
  <si>
    <t>4934 S WABASH AVE</t>
  </si>
  <si>
    <t>250 E 111TH ST</t>
  </si>
  <si>
    <t>12607 S UNION AVE</t>
  </si>
  <si>
    <t>54 N HERMITAGE AVE</t>
  </si>
  <si>
    <t>6741 S MICHIGAN AVE</t>
  </si>
  <si>
    <t>932 N CENTRAL AVE</t>
  </si>
  <si>
    <t>2701 W FOSTER AVE</t>
  </si>
  <si>
    <t>2035 N MOBILE AVE</t>
  </si>
  <si>
    <t>5356 S KING DR</t>
  </si>
  <si>
    <t>1630 W BARRY AVE</t>
  </si>
  <si>
    <t>9928 S CRANDON AVE</t>
  </si>
  <si>
    <t>650 E 91ST PL</t>
  </si>
  <si>
    <t>1621 W WABANSIA AVE</t>
  </si>
  <si>
    <t>3542 S WASHTENAW AVE</t>
  </si>
  <si>
    <t>5329 S OAK PARK AVE</t>
  </si>
  <si>
    <t>CALDWELL</t>
  </si>
  <si>
    <t>8546 S CREGIER AVE</t>
  </si>
  <si>
    <t>3456 W 38TH ST</t>
  </si>
  <si>
    <t>1234 N MONTICELLO AVE</t>
  </si>
  <si>
    <t>3000 N MANGO AVE</t>
  </si>
  <si>
    <t>3740 N PANAMA AVE</t>
  </si>
  <si>
    <t>2345 S MILLARD AVE</t>
  </si>
  <si>
    <t>1414 E 61ST PL</t>
  </si>
  <si>
    <t>2929 W 83RD ST</t>
  </si>
  <si>
    <t>5516 S MAPLEWOOD AVE</t>
  </si>
  <si>
    <t>5740 S MICHIGAN AVE</t>
  </si>
  <si>
    <t>901 E 133RD PL</t>
  </si>
  <si>
    <t>13100 S DOTY AVE</t>
  </si>
  <si>
    <t>3501 W POTOMAC AVE</t>
  </si>
  <si>
    <t>11314 S SPAULDING AVE</t>
  </si>
  <si>
    <t>5608 W WASHINGTON BLVD</t>
  </si>
  <si>
    <t>6727 S CALIFORNIA AVE</t>
  </si>
  <si>
    <t>CATALYST - MARIA (HS)</t>
  </si>
  <si>
    <t>2908 W WASHINGTON BLVD</t>
  </si>
  <si>
    <t>2745 W ROOSEVELT RD</t>
  </si>
  <si>
    <t>2135 W FOSTER AVE</t>
  </si>
  <si>
    <t>2021 N POINT ST</t>
  </si>
  <si>
    <t>4747 S MARSHFIELD AVE</t>
  </si>
  <si>
    <t>2714 W AUGUSTA BLVD</t>
  </si>
  <si>
    <t>3400 N AUSTIN AVE</t>
  </si>
  <si>
    <t>AUSL</t>
  </si>
  <si>
    <t>3857 W 111TH ST</t>
  </si>
  <si>
    <t>11816 S INDIANA</t>
  </si>
  <si>
    <t>1257 W 111TH ST</t>
  </si>
  <si>
    <t>7212 N CLARK ST</t>
  </si>
  <si>
    <t>3519 S GILES AVE</t>
  </si>
  <si>
    <t>1301 W 14TH ST</t>
  </si>
  <si>
    <t>2100 E 87TH ST</t>
  </si>
  <si>
    <t>1340 W HARRISON ST</t>
  </si>
  <si>
    <t>2450 W RICE ST</t>
  </si>
  <si>
    <t>5042 S ARTESIAN AVE</t>
  </si>
  <si>
    <t>5235 W BELDEN AVE</t>
  </si>
  <si>
    <t>1501 E 83RD PL</t>
  </si>
  <si>
    <t>1816 W GARFIELD BLVD</t>
  </si>
  <si>
    <t>13300 S LANGLEY AVE</t>
  </si>
  <si>
    <t>2235 N HAMILTON AVE</t>
  </si>
  <si>
    <t>1817 W 80TH ST</t>
  </si>
  <si>
    <t>3820 N SPAULDING AVE</t>
  </si>
  <si>
    <t>1309 W 95TH ST</t>
  </si>
  <si>
    <t>9535 S LOOMIS ST</t>
  </si>
  <si>
    <t>3900 W PETERSON AVE</t>
  </si>
  <si>
    <t>11530 S PRAIRIE AVE</t>
  </si>
  <si>
    <t>110 E 61ST ST</t>
  </si>
  <si>
    <t>2245 N MCVICKER AVE</t>
  </si>
  <si>
    <t>8130 S CALIFORNIA AVE</t>
  </si>
  <si>
    <t>2300 W 64TH ST</t>
  </si>
  <si>
    <t>1045 S MONITOR AVE</t>
  </si>
  <si>
    <t>5101 W HARRISON ST</t>
  </si>
  <si>
    <t>13231 S BURLEY AVE</t>
  </si>
  <si>
    <t>1147 N WESTERN AVE</t>
  </si>
  <si>
    <t>3121 W BYRON ST</t>
  </si>
  <si>
    <t>6110 N FAIRFIELD AVE</t>
  </si>
  <si>
    <t>2350 W 110TH PL</t>
  </si>
  <si>
    <t>1441 W 119TH ST</t>
  </si>
  <si>
    <t>8441 S YATES BLVD</t>
  </si>
  <si>
    <t>COLLINS HS</t>
  </si>
  <si>
    <t>1313 S SACRAMENTO DR</t>
  </si>
  <si>
    <t>4520 S KEDZIE AVE</t>
  </si>
  <si>
    <t>COLUMBUS</t>
  </si>
  <si>
    <t>1003 N LEAVITT ST</t>
  </si>
  <si>
    <t>8150 S BISHOP ST</t>
  </si>
  <si>
    <t>4046 N LEAVITT ST</t>
  </si>
  <si>
    <t>1624 W 19TH ST</t>
  </si>
  <si>
    <t>2510 S KILDARE AVE</t>
  </si>
  <si>
    <t>821 E 103RD ST</t>
  </si>
  <si>
    <t>4420 N BEACON ST</t>
  </si>
  <si>
    <t>2245 W JACKSON BLVD</t>
  </si>
  <si>
    <t>2128 S SAINT LOUIS AVE</t>
  </si>
  <si>
    <t>8324 S RACINE AVE</t>
  </si>
  <si>
    <t>10650 S EBERHART AVE</t>
  </si>
  <si>
    <t>4959 S ARCHER AVE</t>
  </si>
  <si>
    <t>32 E 115TH ST</t>
  </si>
  <si>
    <t>5024 S WOLCOTT AVE</t>
  </si>
  <si>
    <t>3116 W BELDEN AVE</t>
  </si>
  <si>
    <t>6740 S PAULINA ST</t>
  </si>
  <si>
    <t>3014 W 39TH PL</t>
  </si>
  <si>
    <t>3810 W 81ST PL</t>
  </si>
  <si>
    <t>1313 N CLAREMONT AVE</t>
  </si>
  <si>
    <t>7030 N SACRAMENTO AVE</t>
  </si>
  <si>
    <t>7240 S WABASH AVE</t>
  </si>
  <si>
    <t>139 S PARKSIDE AVE</t>
  </si>
  <si>
    <t>2131 W MONROE ST</t>
  </si>
  <si>
    <t>3436 N OSCEOLA AVE</t>
  </si>
  <si>
    <t>1900 W LAWRENCE AVE</t>
  </si>
  <si>
    <t>5415 S UNION AVE</t>
  </si>
  <si>
    <t>8601 W FOSTER AVE</t>
  </si>
  <si>
    <t>4140 N MARINE DR</t>
  </si>
  <si>
    <t>3815 N KEDVALE AVE</t>
  </si>
  <si>
    <t>3900 N LAWNDALE AVE</t>
  </si>
  <si>
    <t>8306 S SAINT LAWRENCE AVE</t>
  </si>
  <si>
    <t>535 E 35TH ST</t>
  </si>
  <si>
    <t>7134 W 65TH ST</t>
  </si>
  <si>
    <t>543 N WALLER AVE</t>
  </si>
  <si>
    <t>2710 S DEARBORN ST</t>
  </si>
  <si>
    <t>1845 W CORTLAND ST</t>
  </si>
  <si>
    <t>330 E 133RD ST</t>
  </si>
  <si>
    <t>6311 S CALUMET AVE</t>
  </si>
  <si>
    <t>3000 S KING DR</t>
  </si>
  <si>
    <t>10845 S UNION AVE</t>
  </si>
  <si>
    <t>8445 S KOLIN AVE</t>
  </si>
  <si>
    <t>3615 W 16TH ST</t>
  </si>
  <si>
    <t>555 E 51ST</t>
  </si>
  <si>
    <t>1710 E 93RD ST</t>
  </si>
  <si>
    <t>2040 W 62ND ST</t>
  </si>
  <si>
    <t>3400 W 65TH PL</t>
  </si>
  <si>
    <t>7350 W PRATT AVE</t>
  </si>
  <si>
    <t>6525 N HIAWATHA AVE</t>
  </si>
  <si>
    <t>6220 N OLCOTT AVE</t>
  </si>
  <si>
    <t>4815 S KARLOV AVE</t>
  </si>
  <si>
    <t>243 N PARKSIDE AVE</t>
  </si>
  <si>
    <t>6835 S NORMAL</t>
  </si>
  <si>
    <t>8255 S HOUSTON AVE</t>
  </si>
  <si>
    <t>3600 W 5TH AVE</t>
  </si>
  <si>
    <t>1405 N WASHTENAW AVE</t>
  </si>
  <si>
    <t>1865 W MONTVALE AVE</t>
  </si>
  <si>
    <t>3419 S BELL AVE</t>
  </si>
  <si>
    <t>3537 S PAULINA ST</t>
  </si>
  <si>
    <t>9811 S LOWE AVE</t>
  </si>
  <si>
    <t>7141 S MORGAN</t>
  </si>
  <si>
    <t>7530 S SOUTH SHORE DR</t>
  </si>
  <si>
    <t>7050 S WASHTENAW AVE</t>
  </si>
  <si>
    <t>6201 S FAIRFIELD AVE</t>
  </si>
  <si>
    <t>3020 N LAMON AVE</t>
  </si>
  <si>
    <t>3250 W MONROE ST</t>
  </si>
  <si>
    <t>5414 N LINDER AVE</t>
  </si>
  <si>
    <t>2345 S CHRISTIANA AVE</t>
  </si>
  <si>
    <t>11220 S WALLACE ST</t>
  </si>
  <si>
    <t>10041 S UNION AVE</t>
  </si>
  <si>
    <t>7019 N ASHLAND AVE</t>
  </si>
  <si>
    <t>2332 S WESTERN AVE</t>
  </si>
  <si>
    <t>6020 S LANGLEY AVE</t>
  </si>
  <si>
    <t>3235 N LECLAIRE AVE</t>
  </si>
  <si>
    <t>9025 S THROOP ST</t>
  </si>
  <si>
    <t>8530 S WOOD ST</t>
  </si>
  <si>
    <t>225 W EVERGREEN AVE</t>
  </si>
  <si>
    <t>4027 W GRENSHAW ST</t>
  </si>
  <si>
    <t>FULLER</t>
  </si>
  <si>
    <t>4214 S ST LAWRENCE AVE</t>
  </si>
  <si>
    <t>5300 S HERMITAGE AVE</t>
  </si>
  <si>
    <t>2010 N CENTRAL PARK AVE</t>
  </si>
  <si>
    <t>5630 S ROCKWELL ST</t>
  </si>
  <si>
    <t>1631 W JONQUIL TER</t>
  </si>
  <si>
    <t>820 S CARPENTER ST</t>
  </si>
  <si>
    <t>10347 S EWING AVE</t>
  </si>
  <si>
    <t>10309 S MORGAN ST</t>
  </si>
  <si>
    <t>5225 N OAK PARK AVE</t>
  </si>
  <si>
    <t>3740 W 31ST ST</t>
  </si>
  <si>
    <t>9301 S STATE ST</t>
  </si>
  <si>
    <t>4647 W 47TH ST</t>
  </si>
  <si>
    <t>2236 N ROCKWELL ST</t>
  </si>
  <si>
    <t>7651 S HOMAN AVE</t>
  </si>
  <si>
    <t>5120 N WINTHROP AVE</t>
  </si>
  <si>
    <t>4436 S UNION AVE</t>
  </si>
  <si>
    <t>2347 S WABASH AVE</t>
  </si>
  <si>
    <t>3730 N LARAMIE AVE</t>
  </si>
  <si>
    <t>8401 S SAGINAW AVE</t>
  </si>
  <si>
    <t>832 W SHERIDAN RD</t>
  </si>
  <si>
    <t>1150 W 96TH ST</t>
  </si>
  <si>
    <t>3525 S HONORE ST</t>
  </si>
  <si>
    <t>3715 W POLK ST</t>
  </si>
  <si>
    <t>8524 S GREEN ST</t>
  </si>
  <si>
    <t>5450 W 64TH PL</t>
  </si>
  <si>
    <t>12810 S ESCANABA AVE</t>
  </si>
  <si>
    <t>4420 S SACRAMENTO AVE</t>
  </si>
  <si>
    <t>247 W 23RD PL</t>
  </si>
  <si>
    <t>6140 S MELVINA AVE</t>
  </si>
  <si>
    <t>11411 S EGGLESTON AVE</t>
  </si>
  <si>
    <t>1650 W CORNELIA AVE</t>
  </si>
  <si>
    <t>4747 S BISHOP ST</t>
  </si>
  <si>
    <t>2819 W 21ST PL</t>
  </si>
  <si>
    <t>3434 W 77TH ST</t>
  </si>
  <si>
    <t>5437 W 64TH PL</t>
  </si>
  <si>
    <t>5411 W FULLERTON AVE</t>
  </si>
  <si>
    <t>9652 S MICHIGAN AVE</t>
  </si>
  <si>
    <t>1556 E 56TH ST</t>
  </si>
  <si>
    <t>7525 S HARVARD</t>
  </si>
  <si>
    <t>4540 N HAMLIN AVE</t>
  </si>
  <si>
    <t>3319 N CLIFTON AVE</t>
  </si>
  <si>
    <t>1018 N LARAMIE AVE</t>
  </si>
  <si>
    <t>1518 W GRANVILLE AVE</t>
  </si>
  <si>
    <t>3010 S PARNELL AVE</t>
  </si>
  <si>
    <t>4640 S LAMON AVE</t>
  </si>
  <si>
    <t>4747 S WINCHESTER AVE</t>
  </si>
  <si>
    <t>4409 W WILCOX ST</t>
  </si>
  <si>
    <t>5650 S WOLCOTT AVE</t>
  </si>
  <si>
    <t>4316 S PRINCETON AVE</t>
  </si>
  <si>
    <t>4250 N SAINT LOUIS AVE</t>
  </si>
  <si>
    <t>3510 W 55TH ST</t>
  </si>
  <si>
    <t>3711 W DOUGLAS BLVD</t>
  </si>
  <si>
    <t>3244 W AINSLIE ST</t>
  </si>
  <si>
    <t>11710 S MORGAN ST</t>
  </si>
  <si>
    <t>7740 S INGLESIDE AVE</t>
  </si>
  <si>
    <t>5625 N MCVICKER AVE</t>
  </si>
  <si>
    <t>1104 W 31ST ST</t>
  </si>
  <si>
    <t>955 W GARFIELD BLVD</t>
  </si>
  <si>
    <t>HOPE LEARNING ACADEMY</t>
  </si>
  <si>
    <t>1628 W WASHINGTON</t>
  </si>
  <si>
    <t>5401 S WESTERN AVE</t>
  </si>
  <si>
    <t>720 N LOREL AVE</t>
  </si>
  <si>
    <t>8905 S CRANDON AVE</t>
  </si>
  <si>
    <t>6200 S HAMLIN AVE</t>
  </si>
  <si>
    <t>4247 W 15TH ST</t>
  </si>
  <si>
    <t>240 W 104TH ST</t>
  </si>
  <si>
    <t>3849 W 69TH PL</t>
  </si>
  <si>
    <t>6220 S STONY ISLAND AVE</t>
  </si>
  <si>
    <t>3120 S KOSTNER AVE</t>
  </si>
  <si>
    <t>2520 S WESTERN AVE</t>
  </si>
  <si>
    <t>2570 S BLUE ISLAND AVE</t>
  </si>
  <si>
    <t>851 W WAVELAND AVE</t>
  </si>
  <si>
    <t>4540 W BELMONT AVE</t>
  </si>
  <si>
    <t>749 S OAKLEY BLVD</t>
  </si>
  <si>
    <t>917 W 88TH ST</t>
  </si>
  <si>
    <t>3149 N WOLCOTT AVE</t>
  </si>
  <si>
    <t>5650 N MOZART ST</t>
  </si>
  <si>
    <t>1100 S HAMILTON AVE</t>
  </si>
  <si>
    <t>3030 W HARRISON ST</t>
  </si>
  <si>
    <t>1420 S ALBANY AVE</t>
  </si>
  <si>
    <t>700 S STATE ST</t>
  </si>
  <si>
    <t>7931 S HONORE ST</t>
  </si>
  <si>
    <t>7414 N WOLCOTT AVE</t>
  </si>
  <si>
    <t>1450 W CERMAK RD</t>
  </si>
  <si>
    <t>10330 S ELIZABETH ST</t>
  </si>
  <si>
    <t>1746 S MILLER ST</t>
  </si>
  <si>
    <t>2233 S KEDZIE AVE</t>
  </si>
  <si>
    <t>3020 W 108TH ST</t>
  </si>
  <si>
    <t>3030 W ARTHINGTON ST</t>
  </si>
  <si>
    <t>9241 S LEAVITT ST</t>
  </si>
  <si>
    <t>4136 S CALIFORNIA AVE</t>
  </si>
  <si>
    <t>4343 W WRIGHTWOOD AVE</t>
  </si>
  <si>
    <t>6325 W 56TH ST</t>
  </si>
  <si>
    <t>5015 S BLACKSTONE AVE</t>
  </si>
  <si>
    <t>6450 S LOWE AVE</t>
  </si>
  <si>
    <t>6700 N GREENVIEW AVE</t>
  </si>
  <si>
    <t>644 W 71ST ST</t>
  </si>
  <si>
    <t>4445 S DREXEL BLVD</t>
  </si>
  <si>
    <t>5625 S MOBILE AVE</t>
  </si>
  <si>
    <t>9351 S LOWE AVE</t>
  </si>
  <si>
    <t>4818 W OHIO ST</t>
  </si>
  <si>
    <t>1616 S AVERS AVE</t>
  </si>
  <si>
    <t>5515 S LOWE AVE</t>
  </si>
  <si>
    <t>730 N PULASKI</t>
  </si>
  <si>
    <t>936 E 54TH ST</t>
  </si>
  <si>
    <t>4015 N ASHLAND AVE</t>
  </si>
  <si>
    <t>2501 W ADDISON ST</t>
  </si>
  <si>
    <t>6010 S THROOP ST</t>
  </si>
  <si>
    <t>4619 S WOLCOTT AVE</t>
  </si>
  <si>
    <t>1734 N ORLEANS ST</t>
  </si>
  <si>
    <t>1148 N HONORE ST</t>
  </si>
  <si>
    <t>138 W 109TH ST</t>
  </si>
  <si>
    <t>3500 W DOUGLAS BLVD</t>
  </si>
  <si>
    <t>3021 W CARROLL AVE</t>
  </si>
  <si>
    <t>1132 S HOMAN AVE</t>
  </si>
  <si>
    <t>212 S FRANCISCO AVE</t>
  </si>
  <si>
    <t>1700 W 83RD ST</t>
  </si>
  <si>
    <t>8914 S BUFFALO AVE</t>
  </si>
  <si>
    <t>6448 S TRIPP AVE</t>
  </si>
  <si>
    <t>3318 W OGDEN AVE</t>
  </si>
  <si>
    <t>4319 W WASHINGTON BLVD</t>
  </si>
  <si>
    <t>512 S LAVERGNE AVE</t>
  </si>
  <si>
    <t>8101 S LASALLE ST</t>
  </si>
  <si>
    <t>1431 N LEAMINGTON AVE</t>
  </si>
  <si>
    <t>5300 S LOOMIS BLVD</t>
  </si>
  <si>
    <t>615 W KEMPER PL</t>
  </si>
  <si>
    <t>LINCOLN PARK ELC</t>
  </si>
  <si>
    <t>2001 N ORCHARD ST</t>
  </si>
  <si>
    <t>6130 S WOLCOTT AVE</t>
  </si>
  <si>
    <t>LITTLE BLACK PEARL HS</t>
  </si>
  <si>
    <t>1060 E 47TH ST</t>
  </si>
  <si>
    <t>2620 S LAWNDALE AVE</t>
  </si>
  <si>
    <t>2103 N LAMON AVE</t>
  </si>
  <si>
    <t>3141 W JACKSON BLVD</t>
  </si>
  <si>
    <t>2828 N OAK PARK AVE</t>
  </si>
  <si>
    <t>3231 N SPRINGFIELD AVE</t>
  </si>
  <si>
    <t>6333 W BLOOMINGDALE AVE</t>
  </si>
  <si>
    <t>3320 W HIRSCH ST</t>
  </si>
  <si>
    <t>1501 N GREENVIEW AVE</t>
  </si>
  <si>
    <t>2941 N MCVICKER AVE</t>
  </si>
  <si>
    <t>3202 W 28TH ST</t>
  </si>
  <si>
    <t>7433 S DORCHESTER AVE</t>
  </si>
  <si>
    <t>1420 N HUDSON AVE</t>
  </si>
  <si>
    <t>2935 W POLK ST</t>
  </si>
  <si>
    <t>8050 S CHAPPEL AVE</t>
  </si>
  <si>
    <t>1920 N HAMLIN AVE</t>
  </si>
  <si>
    <t>6550 S RICHMOND ST</t>
  </si>
  <si>
    <t>9822 S EXCHANGE AVE</t>
  </si>
  <si>
    <t>3250 W ADAMS ST</t>
  </si>
  <si>
    <t>4217 W 18TH ST</t>
  </si>
  <si>
    <t>5835 N LINCOLN AVE</t>
  </si>
  <si>
    <t>2250 N CLIFTON AVE</t>
  </si>
  <si>
    <t>6656 S NORMAL BLVD</t>
  </si>
  <si>
    <t>1841 N SPRINGFIELD AVE</t>
  </si>
  <si>
    <t>MCCLELLAN</t>
  </si>
  <si>
    <t>3527 S WALLACE ST</t>
  </si>
  <si>
    <t>2712 S SAWYER AVE</t>
  </si>
  <si>
    <t>4865 N SHERIDAN RD</t>
  </si>
  <si>
    <t>8801 S INDIANA AVE</t>
  </si>
  <si>
    <t>1419 E 89TH ST</t>
  </si>
  <si>
    <t>6901 S FAIRFIELD AVE</t>
  </si>
  <si>
    <t>4820 W WALTON ST</t>
  </si>
  <si>
    <t>4728 N WOLCOTT AVE</t>
  </si>
  <si>
    <t>3937 W WILCOX ST</t>
  </si>
  <si>
    <t>12339 S NORMAL AVE</t>
  </si>
  <si>
    <t>9000 S EXCHANGE AVE</t>
  </si>
  <si>
    <t>2233 W OHIO ST</t>
  </si>
  <si>
    <t>4415 S DR MARTIN L KING JR DR</t>
  </si>
  <si>
    <t>MONROE</t>
  </si>
  <si>
    <t>3651 W SCHUBERT AVE</t>
  </si>
  <si>
    <t>6936 S HERMITAGE AVE</t>
  </si>
  <si>
    <t>1711 N CALIFORNIA AVE</t>
  </si>
  <si>
    <t>1744 W PRYOR AVE</t>
  </si>
  <si>
    <t>6011 S ROCKWELL ST</t>
  </si>
  <si>
    <t>431 N TROY ST</t>
  </si>
  <si>
    <t>10841 S HOMAN AVE</t>
  </si>
  <si>
    <t>10540 S MORGAN ST</t>
  </si>
  <si>
    <t>416 N LARAMIE AVE</t>
  </si>
  <si>
    <t>2200 N HAMLIN AVE</t>
  </si>
  <si>
    <t>MULTICULTURAL ARTS HIGH SCHOOL</t>
  </si>
  <si>
    <t>3539 W GRACE ST</t>
  </si>
  <si>
    <t>5335 S KENWOOD AVE</t>
  </si>
  <si>
    <t>3737 S PAULINA ST</t>
  </si>
  <si>
    <t>4837 W ERIE ST</t>
  </si>
  <si>
    <t>55 W CERMAK RD</t>
  </si>
  <si>
    <t>8555 S MICHIGAN AVE</t>
  </si>
  <si>
    <t>3252 N BROADWAY ST</t>
  </si>
  <si>
    <t>1707 W MORSE AVE</t>
  </si>
  <si>
    <t>8331 S MACKINAW AVE</t>
  </si>
  <si>
    <t>700 W WILLOW ST</t>
  </si>
  <si>
    <t>6006 S PEORIA ST</t>
  </si>
  <si>
    <t>5250 S ROCKWELL ST</t>
  </si>
  <si>
    <t>8344 S COMMERCIAL AVE</t>
  </si>
  <si>
    <t>2121 N KEELER AVE</t>
  </si>
  <si>
    <t>1615 S CHRISTIANA AVE</t>
  </si>
  <si>
    <t>4127 W HIRSCH ST</t>
  </si>
  <si>
    <t>1443 N OGDEN AVE</t>
  </si>
  <si>
    <t>2040 W ADAMS ST</t>
  </si>
  <si>
    <t>7131 S SOUTH CHICAGO AVE</t>
  </si>
  <si>
    <t>931 S HOMAN AVE</t>
  </si>
  <si>
    <t>1454 W SUPERIOR ST</t>
  </si>
  <si>
    <t>8748 S ABERDEEN ST</t>
  </si>
  <si>
    <t>5321 W GRAND AVE</t>
  </si>
  <si>
    <t>6350 S STEWART AVE</t>
  </si>
  <si>
    <t>2911 W 47TH</t>
  </si>
  <si>
    <t>1 N STATE ST</t>
  </si>
  <si>
    <t>1010 N NOBLE ST</t>
  </si>
  <si>
    <t>4131 W CORTLAND ST</t>
  </si>
  <si>
    <t>1337 W OHIO ST</t>
  </si>
  <si>
    <t>3645 W CHICAGO AVE</t>
  </si>
  <si>
    <t>1231 S DAMEN AVE</t>
  </si>
  <si>
    <t>4338 W WABANSIA AVE</t>
  </si>
  <si>
    <t>3730 W BRYN MAWR AVE</t>
  </si>
  <si>
    <t>5501 N KEDZIE AVE</t>
  </si>
  <si>
    <t>Northwest ECC</t>
  </si>
  <si>
    <t>5900 N NINA AVE</t>
  </si>
  <si>
    <t>24 W WALTON ST</t>
  </si>
  <si>
    <t>1250 W ERIE ST</t>
  </si>
  <si>
    <t>7646 S GREEN ST</t>
  </si>
  <si>
    <t>6940 S MERRILL AVE</t>
  </si>
  <si>
    <t>7500 N HARLEM AVE</t>
  </si>
  <si>
    <t>10928 S HALSTED</t>
  </si>
  <si>
    <t>6057 S WESTERN AVE</t>
  </si>
  <si>
    <t>2401 W CONGRESS PKWY</t>
  </si>
  <si>
    <t>6634 W RAVEN ST</t>
  </si>
  <si>
    <t>5424 N OKETO AVE</t>
  </si>
  <si>
    <t>1940 W 18TH ST</t>
  </si>
  <si>
    <t>730 N PULASKI RD</t>
  </si>
  <si>
    <t>3000 S LAWNDALE AVE</t>
  </si>
  <si>
    <t>525 N ARMOUR ST</t>
  </si>
  <si>
    <t>6550 S SEELEY AVE</t>
  </si>
  <si>
    <t>8247 S CHRISTIANA AVE</t>
  </si>
  <si>
    <t>12302 S STATE ST</t>
  </si>
  <si>
    <t>5051 N KENNETH AVE</t>
  </si>
  <si>
    <t>7037 S RHODES AVE</t>
  </si>
  <si>
    <t>6800 S STEWART AVE</t>
  </si>
  <si>
    <t>6938 S EAST END AVE</t>
  </si>
  <si>
    <t>5825 S KOSTNER AVE</t>
  </si>
  <si>
    <t>3284 W 87TH ST</t>
  </si>
  <si>
    <t>3100 W BELMONT AVE</t>
  </si>
  <si>
    <t>3124 W 47TH ST</t>
  </si>
  <si>
    <t>2421 W DIVISION</t>
  </si>
  <si>
    <t>1034 N WELLS ST</t>
  </si>
  <si>
    <t>4946 S PAULINA ST</t>
  </si>
  <si>
    <t>3826 W 58TH ST</t>
  </si>
  <si>
    <t>1423 W BRYN MAWR AVE</t>
  </si>
  <si>
    <t>1241 W 19TH ST</t>
  </si>
  <si>
    <t>3200 S CALUMET AVE</t>
  </si>
  <si>
    <t>1930 S ARCHER AVE</t>
  </si>
  <si>
    <t>8522 S LAFAYETTE AVE</t>
  </si>
  <si>
    <t>3663 S WABASH AVE</t>
  </si>
  <si>
    <t>5510 N CHRISTIANA AVE</t>
  </si>
  <si>
    <t>244 E PERSHING RD</t>
  </si>
  <si>
    <t>145 S CAMPBELL AVE</t>
  </si>
  <si>
    <t>1040 N KEELER AVE</t>
  </si>
  <si>
    <t>2301 W 21ST PL</t>
  </si>
  <si>
    <t>1420 W 17TH ST</t>
  </si>
  <si>
    <t>650 E 85TH ST</t>
  </si>
  <si>
    <t>2642 W 15TH PL</t>
  </si>
  <si>
    <t>5545 W HARRISON ST</t>
  </si>
  <si>
    <t>10538 S LANGLEY AVE</t>
  </si>
  <si>
    <t>620 N SAWYER AVE</t>
  </si>
  <si>
    <t>5330 W BERTEAU AVE</t>
  </si>
  <si>
    <t>7511 S SOUTH SHORE DR</t>
  </si>
  <si>
    <t>1632 W WRIGHTWOOD AVE</t>
  </si>
  <si>
    <t>2231 N CENTRAL AVE</t>
  </si>
  <si>
    <t>2009 W SCHILLER ST</t>
  </si>
  <si>
    <t>2148 N LONG AVE</t>
  </si>
  <si>
    <t>6515 S ASHLAND AVE</t>
  </si>
  <si>
    <t>4650 N MENARD AVE</t>
  </si>
  <si>
    <t>2230 W MCLEAN AVE</t>
  </si>
  <si>
    <t>11311 S FORRESTVILLE AVE</t>
  </si>
  <si>
    <t>3545 W FULTON BLVD</t>
  </si>
  <si>
    <t>7316 S HOYNE AVE</t>
  </si>
  <si>
    <t>4332 N PAULINA ST</t>
  </si>
  <si>
    <t>5631 S KIMBARK AVE</t>
  </si>
  <si>
    <t>834 E 50TH ST</t>
  </si>
  <si>
    <t>3650 W SCHOOL ST</t>
  </si>
  <si>
    <t>3425 N MAJOR AVE</t>
  </si>
  <si>
    <t>1010 E 72ND ST</t>
  </si>
  <si>
    <t>5009 S LAFLIN ST</t>
  </si>
  <si>
    <t>6018 S KARLOV</t>
  </si>
  <si>
    <t>5700 W BERTEAU AVE</t>
  </si>
  <si>
    <t>4225 S LAKE PARK AVE</t>
  </si>
  <si>
    <t>7345 N WASHTENAW AVE</t>
  </si>
  <si>
    <t>3436 W WILSON AVE</t>
  </si>
  <si>
    <t>1424 N CLEAVER ST</t>
  </si>
  <si>
    <t>1628 W WASHINGTON BLVD</t>
  </si>
  <si>
    <t>7831 S PRAIRIE AVE</t>
  </si>
  <si>
    <t>2410 S LEAVITT ST</t>
  </si>
  <si>
    <t>8716 S WALLACE ST</t>
  </si>
  <si>
    <t>2216 W HIRSCH ST</t>
  </si>
  <si>
    <t>3930 E 105TH</t>
  </si>
  <si>
    <t>7877 S COLES AVE</t>
  </si>
  <si>
    <t>Safe</t>
  </si>
  <si>
    <t>160 W WENDELL ST</t>
  </si>
  <si>
    <t>5534 S SAINT LOUIS AVE</t>
  </si>
  <si>
    <t>2850 W 24TH BLVD</t>
  </si>
  <si>
    <t>6040 N KILPATRICK AVE</t>
  </si>
  <si>
    <t>5248 S SAWYER AVE</t>
  </si>
  <si>
    <t>1850 N NEWLAND AVE</t>
  </si>
  <si>
    <t>4201 W HENDERSON ST</t>
  </si>
  <si>
    <t>9755 S GREENWOOD AVE</t>
  </si>
  <si>
    <t>School Address</t>
  </si>
  <si>
    <t>2727 N LONG AVE</t>
  </si>
  <si>
    <t>3601 N MILWAUKEE AVE</t>
  </si>
  <si>
    <t>5900 N GLENWOOD AVE</t>
  </si>
  <si>
    <t>4600 S HERMITAGE AVE</t>
  </si>
  <si>
    <t>533 W 27TH ST</t>
  </si>
  <si>
    <t>1000 W 52ND ST</t>
  </si>
  <si>
    <t>245 W 57TH ST</t>
  </si>
  <si>
    <t>4250 S ROCKWELL ST</t>
  </si>
  <si>
    <t>2611 W 48TH ST</t>
  </si>
  <si>
    <t>1330 E 50TH ST</t>
  </si>
  <si>
    <t>11140 S BISHOP ST</t>
  </si>
  <si>
    <t>8147 S VINCENNES AVE</t>
  </si>
  <si>
    <t>1321 S PAULINA ST</t>
  </si>
  <si>
    <t>1260 W ADAMS ST</t>
  </si>
  <si>
    <t>640 W SCOTT ST</t>
  </si>
  <si>
    <t>744 E 103RD ST</t>
  </si>
  <si>
    <t>4310 N MELVINA AVE</t>
  </si>
  <si>
    <t>1059 W 13TH ST</t>
  </si>
  <si>
    <t>6206 N HAMLIN AVE</t>
  </si>
  <si>
    <t>5400 S ST LOUIS AVE</t>
  </si>
  <si>
    <t>4034 W 56TH</t>
  </si>
  <si>
    <t>1601 S DEARBORN ST</t>
  </si>
  <si>
    <t>1415 E 70TH ST</t>
  </si>
  <si>
    <t>1955 E 75TH ST</t>
  </si>
  <si>
    <t>7342 S HOYNE AVE</t>
  </si>
  <si>
    <t>214 N LAVERGNE AVE</t>
  </si>
  <si>
    <t>2400 S MARSHALL BLVD</t>
  </si>
  <si>
    <t>7424 S MORGAN ST</t>
  </si>
  <si>
    <t>3030 N MOBILE AVE</t>
  </si>
  <si>
    <t>1522 W FILLMORE ST</t>
  </si>
  <si>
    <t>8010 S KOSTNER AVE</t>
  </si>
  <si>
    <t>7507 W BIRCHWOOD AVE</t>
  </si>
  <si>
    <t>6239 N LEAVITT ST</t>
  </si>
  <si>
    <t>3444 W WABANSIA AVE</t>
  </si>
  <si>
    <t>2022 W WASHINGTON BLVD</t>
  </si>
  <si>
    <t>6631 N BOSWORTH AVE</t>
  </si>
  <si>
    <t>4320 W 5TH AVE</t>
  </si>
  <si>
    <t>10015 S LEAVITT ST</t>
  </si>
  <si>
    <t>5900 N WINTHROP AVE</t>
  </si>
  <si>
    <t>6530 W BRYN MAWR AVE</t>
  </si>
  <si>
    <t>1840 W OHIO ST</t>
  </si>
  <si>
    <t>5450 S TALMAN AVE</t>
  </si>
  <si>
    <t>7350 S EVANS AVE</t>
  </si>
  <si>
    <t>3330 W 71ST ST</t>
  </si>
  <si>
    <t>9912 S AVENUE H</t>
  </si>
  <si>
    <t>2832 W 24TH BLVD</t>
  </si>
  <si>
    <t>3625 S HOYNE AVE</t>
  </si>
  <si>
    <t>6024 W WARWICK AVE</t>
  </si>
  <si>
    <t>4747 S UNION AVE</t>
  </si>
  <si>
    <t>6543 S CHAMPLAIN AVE</t>
  </si>
  <si>
    <t>223 N KEELER AVE</t>
  </si>
  <si>
    <t>TONTI</t>
  </si>
  <si>
    <t>5815 S HOMAN AVE</t>
  </si>
  <si>
    <t>2851 N SEMINARY AVE</t>
  </si>
  <si>
    <t>9300 S PRINCETON AVE</t>
  </si>
  <si>
    <t>5134 S LOTUS AVE</t>
  </si>
  <si>
    <t>707 E 37TH ST</t>
  </si>
  <si>
    <t>6300 S UNIVERSITY AVE</t>
  </si>
  <si>
    <t>900 W WILSON AVE</t>
  </si>
  <si>
    <t>521 E 35TH ST</t>
  </si>
  <si>
    <t>6201 S STEWART AVE</t>
  </si>
  <si>
    <t>9510 S PROSPECT AVE</t>
  </si>
  <si>
    <t>4355 N LINDER AVE</t>
  </si>
  <si>
    <t>2554 W 113TH ST</t>
  </si>
  <si>
    <t>4950 N AVERS AVE</t>
  </si>
  <si>
    <t>3221 N SACRAMENTO AVE</t>
  </si>
  <si>
    <t>5039 N KIMBALL AVE</t>
  </si>
  <si>
    <t>9746 S MORGAN ST</t>
  </si>
  <si>
    <t>6650 S ELLIS AVE</t>
  </si>
  <si>
    <t>2015 S PEORIA ST</t>
  </si>
  <si>
    <t>2701 S SHIELDS AVE</t>
  </si>
  <si>
    <t>646 N LAWNDALE AVE</t>
  </si>
  <si>
    <t>9239 S JEFFERY AVE</t>
  </si>
  <si>
    <t>3611 E 114TH ST</t>
  </si>
  <si>
    <t>9130 S UNIVERSITY AVE</t>
  </si>
  <si>
    <t>3535 E 114TH ST</t>
  </si>
  <si>
    <t>4540 N CAMPBELL AVE</t>
  </si>
  <si>
    <t>4055 W ARTHINGTON ST</t>
  </si>
  <si>
    <t>249 E 37TH ST</t>
  </si>
  <si>
    <t>936 N ASHLAND AVE</t>
  </si>
  <si>
    <t>1340 W 71ST ST</t>
  </si>
  <si>
    <t>1425 N TRIPP AVE</t>
  </si>
  <si>
    <t>6700 N WHIPPLE ST</t>
  </si>
  <si>
    <t>409 W 80TH ST</t>
  </si>
  <si>
    <t>3223 W FRANKLIN BLVD</t>
  </si>
  <si>
    <t>11533 S ADA ST</t>
  </si>
  <si>
    <t>1136 W 122ND ST</t>
  </si>
  <si>
    <t>2815 S KOMENSKY AVE</t>
  </si>
  <si>
    <t>1900 W 23RD ST</t>
  </si>
  <si>
    <t>6950 N HIAWATHA AVE</t>
  </si>
  <si>
    <t>6657 S KIMBARK AVE</t>
  </si>
  <si>
    <t>4414 S EVANS AVE</t>
  </si>
  <si>
    <t>1839 N RICHMOND ST</t>
  </si>
  <si>
    <t>3121 N PULASKI RD</t>
  </si>
  <si>
    <t>1116 N KEDZIE, 4TH FLOOR AVE</t>
  </si>
  <si>
    <t>2739 W DIVISION ST</t>
  </si>
  <si>
    <t>1231 S PULASKI RD</t>
  </si>
  <si>
    <t>9035 S LANGLEY AVE</t>
  </si>
  <si>
    <t>17 N STATE ST</t>
  </si>
  <si>
    <t>2001 S CALIFORNIA AVE</t>
  </si>
  <si>
    <t>2920 S WABASH AVE</t>
  </si>
  <si>
    <t>10001 S WOODLAWN AVE</t>
  </si>
  <si>
    <t>6620 S DR MARTIN LUTHER KING JR DR</t>
  </si>
  <si>
    <t>4651 W MADISON ST</t>
  </si>
  <si>
    <t>8164 S SOUTH CHICAGO AVE</t>
  </si>
  <si>
    <t>1145 W WILSON AVE</t>
  </si>
  <si>
    <t>4909 W DIVISION ST</t>
  </si>
  <si>
    <t>500 N SACRAMENTO BLVD</t>
  </si>
  <si>
    <t>1814 S UNION AVE</t>
  </si>
  <si>
    <t>7836 S UNION AVE</t>
  </si>
  <si>
    <t>2700 S CALIFORNIA AVE</t>
  </si>
  <si>
    <t>1434 N PARKSIDE AVE</t>
  </si>
  <si>
    <t>211 S LAFLIN ST</t>
  </si>
  <si>
    <t>2728 S KOSTNER AVE</t>
  </si>
  <si>
    <t>Rep</t>
  </si>
  <si>
    <t>Jennifer Custer</t>
  </si>
  <si>
    <t>CBOE1b</t>
  </si>
  <si>
    <t>Ebony DeBerry</t>
  </si>
  <si>
    <t>CBOE2a</t>
  </si>
  <si>
    <t>Carlos Rivas</t>
  </si>
  <si>
    <t>CBOE3b</t>
  </si>
  <si>
    <t>Ellen Rosenfeld</t>
  </si>
  <si>
    <t>CBOE4b</t>
  </si>
  <si>
    <t>Aaron "Jitu" Brown</t>
  </si>
  <si>
    <t>CBOE5a</t>
  </si>
  <si>
    <t>Jessica Biggs</t>
  </si>
  <si>
    <t>CBOE6b</t>
  </si>
  <si>
    <t>Yesenia Lopez</t>
  </si>
  <si>
    <t>CBOE7b</t>
  </si>
  <si>
    <t>Angel Gutierrez</t>
  </si>
  <si>
    <t>CBOE8a</t>
  </si>
  <si>
    <t>Therese Boyle</t>
  </si>
  <si>
    <t>CBOE9b</t>
  </si>
  <si>
    <t>Che "Rhymefest" Smith</t>
  </si>
  <si>
    <t>CBOE10a</t>
  </si>
  <si>
    <t>Ed Bannon</t>
  </si>
  <si>
    <t>CBOE1a</t>
  </si>
  <si>
    <t>Debby Pope</t>
  </si>
  <si>
    <t>CBOE2b</t>
  </si>
  <si>
    <t>Norma Rios-Sierra</t>
  </si>
  <si>
    <t>CBOE3a</t>
  </si>
  <si>
    <t>Karen Zaccor</t>
  </si>
  <si>
    <t>CBOE4a</t>
  </si>
  <si>
    <t>Michilla Blaise</t>
  </si>
  <si>
    <t>CBOE5b</t>
  </si>
  <si>
    <t>Anusha Thotakura</t>
  </si>
  <si>
    <t>CBOE6a</t>
  </si>
  <si>
    <t>Emma Lozano</t>
  </si>
  <si>
    <t>CBOE7a</t>
  </si>
  <si>
    <t>Cydney Wallace</t>
  </si>
  <si>
    <t>CBOE8b</t>
  </si>
  <si>
    <t>Frank Niles Thomas</t>
  </si>
  <si>
    <t>CBOE9a</t>
  </si>
  <si>
    <t>Olga Bautista</t>
  </si>
  <si>
    <t>CBOE10b</t>
  </si>
  <si>
    <t>5Essentials</t>
  </si>
  <si>
    <t>Short Name</t>
  </si>
  <si>
    <t># Student Enrollment</t>
  </si>
  <si>
    <t>Acero Chtr Sch Network - Brighton Park Elem School</t>
  </si>
  <si>
    <t>Acero Chtr Sch Network- Sandra Cisneros Elem School</t>
  </si>
  <si>
    <t>Acero Chtr Sch Newtwork - Roberto Clemente Elem School</t>
  </si>
  <si>
    <t>Acero Chtr Sch Network- Sor Juana Ines de la Cruz K-12</t>
  </si>
  <si>
    <t>Acero Chtr Sch Network - Bartolome de las Casas Elem Sch</t>
  </si>
  <si>
    <t>Acero Chtr Sch Network - Carlos Fuentes Elem School</t>
  </si>
  <si>
    <t>Acero Chtr Sch Network - Major Hector P Garcia MD H S</t>
  </si>
  <si>
    <t>Acero Chtr Sch Network - Jovita Idar Elem School</t>
  </si>
  <si>
    <t>Acero Chtr Sch Network - Officer Donald J Marquez Elem</t>
  </si>
  <si>
    <t>Acero Chtr Sch Network - Octavio Paz Elem School</t>
  </si>
  <si>
    <t>Acero Chtr Sch Network - Esmeralda Santiago Elem Sch</t>
  </si>
  <si>
    <t>Acero Chtr Sch Network Victoria Soto Campus</t>
  </si>
  <si>
    <t>Acero Chtr Sch Network - Rufino Tamayo Elem Sch</t>
  </si>
  <si>
    <t>Acero Chtr Sch Network - PFC Omar E Torres Elem Sch</t>
  </si>
  <si>
    <t>Acero Chtr Sch Network - SPC Daniel Zizumbo Elem Sch</t>
  </si>
  <si>
    <t>Addams Elem School</t>
  </si>
  <si>
    <t>Asian Human Services -Passage Chrtr</t>
  </si>
  <si>
    <t>Air Force Acad High School</t>
  </si>
  <si>
    <t>Albany Park Multicultural Elem</t>
  </si>
  <si>
    <t>Alcott Elem School</t>
  </si>
  <si>
    <t>Alcott College Prep</t>
  </si>
  <si>
    <t>Aldridge Elem School</t>
  </si>
  <si>
    <t>Amundsen High School</t>
  </si>
  <si>
    <t>Ariel Elem Community Academy</t>
  </si>
  <si>
    <t>Armour Elem School</t>
  </si>
  <si>
    <t>Armstrong G Elem IntL Studies</t>
  </si>
  <si>
    <t>Ashburn Community Elem School</t>
  </si>
  <si>
    <t>Ashe Elem School</t>
  </si>
  <si>
    <t>Aspira Charter - Business and Finance HS</t>
  </si>
  <si>
    <t>ASPIRA Charter - Early College Prep HS</t>
  </si>
  <si>
    <t>ASPIRA Charter - Haugan Campus</t>
  </si>
  <si>
    <t>Audubon Elem School</t>
  </si>
  <si>
    <t>Avalon Park Elem School</t>
  </si>
  <si>
    <t>Avondale - Logandale Elementary School</t>
  </si>
  <si>
    <t>Azuela Elem School</t>
  </si>
  <si>
    <t>Back of The Yards IB HS</t>
  </si>
  <si>
    <t>Barnard Elem Comp Math &amp; Sci Ctr</t>
  </si>
  <si>
    <t>Barry Elem School</t>
  </si>
  <si>
    <t>Barton Elem School</t>
  </si>
  <si>
    <t>Bass Elem School</t>
  </si>
  <si>
    <t>Bateman Elem School</t>
  </si>
  <si>
    <t>Beard Elem School</t>
  </si>
  <si>
    <t>Beasley Elem Magnet Academic Ctr</t>
  </si>
  <si>
    <t>Beaubien Elem School</t>
  </si>
  <si>
    <t>Beethoven Elem School</t>
  </si>
  <si>
    <t>Beidler Elem School</t>
  </si>
  <si>
    <t>Belding Elem School</t>
  </si>
  <si>
    <t>Bell Elem School</t>
  </si>
  <si>
    <t>Belmont-Cragin Elem School</t>
  </si>
  <si>
    <t>Bennett Elem School</t>
  </si>
  <si>
    <t>Black Magnet Elem School</t>
  </si>
  <si>
    <t>Blaine Elem School</t>
  </si>
  <si>
    <t>Bogan High School</t>
  </si>
  <si>
    <t>Bond Elem School</t>
  </si>
  <si>
    <t>#N/</t>
  </si>
  <si>
    <t>Bouchet Elem Math &amp; Science Acad</t>
  </si>
  <si>
    <t>Bradwell Comm Arts &amp; Sci Elem Sch</t>
  </si>
  <si>
    <t>Brennemann Elem School</t>
  </si>
  <si>
    <t>Brentano Elem Math &amp; Science Acad</t>
  </si>
  <si>
    <t>Bridge Elem School</t>
  </si>
  <si>
    <t>Bright Elem School</t>
  </si>
  <si>
    <t>Brighton Park Elem School</t>
  </si>
  <si>
    <t>Bronzeville Scholastic HS</t>
  </si>
  <si>
    <t>Brooks College Prep Academy HS</t>
  </si>
  <si>
    <t>Brown R Elem Community Acad</t>
  </si>
  <si>
    <t>Brown W Elem School</t>
  </si>
  <si>
    <t>Brownell Elem School</t>
  </si>
  <si>
    <t>Brunson Math &amp; Sci Specialty Elem</t>
  </si>
  <si>
    <t>Budlong Elem School</t>
  </si>
  <si>
    <t>Burbank Elem School</t>
  </si>
  <si>
    <t>Burke Elem School</t>
  </si>
  <si>
    <t>Burley Elem School</t>
  </si>
  <si>
    <t>Burnham Elem Inclusive Academy</t>
  </si>
  <si>
    <t>Burnside Elem Scholastic Academy</t>
  </si>
  <si>
    <t>Burr Elem School</t>
  </si>
  <si>
    <t>Burroughs Elem School</t>
  </si>
  <si>
    <t>Byrne Elem School</t>
  </si>
  <si>
    <t>Calmeca Acad Elem School</t>
  </si>
  <si>
    <t>Cameron Elem School</t>
  </si>
  <si>
    <t>Camras Elem School</t>
  </si>
  <si>
    <t>Canty Elem School</t>
  </si>
  <si>
    <t>Cardenas Elem School</t>
  </si>
  <si>
    <t>Carnegie Elem School</t>
  </si>
  <si>
    <t>Carroll Elem School</t>
  </si>
  <si>
    <t>Carson Elem School</t>
  </si>
  <si>
    <t>Carter Elem School</t>
  </si>
  <si>
    <t>Carver Primary School</t>
  </si>
  <si>
    <t>Carver Military Academy HS</t>
  </si>
  <si>
    <t>Casals Elem School</t>
  </si>
  <si>
    <t>Cassell Elem School</t>
  </si>
  <si>
    <t>Catalyst Charter-Circle Rock ES</t>
  </si>
  <si>
    <t>Catalyst Charter - Maria ES</t>
  </si>
  <si>
    <t>Cather Elem School</t>
  </si>
  <si>
    <t>Chalmers Elem Specialty School</t>
  </si>
  <si>
    <t>Chappell Elem School</t>
  </si>
  <si>
    <t>Chase Elem School</t>
  </si>
  <si>
    <t>Chavez Elem Multicultural Acad Ct</t>
  </si>
  <si>
    <t>Chicago HS for the Arts</t>
  </si>
  <si>
    <t>Chicago Academy Elem School</t>
  </si>
  <si>
    <t>Chicago HS for Agricult Sciences</t>
  </si>
  <si>
    <t>Chicago Collegiate Charter School</t>
  </si>
  <si>
    <t>Chicago Math &amp; Sci Elem Charter</t>
  </si>
  <si>
    <t>Chicago Military Academy HS</t>
  </si>
  <si>
    <t>Chicago Technology Academy HS</t>
  </si>
  <si>
    <t>Chicago Vocational Career Acad HS</t>
  </si>
  <si>
    <t>Chopin Elem School</t>
  </si>
  <si>
    <t>Christopher Elem School</t>
  </si>
  <si>
    <t>Christopher House Chrt ES</t>
  </si>
  <si>
    <t>CICS - Avalon/South Shore</t>
  </si>
  <si>
    <t>CICS - Basil Campus</t>
  </si>
  <si>
    <t>CICS - Bond Campus</t>
  </si>
  <si>
    <t>CICS - Bucktown Campus</t>
  </si>
  <si>
    <t>CICS - Ralph Ellison Campus</t>
  </si>
  <si>
    <t>CICS - Irving Park Campus</t>
  </si>
  <si>
    <t>CICS - Longwood Campus</t>
  </si>
  <si>
    <t>CICS - Loomis Primary Campus</t>
  </si>
  <si>
    <t>CICS - Northtown Campus</t>
  </si>
  <si>
    <t>CICS - Prairie Campus</t>
  </si>
  <si>
    <t>CICS - Washington Pk Campus</t>
  </si>
  <si>
    <t>CICS - West Belden Campus</t>
  </si>
  <si>
    <t>CICS - Wrightwood</t>
  </si>
  <si>
    <t>Claremont Academy Elem School</t>
  </si>
  <si>
    <t>Clark G R Elem School</t>
  </si>
  <si>
    <t>Clark Acad Prep Magnet High Schl</t>
  </si>
  <si>
    <t>Clay Elem School</t>
  </si>
  <si>
    <t>Clemente Community Academy HS</t>
  </si>
  <si>
    <t>Cleveland Elem School</t>
  </si>
  <si>
    <t>Clinton Elem School</t>
  </si>
  <si>
    <t>Clissold Elem School</t>
  </si>
  <si>
    <t>Colemon J Elem Academy</t>
  </si>
  <si>
    <t>Coles Elem Language Academy</t>
  </si>
  <si>
    <t>Collins Academy High School</t>
  </si>
  <si>
    <t>Columbia Explorers Elem Academy</t>
  </si>
  <si>
    <t>Columbus Elem School</t>
  </si>
  <si>
    <t>Cook Elem School</t>
  </si>
  <si>
    <t>Coonley Elem School</t>
  </si>
  <si>
    <t>Cooper Elem Dual Language Academy</t>
  </si>
  <si>
    <t>Corkery Elem School</t>
  </si>
  <si>
    <t>Corliss High School</t>
  </si>
  <si>
    <t>Courtenay Elem Language Arts Ctr</t>
  </si>
  <si>
    <t>Crane Medical Prep HS</t>
  </si>
  <si>
    <t>Crown Elem Comm Acd Fine Arts Ctr</t>
  </si>
  <si>
    <t>Cuffe Math-Sci Tech Elem Academy</t>
  </si>
  <si>
    <t>Cullen Elem School</t>
  </si>
  <si>
    <t>Curie Metropolitan High School</t>
  </si>
  <si>
    <t>Curtis Elem School</t>
  </si>
  <si>
    <t>Daley Elem Academy</t>
  </si>
  <si>
    <t>Darwin Elem School</t>
  </si>
  <si>
    <t>Davis M Magnet Elem School</t>
  </si>
  <si>
    <t>Davis N Elem School</t>
  </si>
  <si>
    <t>Dawes Elem School</t>
  </si>
  <si>
    <t>De Diego Elem Community Academy</t>
  </si>
  <si>
    <t>Decatur Classical Elem School</t>
  </si>
  <si>
    <t>Deneen Elem School</t>
  </si>
  <si>
    <t>Depriest Elem School</t>
  </si>
  <si>
    <t>Dett Elem School</t>
  </si>
  <si>
    <t>Dever Elem School</t>
  </si>
  <si>
    <t>Devry Advantage Academy High Schl</t>
  </si>
  <si>
    <t>Dewey Elem Academy of Fine Arts</t>
  </si>
  <si>
    <t>Dirksen Elem School</t>
  </si>
  <si>
    <t>Disney Elem Magnet School</t>
  </si>
  <si>
    <t>Disney II Elem School</t>
  </si>
  <si>
    <t>Disney II Magnet HS</t>
  </si>
  <si>
    <t>Dixon Elem School</t>
  </si>
  <si>
    <t>James R Doolittle Academy</t>
  </si>
  <si>
    <t>Dore Elem School</t>
  </si>
  <si>
    <t>Douglass Academy High School</t>
  </si>
  <si>
    <t>Drake Elem School</t>
  </si>
  <si>
    <t>Drummond Elem School</t>
  </si>
  <si>
    <t>Dubois Elem School</t>
  </si>
  <si>
    <t>Dulles Elem School</t>
  </si>
  <si>
    <t>Dunbar Vocational Career Acad HS</t>
  </si>
  <si>
    <t>Dunne Technology Acad Elem Sch</t>
  </si>
  <si>
    <t>Durkin Park Elem School</t>
  </si>
  <si>
    <t>Dvorak Technology Acad Elem Sch</t>
  </si>
  <si>
    <t>Earhart Elem Opt for Knowl School</t>
  </si>
  <si>
    <t>Earle Elem School</t>
  </si>
  <si>
    <t>Eberhart Elem School</t>
  </si>
  <si>
    <t>Ebinger Elem School</t>
  </si>
  <si>
    <t>Edgebrook Elem School</t>
  </si>
  <si>
    <t>Edison Elem Regional Gifted Cntr</t>
  </si>
  <si>
    <t>Edison Park Elem School</t>
  </si>
  <si>
    <t>Edwards Elem School</t>
  </si>
  <si>
    <t>Ellington Elem School</t>
  </si>
  <si>
    <t>EPIC Academy High School</t>
  </si>
  <si>
    <t>Ericson Elem Scholastic Academy</t>
  </si>
  <si>
    <t>Erie Elem Charter School</t>
  </si>
  <si>
    <t>Esmond Elem School</t>
  </si>
  <si>
    <t>Everett Elem School</t>
  </si>
  <si>
    <t>Evergreen Academy Elem School</t>
  </si>
  <si>
    <t>Evers Elem School</t>
  </si>
  <si>
    <t>Fairfield Elem Academy</t>
  </si>
  <si>
    <t>Falconer Elem School</t>
  </si>
  <si>
    <t>Faraday Elem School</t>
  </si>
  <si>
    <t>Farnsworth Elem School</t>
  </si>
  <si>
    <t>Farragut Career Academy HS</t>
  </si>
  <si>
    <t>Fenger Academy High School</t>
  </si>
  <si>
    <t>Fernwood Elem School</t>
  </si>
  <si>
    <t>Field Elem School</t>
  </si>
  <si>
    <t>Finkl Elem School</t>
  </si>
  <si>
    <t>Fiske Elem School</t>
  </si>
  <si>
    <t>Foreman High School</t>
  </si>
  <si>
    <t>Fort Dearborn Elem School</t>
  </si>
  <si>
    <t>Foster Park Elem School</t>
  </si>
  <si>
    <t>Franklin Elem Fine Arts Center</t>
  </si>
  <si>
    <t>Frazier Perspectives Magnet ES</t>
  </si>
  <si>
    <t>Fuller Elem School</t>
  </si>
  <si>
    <t>Fulton Elem School</t>
  </si>
  <si>
    <t>Funston Elem School</t>
  </si>
  <si>
    <t>Gale Elem Community Academy</t>
  </si>
  <si>
    <t>Galileo Elem Math &amp; Sci Schol Acd</t>
  </si>
  <si>
    <t>Gallistel Elem Language Academy</t>
  </si>
  <si>
    <t>Garvey M Elem School</t>
  </si>
  <si>
    <t>Garvy J Elem School</t>
  </si>
  <si>
    <t>Gary Elem School</t>
  </si>
  <si>
    <t>Gillespie Elem School</t>
  </si>
  <si>
    <t>Goethe Elem School</t>
  </si>
  <si>
    <t>Goode STEM Academy HS</t>
  </si>
  <si>
    <t>Goudy Technology Academy</t>
  </si>
  <si>
    <t>Graham A Elem School</t>
  </si>
  <si>
    <t>Gray Elem School</t>
  </si>
  <si>
    <t>Great Lakes Academy Charter ES</t>
  </si>
  <si>
    <t>Greeley Elem School</t>
  </si>
  <si>
    <t>Green W Elem School</t>
  </si>
  <si>
    <t>Greene N Elem School</t>
  </si>
  <si>
    <t>Gregory Math &amp; Sci Elem Academy</t>
  </si>
  <si>
    <t>Gresham Elem School</t>
  </si>
  <si>
    <t>Grimes Elem School</t>
  </si>
  <si>
    <t>Grissom Elem School</t>
  </si>
  <si>
    <t>Gunsaulus Elem Scholastic Academy</t>
  </si>
  <si>
    <t>Haines Elem School</t>
  </si>
  <si>
    <t>Hale Elem School</t>
  </si>
  <si>
    <t>Haley Elem Academy</t>
  </si>
  <si>
    <t>Hamilton Elem School</t>
  </si>
  <si>
    <t>Hamline Elem School</t>
  </si>
  <si>
    <t>Hammond Elem School</t>
  </si>
  <si>
    <t>Hampton Elem Fine &amp; Perf Arts Sch</t>
  </si>
  <si>
    <t>Hancock College Preparatory HS</t>
  </si>
  <si>
    <t>Hanson Park Elem School</t>
  </si>
  <si>
    <t>Harlan Community Academy HS</t>
  </si>
  <si>
    <t>Bret Harte Elem School</t>
  </si>
  <si>
    <t>Harvard Elem School</t>
  </si>
  <si>
    <t>Haugan Elem School</t>
  </si>
  <si>
    <t>Hawthorne Elem Scholastic Academy</t>
  </si>
  <si>
    <t>Hay Elem Community Academy</t>
  </si>
  <si>
    <t>Hayt Elem School</t>
  </si>
  <si>
    <t>Healy Elem School</t>
  </si>
  <si>
    <t>Hearst Elem School</t>
  </si>
  <si>
    <t>Hedges Elem School</t>
  </si>
  <si>
    <t>Hefferan Elem School</t>
  </si>
  <si>
    <t>Henderson Elem School</t>
  </si>
  <si>
    <t>Hendricks Elem Community Academy</t>
  </si>
  <si>
    <t>Henry Elem School</t>
  </si>
  <si>
    <t>Hernandez Middle School</t>
  </si>
  <si>
    <t>Herzl Elem School</t>
  </si>
  <si>
    <t>Hibbard Elem School</t>
  </si>
  <si>
    <t>Higgins Elem Community Academy</t>
  </si>
  <si>
    <t>Hirsch Metropolitan High School</t>
  </si>
  <si>
    <t>Hitch Elem School</t>
  </si>
  <si>
    <t>Holden Elem School</t>
  </si>
  <si>
    <t>Holmes Elem School</t>
  </si>
  <si>
    <t>Hope Learning Academy</t>
  </si>
  <si>
    <t>Horizon Sci Academy - Southwest Charter</t>
  </si>
  <si>
    <t>Howe Elem School</t>
  </si>
  <si>
    <t>Hoyne Elem School</t>
  </si>
  <si>
    <t>Hubbard High School</t>
  </si>
  <si>
    <t>Hughes C Elem School</t>
  </si>
  <si>
    <t>Hughes L Elem School</t>
  </si>
  <si>
    <t>Hurley Elem School</t>
  </si>
  <si>
    <t>Infinity Math Science &amp; Tech HS</t>
  </si>
  <si>
    <t>IHSCA Charter High School</t>
  </si>
  <si>
    <t>Inter-American Elem Magnet School</t>
  </si>
  <si>
    <t>Intrinsic Charter High School</t>
  </si>
  <si>
    <t>Irving Elem School</t>
  </si>
  <si>
    <t>Jackson M Elem School</t>
  </si>
  <si>
    <t>Jahn Elem School</t>
  </si>
  <si>
    <t>Jamieson Elem School</t>
  </si>
  <si>
    <t>Jensen Elem Scholastic Academy</t>
  </si>
  <si>
    <t>Johnson Elem School</t>
  </si>
  <si>
    <t>Jones College Prep High School</t>
  </si>
  <si>
    <t>Joplin Elem School</t>
  </si>
  <si>
    <t>Jordan Elem Community School</t>
  </si>
  <si>
    <t>Juarez Community Academy HS</t>
  </si>
  <si>
    <t>Julian High School</t>
  </si>
  <si>
    <t>Jungman Elem School</t>
  </si>
  <si>
    <t>Kanoon Elem Magnet School</t>
  </si>
  <si>
    <t>Keller Elem Gifted Magnet School</t>
  </si>
  <si>
    <t>Kellman Corporate Community Elem</t>
  </si>
  <si>
    <t>Kellogg Elem School</t>
  </si>
  <si>
    <t>Kennedy High School</t>
  </si>
  <si>
    <t>Kenwood Academy High School</t>
  </si>
  <si>
    <t>Kershaw Elem School</t>
  </si>
  <si>
    <t>Kilmer Elem School</t>
  </si>
  <si>
    <t>King Academy of Social Justice</t>
  </si>
  <si>
    <t>King College Prep High School</t>
  </si>
  <si>
    <t>Kinzie Elem School</t>
  </si>
  <si>
    <t>Kipling Elem School</t>
  </si>
  <si>
    <t>KIPP Chicago Charters - Ascend Academy</t>
  </si>
  <si>
    <t>KIPP Chicago Charters - Bloom Campus</t>
  </si>
  <si>
    <t>KIPP Chicago Charter School - KIPP One Academy</t>
  </si>
  <si>
    <t>Kozminski Elem Community Academy</t>
  </si>
  <si>
    <t>Lane Technical High School</t>
  </si>
  <si>
    <t>Langford A Elem School</t>
  </si>
  <si>
    <t>Lara Elem Academy</t>
  </si>
  <si>
    <t>LaSalle Elem Language Academy</t>
  </si>
  <si>
    <t>LaSalle II Lang Acad Elem Sch</t>
  </si>
  <si>
    <t>Lavizzo Elem School</t>
  </si>
  <si>
    <t>Lawndale Elem Community Academy</t>
  </si>
  <si>
    <t>LEARN Chtr - 7th Campus</t>
  </si>
  <si>
    <t>LEARN Chtr - Butler</t>
  </si>
  <si>
    <t>LEARN Chtr-Campbell Campus</t>
  </si>
  <si>
    <t>LEARN Charter Excel Campus</t>
  </si>
  <si>
    <t>LEARN Chtr - Middle School</t>
  </si>
  <si>
    <t>LEARN Chtr - Hunter Perkins Campus</t>
  </si>
  <si>
    <t>LEARN Chtr - South Chicago Campus</t>
  </si>
  <si>
    <t>Lee Elem School</t>
  </si>
  <si>
    <t>Legacy Elem Charter School</t>
  </si>
  <si>
    <t>Legal Prep Academy Charter HS</t>
  </si>
  <si>
    <t>Leland Elem School</t>
  </si>
  <si>
    <t>Lenart Elem Regional Gifted Ctr</t>
  </si>
  <si>
    <t>Lewis Elem School</t>
  </si>
  <si>
    <t>Libby Elem School</t>
  </si>
  <si>
    <t>Lincoln Elem School</t>
  </si>
  <si>
    <t>Lindblom Math &amp; Science Acad HS</t>
  </si>
  <si>
    <t>Little Village Elem School</t>
  </si>
  <si>
    <t>Lloyd Elem School</t>
  </si>
  <si>
    <t>Locke A Elem Charter Academy</t>
  </si>
  <si>
    <t>Locke J Elem School</t>
  </si>
  <si>
    <t>Garcia Lorca Elem School</t>
  </si>
  <si>
    <t>Lovett Elem School</t>
  </si>
  <si>
    <t>Lowell Elem School</t>
  </si>
  <si>
    <t>Lozano Elem Bilingual &amp; Intl Ctr</t>
  </si>
  <si>
    <t>Lyon Elem School</t>
  </si>
  <si>
    <t>Madero Middle School</t>
  </si>
  <si>
    <t>Madison Elem School</t>
  </si>
  <si>
    <t>Manierre Elem School</t>
  </si>
  <si>
    <t>Mann Elem School</t>
  </si>
  <si>
    <t>Marine Leadership Academy - Ames</t>
  </si>
  <si>
    <t>Marquette Elem School</t>
  </si>
  <si>
    <t>Marsh Elem School</t>
  </si>
  <si>
    <t>Marshall Metropolitan High School</t>
  </si>
  <si>
    <t>Mason Elem School</t>
  </si>
  <si>
    <t>Mather High School</t>
  </si>
  <si>
    <t>Mayer Elem School</t>
  </si>
  <si>
    <t>Mays Elem Academy</t>
  </si>
  <si>
    <t>McAuliffe Elem School</t>
  </si>
  <si>
    <t>Minnie Minoso Academy</t>
  </si>
  <si>
    <t>McCormick Elem School</t>
  </si>
  <si>
    <t>McCutcheon Elem School</t>
  </si>
  <si>
    <t>McDade Elem Classical School</t>
  </si>
  <si>
    <t>McDowell Elem School</t>
  </si>
  <si>
    <t>McKay Elem School</t>
  </si>
  <si>
    <t>McNair Elem School</t>
  </si>
  <si>
    <t>McPherson Elem School</t>
  </si>
  <si>
    <t>Melody Elem School</t>
  </si>
  <si>
    <t>Metcalfe Elem Community Academy</t>
  </si>
  <si>
    <t>Mireles Elem Academy</t>
  </si>
  <si>
    <t>Mitchell Elem School</t>
  </si>
  <si>
    <t>Mollison Elem School</t>
  </si>
  <si>
    <t>Monroe Elem School</t>
  </si>
  <si>
    <t>Montessori of Englewood Chtr ES</t>
  </si>
  <si>
    <t>Moos Elem School</t>
  </si>
  <si>
    <t>Morrill Elem Math &amp; Sci School</t>
  </si>
  <si>
    <t>Morton Elem Career Academy</t>
  </si>
  <si>
    <t>Mount Greenwood Elem School</t>
  </si>
  <si>
    <t>Mount Vernon Elem School</t>
  </si>
  <si>
    <t>Mozart Elem School</t>
  </si>
  <si>
    <t>Murphy Elem School</t>
  </si>
  <si>
    <t>Murray Elem Language Academy</t>
  </si>
  <si>
    <t>Namaste Elem Charter School</t>
  </si>
  <si>
    <t>Nash Elem School</t>
  </si>
  <si>
    <t>National Teachers Elem Academy</t>
  </si>
  <si>
    <t>Neil Elem School</t>
  </si>
  <si>
    <t>Nettelhorst Elem School</t>
  </si>
  <si>
    <t>New Field Elem School</t>
  </si>
  <si>
    <t>Sullivan Elem School</t>
  </si>
  <si>
    <t>Newberry Elem Math &amp; Science Acad</t>
  </si>
  <si>
    <t>Nicholson Technology Acad Elem Sch</t>
  </si>
  <si>
    <t>Nightingale Elem School</t>
  </si>
  <si>
    <t>Ninos Heroes Elem Academic Ctr</t>
  </si>
  <si>
    <t>Nixon Elem School</t>
  </si>
  <si>
    <t>North Lawndale Prep Chtr - Christiana</t>
  </si>
  <si>
    <t>North Lawndale Prep Chtr-Collins</t>
  </si>
  <si>
    <t>Nobel Elem School</t>
  </si>
  <si>
    <t>Noble St Chtr-Baker Campus</t>
  </si>
  <si>
    <t>Noble St Chtr-Chicago Bulls Prep</t>
  </si>
  <si>
    <t>Noble St Chtr-Butler College Prep - Crimson</t>
  </si>
  <si>
    <t>Noble St Chtr-Comer College Prep</t>
  </si>
  <si>
    <t>Noble St Chtr-DRW Trading College Prep</t>
  </si>
  <si>
    <t>Noble St Chtr-Golder College Prep</t>
  </si>
  <si>
    <t>Noble St Chtr-Hansberry College Prep - Silver</t>
  </si>
  <si>
    <t>Noble St Chtr-ITW Speer Acad</t>
  </si>
  <si>
    <t>Noble St Chtr-Johnson College Prep</t>
  </si>
  <si>
    <t>Noble St Chtr - Mansueto</t>
  </si>
  <si>
    <t>Noble St Chtr-Muchin College Prep</t>
  </si>
  <si>
    <t>Noble St Chtr-The Noble Academy</t>
  </si>
  <si>
    <t>Noble St Chtr-Noble Campus</t>
  </si>
  <si>
    <t>Noble St Chtr-Pritzker College Prep</t>
  </si>
  <si>
    <t>Noble St Chtr Rauner College Prep</t>
  </si>
  <si>
    <t>Noble St Chtr-Rowe-Clark MS Acad</t>
  </si>
  <si>
    <t>Noble St Chtr-UIC College Prep</t>
  </si>
  <si>
    <t>North River Elem School</t>
  </si>
  <si>
    <t>Northside College Preparatory Hs</t>
  </si>
  <si>
    <t>Norwood Park Elem School</t>
  </si>
  <si>
    <t>Ogden Elem School</t>
  </si>
  <si>
    <t>Ogden Int High School</t>
  </si>
  <si>
    <t>Oglesby Elem School</t>
  </si>
  <si>
    <t>OKeeffe Elem School</t>
  </si>
  <si>
    <t>Onahan Elem School</t>
  </si>
  <si>
    <t>Oriole Park Elem School</t>
  </si>
  <si>
    <t>Orozco Elem Fine Arts &amp; Sciences</t>
  </si>
  <si>
    <t>Orr Academy High School</t>
  </si>
  <si>
    <t>Ortiz De Dominguez Elem School</t>
  </si>
  <si>
    <t>Otis Elem School</t>
  </si>
  <si>
    <t>OToole Elem School</t>
  </si>
  <si>
    <t>Owen Elem Scholastic Academy</t>
  </si>
  <si>
    <t>Owens Community Academy ES</t>
  </si>
  <si>
    <t>Palmer Elem School</t>
  </si>
  <si>
    <t>Park Manor Elem School</t>
  </si>
  <si>
    <t>Parker Elem Community Academy</t>
  </si>
  <si>
    <t>Parkside Elem Community Academy</t>
  </si>
  <si>
    <t>Pasteur Elem School</t>
  </si>
  <si>
    <t>Payton College Preparatory HS</t>
  </si>
  <si>
    <t>Peck Elem School</t>
  </si>
  <si>
    <t>Peirce Elem Intl Studies School</t>
  </si>
  <si>
    <t>Penn Elem School</t>
  </si>
  <si>
    <t>Perez Elem School</t>
  </si>
  <si>
    <t>Pershing Elem Humanities Magnet</t>
  </si>
  <si>
    <t>Perspectives Chtr - Joslin Campus</t>
  </si>
  <si>
    <t>Perspectives Chtr - IIT Campus</t>
  </si>
  <si>
    <t>Perspectives Chtr - High School of Technology</t>
  </si>
  <si>
    <t>Peterson Elem School</t>
  </si>
  <si>
    <t>Phillips Academy High School</t>
  </si>
  <si>
    <t>Phoenix Military Academy HS</t>
  </si>
  <si>
    <t>Piccolo Elem Specialty School</t>
  </si>
  <si>
    <t>Pickard Elem School</t>
  </si>
  <si>
    <t>Pilsen Elem Community Academy</t>
  </si>
  <si>
    <t>Pirie Elem Fine Arts &amp; Academic C</t>
  </si>
  <si>
    <t>Plamondon Elem School</t>
  </si>
  <si>
    <t>Plato Learning Acad Elem School</t>
  </si>
  <si>
    <t>Poe Elem Classical School</t>
  </si>
  <si>
    <t>Polaris Elem Charter Academy</t>
  </si>
  <si>
    <t>Portage Park Elem School</t>
  </si>
  <si>
    <t>Powell Elem Paideia Comm Academy</t>
  </si>
  <si>
    <t>Prescott Elem School</t>
  </si>
  <si>
    <t>Prieto Math-Science Elem Sch</t>
  </si>
  <si>
    <t>Pritzker Elem School</t>
  </si>
  <si>
    <t>Prosser Career Academy HS</t>
  </si>
  <si>
    <t>Providence-Englewood Elem Charter</t>
  </si>
  <si>
    <t>Prussing Elem School</t>
  </si>
  <si>
    <t>Pulaski Intl Sch of Chicago</t>
  </si>
  <si>
    <t>Pullman Elem School</t>
  </si>
  <si>
    <t>Raby High School</t>
  </si>
  <si>
    <t>Randolph Elem School</t>
  </si>
  <si>
    <t>Ravenswood Elem School</t>
  </si>
  <si>
    <t>Ray Elem School</t>
  </si>
  <si>
    <t>Reavis Elem Math &amp; Sci Spec Schl</t>
  </si>
  <si>
    <t>Reilly Elem School</t>
  </si>
  <si>
    <t>Reinberg Elem School</t>
  </si>
  <si>
    <t>Revere Elem School</t>
  </si>
  <si>
    <t>Richards Career Academy HS</t>
  </si>
  <si>
    <t>Richardson Middle School</t>
  </si>
  <si>
    <t>Rickover Naval Academy High Schl</t>
  </si>
  <si>
    <t>Robinson Elem School</t>
  </si>
  <si>
    <t>Rogers Elem School</t>
  </si>
  <si>
    <t>Roosevelt High School</t>
  </si>
  <si>
    <t>Rowe Elementary</t>
  </si>
  <si>
    <t>Ruggles Elem School</t>
  </si>
  <si>
    <t>Ruiz Elem School</t>
  </si>
  <si>
    <t>Ryder Elem Math &amp; Sci Spec School</t>
  </si>
  <si>
    <t>Sabin Elem Magnet School</t>
  </si>
  <si>
    <t>Sadlowski Elementary School</t>
  </si>
  <si>
    <t>Salazar Elem Bilingual Center</t>
  </si>
  <si>
    <t>Sandoval Elem School</t>
  </si>
  <si>
    <t>Saucedo Elem Scholastic Academy</t>
  </si>
  <si>
    <t>Sauganash Elem School</t>
  </si>
  <si>
    <t>Sawyer Elem School</t>
  </si>
  <si>
    <t>Sayre Elem Language Academy</t>
  </si>
  <si>
    <t>Scammon Elem School</t>
  </si>
  <si>
    <t>Schmid Elem School</t>
  </si>
  <si>
    <t>Schubert Elem School</t>
  </si>
  <si>
    <t>Schurz High School</t>
  </si>
  <si>
    <t>Senn High School</t>
  </si>
  <si>
    <t>Seward Elem Communication Arts Ac</t>
  </si>
  <si>
    <t>Sheridan Elem Math &amp; Science Acad</t>
  </si>
  <si>
    <t>Sherman Elem School</t>
  </si>
  <si>
    <t>Sherwood Elem School</t>
  </si>
  <si>
    <t>Shields Elem School</t>
  </si>
  <si>
    <t>Shields Middle School</t>
  </si>
  <si>
    <t>Shoesmith Elem School</t>
  </si>
  <si>
    <t>Shoop Math-Sci Tech Elem Academy</t>
  </si>
  <si>
    <t>Simeon Career Academy High School</t>
  </si>
  <si>
    <t>Skinner Elem School</t>
  </si>
  <si>
    <t>Skinner North Elem Sch</t>
  </si>
  <si>
    <t>Smith W Elem School</t>
  </si>
  <si>
    <t>Smyser Elem School</t>
  </si>
  <si>
    <t>Smyth J Elem School</t>
  </si>
  <si>
    <t>School of Social Justice HS</t>
  </si>
  <si>
    <t>Solomon Elem School</t>
  </si>
  <si>
    <t>Solorio Academy High School</t>
  </si>
  <si>
    <t>Sor Juana Ines de la Cruz</t>
  </si>
  <si>
    <t>South Loop Elem School</t>
  </si>
  <si>
    <t>South Shore Fine Arts Elem Sch</t>
  </si>
  <si>
    <t>South Shore Intl Col Prep HS</t>
  </si>
  <si>
    <t>Spencer Technology Acad Elem Sch</t>
  </si>
  <si>
    <t>Spry Elem Community School</t>
  </si>
  <si>
    <t>Stagg Elem School</t>
  </si>
  <si>
    <t>Steinmetz College Prep HS</t>
  </si>
  <si>
    <t>STEM Magnet Academy Elem</t>
  </si>
  <si>
    <t>Stevenson Elem School</t>
  </si>
  <si>
    <t>Stock Early Childhood Center</t>
  </si>
  <si>
    <t>Stone Elem Scholastic Academy</t>
  </si>
  <si>
    <t>Stowe Elem School</t>
  </si>
  <si>
    <t>Suder Montessori Elem Magnet Schl</t>
  </si>
  <si>
    <t>Sullivan High School</t>
  </si>
  <si>
    <t>Sumner Elem Math &amp; Sci Comm Acad</t>
  </si>
  <si>
    <t>Sutherland Elem School</t>
  </si>
  <si>
    <t>Swift Elem Specialty School</t>
  </si>
  <si>
    <t>Taft High School</t>
  </si>
  <si>
    <t>Talcott Elem School</t>
  </si>
  <si>
    <t>Talman Elem School</t>
  </si>
  <si>
    <t>Tanner Elem School</t>
  </si>
  <si>
    <t>Tarkington Elem School</t>
  </si>
  <si>
    <t>Taylor Elem School</t>
  </si>
  <si>
    <t>Telpochcalli Elem School</t>
  </si>
  <si>
    <t>Thomas Early Childhood Center</t>
  </si>
  <si>
    <t>Thorp J N Elem School</t>
  </si>
  <si>
    <t>Thorp O A Elem Scholastic Acad</t>
  </si>
  <si>
    <t>Tilden Career Communty Academy HS</t>
  </si>
  <si>
    <t>Till Elem Math &amp; Science Academy</t>
  </si>
  <si>
    <t>Tilton Elem School</t>
  </si>
  <si>
    <t>Harriet Tubman Elem School</t>
  </si>
  <si>
    <t>Turner-Drew Elem Language Academy</t>
  </si>
  <si>
    <t>Twain Elem School</t>
  </si>
  <si>
    <t>Univ of Chicago Chtr-Donoghue</t>
  </si>
  <si>
    <t>Univ of Chicago Chtr-Nth Kenwood</t>
  </si>
  <si>
    <t>Univ of Chicago Chtr-Woodlawn</t>
  </si>
  <si>
    <t>Urban Prep Chtr Acad Bronzeville HS</t>
  </si>
  <si>
    <t>Urban Prep Chtr Acad Englewood HS</t>
  </si>
  <si>
    <t>Vanderpoel Elem Magnet School</t>
  </si>
  <si>
    <t>Vick Early Childhood &amp; Family Ctr</t>
  </si>
  <si>
    <t>Volta Elem School</t>
  </si>
  <si>
    <t>Linne Elem School</t>
  </si>
  <si>
    <t>Von Steuben Metro Science HS</t>
  </si>
  <si>
    <t>Wacker Elem School</t>
  </si>
  <si>
    <t>Wadsworth Elem School</t>
  </si>
  <si>
    <t>Walsh Elem School</t>
  </si>
  <si>
    <t>Ward J Elem School</t>
  </si>
  <si>
    <t>Ward L Elem School</t>
  </si>
  <si>
    <t>Warren Elem School</t>
  </si>
  <si>
    <t>Washington G Elem School</t>
  </si>
  <si>
    <t>Washington H Elem School</t>
  </si>
  <si>
    <t>Washington G High School</t>
  </si>
  <si>
    <t>Waters Elem School</t>
  </si>
  <si>
    <t>Webster Elem School</t>
  </si>
  <si>
    <t>Wells Preparatory Elem Academy</t>
  </si>
  <si>
    <t>Wells Community Academy HS</t>
  </si>
  <si>
    <t>Wentworth Elem School</t>
  </si>
  <si>
    <t>West Park Elem Academy</t>
  </si>
  <si>
    <t>West Ridge Elem School</t>
  </si>
  <si>
    <t>Westcott Elem School</t>
  </si>
  <si>
    <t>Westinghouse High School</t>
  </si>
  <si>
    <t>Whistler Elem School</t>
  </si>
  <si>
    <t>White Elem Career Academy</t>
  </si>
  <si>
    <t>Whitney Elem School</t>
  </si>
  <si>
    <t>Whittier Elem School</t>
  </si>
  <si>
    <t>Wildwood Elem School</t>
  </si>
  <si>
    <t>Williams Medical Prep High Sch</t>
  </si>
  <si>
    <t>Woodlawn Elem Community School</t>
  </si>
  <si>
    <t>Woodson South Elem School</t>
  </si>
  <si>
    <t>World Language High School</t>
  </si>
  <si>
    <t>Yates Elem School</t>
  </si>
  <si>
    <t>YCCS-ASPIRA Pantoja Alt HS</t>
  </si>
  <si>
    <t>YCCS-Association House</t>
  </si>
  <si>
    <t>YCCS-Albizu Campos Puerto Rican HS</t>
  </si>
  <si>
    <t>YCCS Chtr - Chatham</t>
  </si>
  <si>
    <t>YCCS-Innovations of Arts Integr HS</t>
  </si>
  <si>
    <t>YCCS- McKinley-Lakeside Leadership Academy</t>
  </si>
  <si>
    <t>YCCS-Olive Harvey Mid College HS</t>
  </si>
  <si>
    <t>YCCS-Scholastic Achievement HS</t>
  </si>
  <si>
    <t>YCCS-Sullivan House Alt HS</t>
  </si>
  <si>
    <t>YCCS West</t>
  </si>
  <si>
    <t>YCCS-West Town Academy Alt HS</t>
  </si>
  <si>
    <t>YCCS-Youth Connection Leadership Academy</t>
  </si>
  <si>
    <t>YCCS-Community Youth Dev Inst HS</t>
  </si>
  <si>
    <t>Young Elem School</t>
  </si>
  <si>
    <t>Young Magnet High School</t>
  </si>
  <si>
    <t>Zapata Elem Academy</t>
  </si>
  <si>
    <t>Rudolph Elem Learning Center</t>
  </si>
  <si>
    <t>IJLA Charter High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</si>
</sst>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color theme="1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3">
    <border/>
    <border>
      <top style="thin">
        <color rgb="FF8EA9DB"/>
      </top>
      <bottom style="thin">
        <color rgb="FF8EA9DB"/>
      </bottom>
    </border>
    <border>
      <bottom style="thin">
        <color rgb="FF8EA9DB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2" fontId="2" numFmtId="0" xfId="0" applyAlignment="1" applyFill="1" applyFont="1">
      <alignment horizontal="left" readingOrder="0" shrinkToFit="0" vertical="bottom" wrapText="0"/>
    </xf>
    <xf borderId="0" fillId="2" fontId="2" numFmtId="0" xfId="0" applyFont="1"/>
    <xf borderId="0" fillId="0" fontId="3" numFmtId="0" xfId="0" applyAlignment="1" applyFont="1">
      <alignment horizontal="left" vertical="bottom"/>
    </xf>
    <xf borderId="0" fillId="0" fontId="3" numFmtId="10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horizontal="left"/>
    </xf>
    <xf borderId="0" fillId="2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readingOrder="0" vertical="top"/>
    </xf>
    <xf borderId="0" fillId="0" fontId="2" numFmtId="10" xfId="0" applyAlignment="1" applyFont="1" applyNumberFormat="1">
      <alignment horizontal="left" readingOrder="0" vertical="top"/>
    </xf>
    <xf borderId="0" fillId="0" fontId="3" numFmtId="0" xfId="0" applyAlignment="1" applyFont="1">
      <alignment horizontal="left" readingOrder="0"/>
    </xf>
    <xf borderId="0" fillId="0" fontId="3" numFmtId="10" xfId="0" applyAlignment="1" applyFont="1" applyNumberForma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0" fillId="2" fontId="2" numFmtId="10" xfId="0" applyAlignment="1" applyFont="1" applyNumberFormat="1">
      <alignment horizontal="left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3" fontId="6" numFmtId="0" xfId="0" applyAlignment="1" applyBorder="1" applyFill="1" applyFont="1">
      <alignment horizontal="left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3" fontId="6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2" fillId="4" fontId="3" numFmtId="0" xfId="0" applyAlignment="1" applyBorder="1" applyFill="1" applyFont="1">
      <alignment vertical="bottom"/>
    </xf>
    <xf borderId="2" fillId="4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2" fillId="4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2" fillId="4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1.63"/>
    <col customWidth="1" min="3" max="3" width="54.38"/>
    <col customWidth="1" min="4" max="4" width="17.25"/>
    <col customWidth="1" min="5" max="5" width="14.88"/>
    <col customWidth="1" min="6" max="6" width="14.38"/>
    <col customWidth="1" min="7" max="7" width="21.0"/>
    <col customWidth="1" min="8" max="8" width="19.25"/>
    <col customWidth="1" min="9" max="9" width="20.0"/>
    <col customWidth="1" min="10" max="10" width="10.5"/>
    <col customWidth="1" min="11" max="11" width="7.63"/>
    <col customWidth="1" min="12" max="12" width="28.63"/>
    <col customWidth="1" min="13" max="13" width="16.63"/>
    <col customWidth="1" min="14" max="14" width="37.0"/>
    <col customWidth="1" min="15" max="15" width="19.25"/>
    <col customWidth="1" min="16" max="16" width="16.25"/>
    <col customWidth="1" min="17" max="17" width="43.38"/>
    <col customWidth="1" min="18" max="18" width="9.63"/>
    <col customWidth="1" min="19" max="19" width="23.75"/>
    <col customWidth="1" min="20" max="20" width="19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1" t="s">
        <v>7</v>
      </c>
      <c r="I1" s="2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</row>
    <row r="2">
      <c r="A2" s="7">
        <v>400153.0</v>
      </c>
      <c r="B2" s="8" t="s">
        <v>17</v>
      </c>
      <c r="C2" s="9" t="s">
        <v>18</v>
      </c>
      <c r="D2" s="10">
        <v>0.04</v>
      </c>
      <c r="E2" s="11" t="s">
        <v>19</v>
      </c>
      <c r="F2" s="11" t="s">
        <v>19</v>
      </c>
      <c r="G2" s="8" t="str">
        <f>VLOOKUP(F2, 'Network Chiefs'!A:B, 2, FALSE)
</f>
        <v>#N/A</v>
      </c>
      <c r="H2" s="12">
        <v>56.0</v>
      </c>
      <c r="I2" s="13" t="s">
        <v>20</v>
      </c>
      <c r="J2" s="14" t="s">
        <v>21</v>
      </c>
      <c r="K2" s="14">
        <v>7.0</v>
      </c>
      <c r="L2" s="14" t="str">
        <f t="array" ref="L2">INDEX('School Rep'!$A$2:$A$21, MATCH(J2, 'School Rep'!$B$2:$B$21, 0))</f>
        <v>Yesenia Lopez</v>
      </c>
      <c r="M2" s="15">
        <v>3.7</v>
      </c>
      <c r="N2" s="16" t="s">
        <v>22</v>
      </c>
      <c r="O2" s="8" t="str">
        <f t="shared" ref="O2:O648" si="1">LEFT(N2, FIND("|", N2) - 1)</f>
        <v>4420 S Fairfield Ave </v>
      </c>
      <c r="P2" s="12">
        <v>12.0</v>
      </c>
      <c r="Q2" s="13" t="s">
        <v>23</v>
      </c>
    </row>
    <row r="3">
      <c r="A3" s="7">
        <v>400101.0</v>
      </c>
      <c r="B3" s="8" t="s">
        <v>24</v>
      </c>
      <c r="C3" s="9" t="s">
        <v>25</v>
      </c>
      <c r="D3" s="10">
        <v>0.095</v>
      </c>
      <c r="E3" s="11" t="s">
        <v>19</v>
      </c>
      <c r="F3" s="11" t="s">
        <v>19</v>
      </c>
      <c r="G3" s="8" t="str">
        <f>VLOOKUP(F3, 'Network Chiefs'!A:B, 2, FALSE)
</f>
        <v>#N/A</v>
      </c>
      <c r="H3" s="12">
        <v>51.0</v>
      </c>
      <c r="I3" s="13" t="s">
        <v>20</v>
      </c>
      <c r="J3" s="14" t="s">
        <v>26</v>
      </c>
      <c r="K3" s="14">
        <v>8.0</v>
      </c>
      <c r="L3" s="14" t="str">
        <f t="array" ref="L3">INDEX('School Rep'!$A$2:$A$21, MATCH(J3, 'School Rep'!$B$2:$B$21, 0))</f>
        <v>Cydney Wallace</v>
      </c>
      <c r="M3" s="15">
        <v>3.6</v>
      </c>
      <c r="N3" s="16" t="s">
        <v>27</v>
      </c>
      <c r="O3" s="8" t="str">
        <f t="shared" si="1"/>
        <v>2744 W Pershing Rd </v>
      </c>
      <c r="P3" s="12">
        <v>12.0</v>
      </c>
      <c r="Q3" s="13" t="s">
        <v>23</v>
      </c>
    </row>
    <row r="4">
      <c r="A4" s="7">
        <v>400120.0</v>
      </c>
      <c r="B4" s="12" t="s">
        <v>28</v>
      </c>
      <c r="C4" s="17" t="s">
        <v>29</v>
      </c>
      <c r="D4" s="10">
        <v>0.022</v>
      </c>
      <c r="E4" s="11" t="s">
        <v>19</v>
      </c>
      <c r="F4" s="11" t="s">
        <v>19</v>
      </c>
      <c r="G4" s="8" t="str">
        <f>VLOOKUP(F4, 'Network Chiefs'!A:B, 2, FALSE)
</f>
        <v>#N/A</v>
      </c>
      <c r="H4" s="12">
        <v>16.0</v>
      </c>
      <c r="I4" s="13" t="s">
        <v>30</v>
      </c>
      <c r="J4" s="14" t="s">
        <v>31</v>
      </c>
      <c r="K4" s="14">
        <v>5.0</v>
      </c>
      <c r="L4" s="14" t="str">
        <f t="array" ref="L4">INDEX('School Rep'!$A$2:$A$21, MATCH(J4, 'School Rep'!$B$2:$B$21, 0))</f>
        <v>Aaron "Jitu" Brown</v>
      </c>
      <c r="M4" s="12">
        <v>3.6</v>
      </c>
      <c r="N4" s="16" t="s">
        <v>32</v>
      </c>
      <c r="O4" s="8" t="str">
        <f t="shared" si="1"/>
        <v>2050 N Natchez Ave </v>
      </c>
      <c r="P4" s="12">
        <v>29.0</v>
      </c>
      <c r="Q4" s="13" t="s">
        <v>33</v>
      </c>
    </row>
    <row r="5">
      <c r="A5" s="7">
        <v>400121.0</v>
      </c>
      <c r="B5" s="13" t="s">
        <v>34</v>
      </c>
      <c r="C5" s="18" t="s">
        <v>35</v>
      </c>
      <c r="D5" s="19">
        <v>0.147</v>
      </c>
      <c r="E5" s="18" t="s">
        <v>19</v>
      </c>
      <c r="F5" s="18" t="s">
        <v>19</v>
      </c>
      <c r="G5" s="8" t="str">
        <f>VLOOKUP(F5, 'Network Chiefs'!A:B, 2, FALSE)
</f>
        <v>#N/A</v>
      </c>
      <c r="H5" s="12">
        <v>45.0</v>
      </c>
      <c r="I5" s="13" t="s">
        <v>20</v>
      </c>
      <c r="J5" s="14" t="s">
        <v>36</v>
      </c>
      <c r="K5" s="14">
        <v>2.0</v>
      </c>
      <c r="L5" s="14" t="str">
        <f t="array" ref="L5">INDEX('School Rep'!$A$2:$A$21, MATCH(J5, 'School Rep'!$B$2:$B$21, 0))</f>
        <v>Ebony DeBerry</v>
      </c>
      <c r="M5" s="12">
        <v>3.2</v>
      </c>
      <c r="N5" s="16" t="s">
        <v>37</v>
      </c>
      <c r="O5" s="8" t="str">
        <f t="shared" si="1"/>
        <v>7416 N Ridge Ave </v>
      </c>
      <c r="P5" s="12">
        <v>49.0</v>
      </c>
      <c r="Q5" s="13" t="s">
        <v>38</v>
      </c>
    </row>
    <row r="6">
      <c r="A6" s="7">
        <v>400081.0</v>
      </c>
      <c r="B6" s="8" t="s">
        <v>39</v>
      </c>
      <c r="C6" s="18" t="s">
        <v>40</v>
      </c>
      <c r="D6" s="19">
        <v>0.064</v>
      </c>
      <c r="E6" s="18" t="s">
        <v>19</v>
      </c>
      <c r="F6" s="18" t="s">
        <v>19</v>
      </c>
      <c r="G6" s="8" t="str">
        <f>VLOOKUP(F6, 'Network Chiefs'!A:B, 2, FALSE)
</f>
        <v>#N/A</v>
      </c>
      <c r="H6" s="12">
        <v>32.0</v>
      </c>
      <c r="I6" s="13" t="s">
        <v>41</v>
      </c>
      <c r="J6" s="14" t="s">
        <v>42</v>
      </c>
      <c r="K6" s="14">
        <v>7.0</v>
      </c>
      <c r="L6" s="14" t="str">
        <f t="array" ref="L6">INDEX('School Rep'!$A$2:$A$21, MATCH(J6, 'School Rep'!$B$2:$B$21, 0))</f>
        <v>Emma Lozano</v>
      </c>
      <c r="M6" s="15">
        <v>3.4</v>
      </c>
      <c r="N6" s="16" t="s">
        <v>43</v>
      </c>
      <c r="O6" s="8" t="str">
        <f t="shared" si="1"/>
        <v>1641 W 16th St </v>
      </c>
      <c r="P6" s="12">
        <v>25.0</v>
      </c>
      <c r="Q6" s="13" t="s">
        <v>44</v>
      </c>
    </row>
    <row r="7">
      <c r="A7" s="7">
        <v>400082.0</v>
      </c>
      <c r="B7" s="12" t="s">
        <v>45</v>
      </c>
      <c r="C7" s="17" t="s">
        <v>46</v>
      </c>
      <c r="D7" s="10">
        <v>0.051</v>
      </c>
      <c r="E7" s="11" t="s">
        <v>19</v>
      </c>
      <c r="F7" s="11" t="s">
        <v>19</v>
      </c>
      <c r="G7" s="8" t="str">
        <f>VLOOKUP(F7, 'Network Chiefs'!A:B, 2, FALSE)
</f>
        <v>#N/A</v>
      </c>
      <c r="H7" s="12">
        <v>42.0</v>
      </c>
      <c r="I7" s="13" t="s">
        <v>20</v>
      </c>
      <c r="J7" s="14" t="s">
        <v>47</v>
      </c>
      <c r="K7" s="14">
        <v>3.0</v>
      </c>
      <c r="L7" s="14" t="str">
        <f t="array" ref="L7">INDEX('School Rep'!$A$2:$A$21, MATCH(J7, 'School Rep'!$B$2:$B$21, 0))</f>
        <v>Norma Rios-Sierra</v>
      </c>
      <c r="M7" s="12">
        <v>3.3</v>
      </c>
      <c r="N7" s="16" t="s">
        <v>48</v>
      </c>
      <c r="O7" s="8" t="str">
        <f t="shared" si="1"/>
        <v>2845 W Barry Ave </v>
      </c>
      <c r="P7" s="12">
        <v>35.0</v>
      </c>
      <c r="Q7" s="13" t="s">
        <v>49</v>
      </c>
    </row>
    <row r="8">
      <c r="A8" s="7">
        <v>400085.0</v>
      </c>
      <c r="B8" s="8" t="s">
        <v>50</v>
      </c>
      <c r="C8" s="9" t="s">
        <v>51</v>
      </c>
      <c r="D8" s="10">
        <v>0.072</v>
      </c>
      <c r="E8" s="11" t="s">
        <v>19</v>
      </c>
      <c r="F8" s="11" t="s">
        <v>19</v>
      </c>
      <c r="G8" s="8" t="str">
        <f>VLOOKUP(F8, 'Network Chiefs'!A:B, 2, FALSE)
</f>
        <v>#N/A</v>
      </c>
      <c r="H8" s="12">
        <v>60.0</v>
      </c>
      <c r="I8" s="13" t="s">
        <v>52</v>
      </c>
      <c r="J8" s="14" t="s">
        <v>21</v>
      </c>
      <c r="K8" s="14">
        <v>7.0</v>
      </c>
      <c r="L8" s="14" t="str">
        <f t="array" ref="L8">INDEX('School Rep'!$A$2:$A$21, MATCH(J8, 'School Rep'!$B$2:$B$21, 0))</f>
        <v>Yesenia Lopez</v>
      </c>
      <c r="M8" s="15">
        <v>3.0</v>
      </c>
      <c r="N8" s="16" t="s">
        <v>53</v>
      </c>
      <c r="O8" s="8" t="str">
        <f t="shared" si="1"/>
        <v>4248 W 47th St </v>
      </c>
      <c r="P8" s="12">
        <v>14.0</v>
      </c>
      <c r="Q8" s="13" t="s">
        <v>54</v>
      </c>
    </row>
    <row r="9">
      <c r="A9" s="7">
        <v>400112.0</v>
      </c>
      <c r="B9" s="8" t="s">
        <v>55</v>
      </c>
      <c r="C9" s="9" t="s">
        <v>56</v>
      </c>
      <c r="D9" s="10">
        <v>0.061</v>
      </c>
      <c r="E9" s="11" t="s">
        <v>19</v>
      </c>
      <c r="F9" s="11" t="s">
        <v>19</v>
      </c>
      <c r="G9" s="8" t="str">
        <f>VLOOKUP(F9, 'Network Chiefs'!A:B, 2, FALSE)
</f>
        <v>#N/A</v>
      </c>
      <c r="H9" s="12">
        <v>64.0</v>
      </c>
      <c r="I9" s="13" t="s">
        <v>52</v>
      </c>
      <c r="J9" s="14" t="s">
        <v>21</v>
      </c>
      <c r="K9" s="14">
        <v>7.0</v>
      </c>
      <c r="L9" s="14" t="str">
        <f t="array" ref="L9">INDEX('School Rep'!$A$2:$A$21, MATCH(J9, 'School Rep'!$B$2:$B$21, 0))</f>
        <v>Yesenia Lopez</v>
      </c>
      <c r="M9" s="15">
        <v>3.5</v>
      </c>
      <c r="N9" s="16" t="s">
        <v>57</v>
      </c>
      <c r="O9" s="8" t="str">
        <f t="shared" si="1"/>
        <v>5050 S Homan Ave </v>
      </c>
      <c r="P9" s="12">
        <v>14.0</v>
      </c>
      <c r="Q9" s="13" t="s">
        <v>54</v>
      </c>
    </row>
    <row r="10">
      <c r="A10" s="7">
        <v>400089.0</v>
      </c>
      <c r="B10" s="8" t="s">
        <v>58</v>
      </c>
      <c r="C10" s="9" t="s">
        <v>59</v>
      </c>
      <c r="D10" s="10">
        <v>0.059</v>
      </c>
      <c r="E10" s="11" t="s">
        <v>19</v>
      </c>
      <c r="F10" s="11" t="s">
        <v>19</v>
      </c>
      <c r="G10" s="8" t="str">
        <f>VLOOKUP(F10, 'Network Chiefs'!A:B, 2, FALSE)
</f>
        <v>#N/A</v>
      </c>
      <c r="H10" s="12">
        <v>46.0</v>
      </c>
      <c r="I10" s="13" t="s">
        <v>20</v>
      </c>
      <c r="J10" s="14" t="s">
        <v>21</v>
      </c>
      <c r="K10" s="14">
        <v>7.0</v>
      </c>
      <c r="L10" s="14" t="str">
        <f t="array" ref="L10">INDEX('School Rep'!$A$2:$A$21, MATCH(J10, 'School Rep'!$B$2:$B$21, 0))</f>
        <v>Yesenia Lopez</v>
      </c>
      <c r="M10" s="15">
        <v>3.7</v>
      </c>
      <c r="N10" s="16" t="s">
        <v>60</v>
      </c>
      <c r="O10" s="8" t="str">
        <f t="shared" si="1"/>
        <v>2916 W 47th St </v>
      </c>
      <c r="P10" s="12">
        <v>12.0</v>
      </c>
      <c r="Q10" s="13" t="s">
        <v>23</v>
      </c>
    </row>
    <row r="11">
      <c r="A11" s="7">
        <v>400083.0</v>
      </c>
      <c r="B11" s="8" t="s">
        <v>61</v>
      </c>
      <c r="C11" s="9" t="s">
        <v>62</v>
      </c>
      <c r="D11" s="10">
        <v>0.057</v>
      </c>
      <c r="E11" s="11" t="s">
        <v>19</v>
      </c>
      <c r="F11" s="11" t="s">
        <v>19</v>
      </c>
      <c r="G11" s="8" t="str">
        <f>VLOOKUP(F11, 'Network Chiefs'!A:B, 2, FALSE)
</f>
        <v>#N/A</v>
      </c>
      <c r="H11" s="12">
        <v>33.0</v>
      </c>
      <c r="I11" s="13" t="s">
        <v>41</v>
      </c>
      <c r="J11" s="14" t="s">
        <v>42</v>
      </c>
      <c r="K11" s="14">
        <v>7.0</v>
      </c>
      <c r="L11" s="14" t="str">
        <f t="array" ref="L11">INDEX('School Rep'!$A$2:$A$21, MATCH(J11, 'School Rep'!$B$2:$B$21, 0))</f>
        <v>Emma Lozano</v>
      </c>
      <c r="M11" s="15">
        <v>3.8</v>
      </c>
      <c r="N11" s="16" t="s">
        <v>63</v>
      </c>
      <c r="O11" s="8" t="str">
        <f t="shared" si="1"/>
        <v>2651 W 23rd St </v>
      </c>
      <c r="P11" s="12">
        <v>25.0</v>
      </c>
      <c r="Q11" s="13" t="s">
        <v>44</v>
      </c>
    </row>
    <row r="12">
      <c r="A12" s="7">
        <v>400114.0</v>
      </c>
      <c r="B12" s="12" t="s">
        <v>64</v>
      </c>
      <c r="C12" s="17" t="s">
        <v>65</v>
      </c>
      <c r="D12" s="10">
        <v>0.095</v>
      </c>
      <c r="E12" s="11" t="s">
        <v>19</v>
      </c>
      <c r="F12" s="11" t="s">
        <v>19</v>
      </c>
      <c r="G12" s="8" t="str">
        <f>VLOOKUP(F12, 'Network Chiefs'!A:B, 2, FALSE)
</f>
        <v>#N/A</v>
      </c>
      <c r="H12" s="12">
        <v>55.0</v>
      </c>
      <c r="I12" s="13" t="s">
        <v>20</v>
      </c>
      <c r="J12" s="14" t="s">
        <v>31</v>
      </c>
      <c r="K12" s="14">
        <v>5.0</v>
      </c>
      <c r="L12" s="14" t="str">
        <f t="array" ref="L12">INDEX('School Rep'!$A$2:$A$21, MATCH(J12, 'School Rep'!$B$2:$B$21, 0))</f>
        <v>Aaron "Jitu" Brown</v>
      </c>
      <c r="M12" s="12">
        <v>3.4</v>
      </c>
      <c r="N12" s="16" t="s">
        <v>66</v>
      </c>
      <c r="O12" s="8" t="str">
        <f t="shared" si="1"/>
        <v>2510 W Cortez St </v>
      </c>
      <c r="P12" s="12">
        <v>36.0</v>
      </c>
      <c r="Q12" s="13" t="s">
        <v>67</v>
      </c>
    </row>
    <row r="13">
      <c r="A13" s="7">
        <v>400149.0</v>
      </c>
      <c r="B13" s="8" t="s">
        <v>68</v>
      </c>
      <c r="C13" s="9" t="s">
        <v>69</v>
      </c>
      <c r="D13" s="10">
        <v>0.065</v>
      </c>
      <c r="E13" s="11" t="s">
        <v>19</v>
      </c>
      <c r="F13" s="11" t="s">
        <v>19</v>
      </c>
      <c r="G13" s="8" t="str">
        <f>VLOOKUP(F13, 'Network Chiefs'!A:B, 2, FALSE)
</f>
        <v>#N/A</v>
      </c>
      <c r="H13" s="12">
        <v>65.0</v>
      </c>
      <c r="I13" s="13" t="s">
        <v>52</v>
      </c>
      <c r="J13" s="14" t="s">
        <v>21</v>
      </c>
      <c r="K13" s="14">
        <v>7.0</v>
      </c>
      <c r="L13" s="14" t="str">
        <f t="array" ref="L13">INDEX('School Rep'!$A$2:$A$21, MATCH(J13, 'School Rep'!$B$2:$B$21, 0))</f>
        <v>Yesenia Lopez</v>
      </c>
      <c r="M13" s="15">
        <v>3.0</v>
      </c>
      <c r="N13" s="16" t="s">
        <v>70</v>
      </c>
      <c r="O13" s="8" t="str">
        <f t="shared" si="1"/>
        <v>5025 S St. Louis Ave </v>
      </c>
      <c r="P13" s="12">
        <v>14.0</v>
      </c>
      <c r="Q13" s="13" t="s">
        <v>54</v>
      </c>
    </row>
    <row r="14">
      <c r="A14" s="7">
        <v>400084.0</v>
      </c>
      <c r="B14" s="8" t="s">
        <v>71</v>
      </c>
      <c r="C14" s="9" t="s">
        <v>72</v>
      </c>
      <c r="D14" s="10">
        <v>0.051</v>
      </c>
      <c r="E14" s="11" t="s">
        <v>19</v>
      </c>
      <c r="F14" s="11" t="s">
        <v>19</v>
      </c>
      <c r="G14" s="8" t="str">
        <f>VLOOKUP(F14, 'Network Chiefs'!A:B, 2, FALSE)
</f>
        <v>#N/A</v>
      </c>
      <c r="H14" s="12">
        <v>54.0</v>
      </c>
      <c r="I14" s="13" t="s">
        <v>20</v>
      </c>
      <c r="J14" s="14" t="s">
        <v>21</v>
      </c>
      <c r="K14" s="14">
        <v>7.0</v>
      </c>
      <c r="L14" s="14" t="str">
        <f t="array" ref="L14">INDEX('School Rep'!$A$2:$A$21, MATCH(J14, 'School Rep'!$B$2:$B$21, 0))</f>
        <v>Yesenia Lopez</v>
      </c>
      <c r="M14" s="15">
        <v>3.6</v>
      </c>
      <c r="N14" s="16" t="s">
        <v>73</v>
      </c>
      <c r="O14" s="8" t="str">
        <f t="shared" si="1"/>
        <v>5135 S California Ave </v>
      </c>
      <c r="P14" s="12">
        <v>14.0</v>
      </c>
      <c r="Q14" s="13" t="s">
        <v>54</v>
      </c>
    </row>
    <row r="15">
      <c r="A15" s="7">
        <v>400080.0</v>
      </c>
      <c r="B15" s="8" t="s">
        <v>74</v>
      </c>
      <c r="C15" s="9" t="s">
        <v>75</v>
      </c>
      <c r="D15" s="10">
        <v>0.048</v>
      </c>
      <c r="E15" s="11" t="s">
        <v>19</v>
      </c>
      <c r="F15" s="11" t="s">
        <v>19</v>
      </c>
      <c r="G15" s="8" t="str">
        <f>VLOOKUP(F15, 'Network Chiefs'!A:B, 2, FALSE)
</f>
        <v>#N/A</v>
      </c>
      <c r="H15" s="12">
        <v>60.0</v>
      </c>
      <c r="I15" s="13" t="s">
        <v>52</v>
      </c>
      <c r="J15" s="14" t="s">
        <v>21</v>
      </c>
      <c r="K15" s="14">
        <v>7.0</v>
      </c>
      <c r="L15" s="14" t="str">
        <f t="array" ref="L15">INDEX('School Rep'!$A$2:$A$21, MATCH(J15, 'School Rep'!$B$2:$B$21, 0))</f>
        <v>Yesenia Lopez</v>
      </c>
      <c r="M15" s="15">
        <v>3.3</v>
      </c>
      <c r="N15" s="16" t="s">
        <v>53</v>
      </c>
      <c r="O15" s="8" t="str">
        <f t="shared" si="1"/>
        <v>4248 W 47th St </v>
      </c>
      <c r="P15" s="12">
        <v>14.0</v>
      </c>
      <c r="Q15" s="13" t="s">
        <v>54</v>
      </c>
    </row>
    <row r="16">
      <c r="A16" s="7">
        <v>400079.0</v>
      </c>
      <c r="B16" s="8" t="s">
        <v>76</v>
      </c>
      <c r="C16" s="9" t="s">
        <v>77</v>
      </c>
      <c r="D16" s="10">
        <v>0.036</v>
      </c>
      <c r="E16" s="11" t="s">
        <v>19</v>
      </c>
      <c r="F16" s="11" t="s">
        <v>19</v>
      </c>
      <c r="G16" s="8" t="str">
        <f>VLOOKUP(F16, 'Network Chiefs'!A:B, 2, FALSE)
</f>
        <v>#N/A</v>
      </c>
      <c r="H16" s="12">
        <v>60.0</v>
      </c>
      <c r="I16" s="13" t="s">
        <v>52</v>
      </c>
      <c r="J16" s="14" t="s">
        <v>21</v>
      </c>
      <c r="K16" s="14">
        <v>7.0</v>
      </c>
      <c r="L16" s="14" t="str">
        <f t="array" ref="L16">INDEX('School Rep'!$A$2:$A$21, MATCH(J16, 'School Rep'!$B$2:$B$21, 0))</f>
        <v>Yesenia Lopez</v>
      </c>
      <c r="M16" s="15">
        <v>3.1</v>
      </c>
      <c r="N16" s="16" t="s">
        <v>53</v>
      </c>
      <c r="O16" s="8" t="str">
        <f t="shared" si="1"/>
        <v>4248 W 47th St </v>
      </c>
      <c r="P16" s="12">
        <v>14.0</v>
      </c>
      <c r="Q16" s="13" t="s">
        <v>54</v>
      </c>
    </row>
    <row r="17">
      <c r="A17" s="7">
        <v>609772.0</v>
      </c>
      <c r="B17" s="13" t="s">
        <v>78</v>
      </c>
      <c r="C17" s="18" t="s">
        <v>79</v>
      </c>
      <c r="D17" s="19">
        <v>0.032</v>
      </c>
      <c r="E17" s="18" t="s">
        <v>80</v>
      </c>
      <c r="F17" s="18" t="s">
        <v>81</v>
      </c>
      <c r="G17" s="8" t="str">
        <f>VLOOKUP(F17, 'Network Chiefs'!A:B, 2, FALSE)
</f>
        <v>Dr. Terrycita D. Perry</v>
      </c>
      <c r="H17" s="12">
        <v>55.0</v>
      </c>
      <c r="I17" s="13" t="s">
        <v>20</v>
      </c>
      <c r="J17" s="14" t="s">
        <v>82</v>
      </c>
      <c r="K17" s="14">
        <v>10.0</v>
      </c>
      <c r="L17" s="14" t="str">
        <f t="array" ref="L17">INDEX('School Rep'!$A$2:$A$21, MATCH(J17, 'School Rep'!$B$2:$B$21, 0))</f>
        <v>Olga Bautista</v>
      </c>
      <c r="M17" s="12">
        <v>2.8</v>
      </c>
      <c r="N17" s="16" t="s">
        <v>83</v>
      </c>
      <c r="O17" s="8" t="str">
        <f t="shared" si="1"/>
        <v>10810 S Avenue H </v>
      </c>
      <c r="P17" s="12">
        <v>10.0</v>
      </c>
      <c r="Q17" s="13" t="s">
        <v>84</v>
      </c>
    </row>
    <row r="18">
      <c r="A18" s="7">
        <v>400060.0</v>
      </c>
      <c r="B18" s="13" t="s">
        <v>85</v>
      </c>
      <c r="C18" s="17" t="s">
        <v>86</v>
      </c>
      <c r="D18" s="10">
        <v>0.183</v>
      </c>
      <c r="E18" s="11" t="s">
        <v>19</v>
      </c>
      <c r="F18" s="11" t="s">
        <v>19</v>
      </c>
      <c r="G18" s="8" t="str">
        <f>VLOOKUP(F18, 'Network Chiefs'!A:B, 2, FALSE)
</f>
        <v>#N/A</v>
      </c>
      <c r="H18" s="12">
        <v>29.0</v>
      </c>
      <c r="I18" s="13" t="s">
        <v>41</v>
      </c>
      <c r="J18" s="14" t="s">
        <v>87</v>
      </c>
      <c r="K18" s="14">
        <v>2.0</v>
      </c>
      <c r="L18" s="14" t="str">
        <f t="array" ref="L18">INDEX('School Rep'!$A$2:$A$21, MATCH(J18, 'School Rep'!$B$2:$B$21, 0))</f>
        <v>Debby Pope</v>
      </c>
      <c r="M18" s="12">
        <v>2.6</v>
      </c>
      <c r="N18" s="16" t="s">
        <v>88</v>
      </c>
      <c r="O18" s="8" t="str">
        <f t="shared" si="1"/>
        <v>1643 W Bryn Mawr Ave </v>
      </c>
      <c r="P18" s="12">
        <v>40.0</v>
      </c>
      <c r="Q18" s="13" t="s">
        <v>89</v>
      </c>
    </row>
    <row r="19">
      <c r="A19" s="7">
        <v>610513.0</v>
      </c>
      <c r="B19" s="8" t="s">
        <v>90</v>
      </c>
      <c r="C19" s="9" t="s">
        <v>91</v>
      </c>
      <c r="D19" s="10">
        <v>0.0</v>
      </c>
      <c r="E19" s="11" t="s">
        <v>80</v>
      </c>
      <c r="F19" s="11" t="s">
        <v>92</v>
      </c>
      <c r="G19" s="8" t="str">
        <f>VLOOKUP(F19, 'Network Chiefs'!A:B, 2, FALSE)
</f>
        <v>Devon LaRosa</v>
      </c>
      <c r="H19" s="12">
        <v>39.0</v>
      </c>
      <c r="I19" s="13" t="s">
        <v>41</v>
      </c>
      <c r="J19" s="14" t="s">
        <v>26</v>
      </c>
      <c r="K19" s="14">
        <v>8.0</v>
      </c>
      <c r="L19" s="14" t="str">
        <f t="array" ref="L19">INDEX('School Rep'!$A$2:$A$21, MATCH(J19, 'School Rep'!$B$2:$B$21, 0))</f>
        <v>Cydney Wallace</v>
      </c>
      <c r="M19" s="15">
        <v>3.2</v>
      </c>
      <c r="N19" s="16" t="s">
        <v>93</v>
      </c>
      <c r="O19" s="8" t="str">
        <f t="shared" si="1"/>
        <v>3630 S Wells St </v>
      </c>
      <c r="P19" s="12">
        <v>11.0</v>
      </c>
      <c r="Q19" s="13" t="s">
        <v>94</v>
      </c>
    </row>
    <row r="20">
      <c r="A20" s="7">
        <v>610212.0</v>
      </c>
      <c r="B20" s="13" t="s">
        <v>95</v>
      </c>
      <c r="C20" s="18" t="s">
        <v>96</v>
      </c>
      <c r="D20" s="19">
        <v>0.087</v>
      </c>
      <c r="E20" s="18" t="s">
        <v>80</v>
      </c>
      <c r="F20" s="18" t="s">
        <v>97</v>
      </c>
      <c r="G20" s="8" t="str">
        <f>VLOOKUP(F20, 'Network Chiefs'!A:B, 2, FALSE)
</f>
        <v>Julie McGlade</v>
      </c>
      <c r="H20" s="12">
        <v>71.0</v>
      </c>
      <c r="I20" s="13" t="s">
        <v>52</v>
      </c>
      <c r="J20" s="14" t="s">
        <v>87</v>
      </c>
      <c r="K20" s="14">
        <v>2.0</v>
      </c>
      <c r="L20" s="14" t="str">
        <f t="array" ref="L20">INDEX('School Rep'!$A$2:$A$21, MATCH(J20, 'School Rep'!$B$2:$B$21, 0))</f>
        <v>Debby Pope</v>
      </c>
      <c r="M20" s="12">
        <v>2.4</v>
      </c>
      <c r="N20" s="16" t="s">
        <v>98</v>
      </c>
      <c r="O20" s="8" t="str">
        <f t="shared" si="1"/>
        <v>4929 N Sawyer Ave </v>
      </c>
      <c r="P20" s="12">
        <v>33.0</v>
      </c>
      <c r="Q20" s="13" t="s">
        <v>99</v>
      </c>
    </row>
    <row r="21">
      <c r="A21" s="7">
        <v>609774.0</v>
      </c>
      <c r="B21" s="12" t="s">
        <v>100</v>
      </c>
      <c r="C21" s="18" t="s">
        <v>101</v>
      </c>
      <c r="D21" s="19">
        <v>0.045</v>
      </c>
      <c r="E21" s="18" t="s">
        <v>80</v>
      </c>
      <c r="F21" s="18" t="s">
        <v>102</v>
      </c>
      <c r="G21" s="8" t="str">
        <f>VLOOKUP(F21, 'Network Chiefs'!A:B, 2, FALSE)
</f>
        <v>Jerry Travlos</v>
      </c>
      <c r="H21" s="12">
        <v>58.0</v>
      </c>
      <c r="I21" s="13" t="s">
        <v>20</v>
      </c>
      <c r="J21" s="14" t="s">
        <v>103</v>
      </c>
      <c r="K21" s="14">
        <v>4.0</v>
      </c>
      <c r="L21" s="14" t="str">
        <f t="array" ref="L21">INDEX('School Rep'!$A$2:$A$21, MATCH(J21, 'School Rep'!$B$2:$B$21, 0))</f>
        <v>Ellen Rosenfeld</v>
      </c>
      <c r="M21" s="12">
        <v>1.8</v>
      </c>
      <c r="N21" s="16" t="s">
        <v>104</v>
      </c>
      <c r="O21" s="8" t="str">
        <f t="shared" si="1"/>
        <v>2625 N Orchard St </v>
      </c>
      <c r="P21" s="12">
        <v>43.0</v>
      </c>
      <c r="Q21" s="13" t="s">
        <v>105</v>
      </c>
    </row>
    <row r="22">
      <c r="A22" s="7">
        <v>610524.0</v>
      </c>
      <c r="B22" s="12" t="s">
        <v>106</v>
      </c>
      <c r="C22" s="18" t="s">
        <v>107</v>
      </c>
      <c r="D22" s="19">
        <v>0.078</v>
      </c>
      <c r="E22" s="18" t="s">
        <v>80</v>
      </c>
      <c r="F22" s="18" t="s">
        <v>108</v>
      </c>
      <c r="G22" s="8" t="str">
        <f>VLOOKUP(F22, 'Network Chiefs'!A:B, 2, FALSE)
</f>
        <v>Michael Boraz</v>
      </c>
      <c r="H22" s="12">
        <v>51.0</v>
      </c>
      <c r="I22" s="13" t="s">
        <v>20</v>
      </c>
      <c r="J22" s="14" t="s">
        <v>103</v>
      </c>
      <c r="K22" s="14">
        <v>4.0</v>
      </c>
      <c r="L22" s="14" t="str">
        <f t="array" ref="L22">INDEX('School Rep'!$A$2:$A$21, MATCH(J22, 'School Rep'!$B$2:$B$21, 0))</f>
        <v>Ellen Rosenfeld</v>
      </c>
      <c r="M22" s="12">
        <v>2.4</v>
      </c>
      <c r="N22" s="16" t="s">
        <v>109</v>
      </c>
      <c r="O22" s="8" t="str">
        <f t="shared" si="1"/>
        <v>2957 N Hoyne Ave </v>
      </c>
      <c r="P22" s="12">
        <v>32.0</v>
      </c>
      <c r="Q22" s="13" t="s">
        <v>110</v>
      </c>
    </row>
    <row r="23">
      <c r="A23" s="7">
        <v>609848.0</v>
      </c>
      <c r="B23" s="13" t="s">
        <v>111</v>
      </c>
      <c r="C23" s="17" t="s">
        <v>112</v>
      </c>
      <c r="D23" s="10">
        <v>0.179</v>
      </c>
      <c r="E23" s="11" t="s">
        <v>80</v>
      </c>
      <c r="F23" s="11" t="s">
        <v>81</v>
      </c>
      <c r="G23" s="8" t="str">
        <f>VLOOKUP(F23, 'Network Chiefs'!A:B, 2, FALSE)
</f>
        <v>Dr. Terrycita D. Perry</v>
      </c>
      <c r="H23" s="12">
        <v>46.0</v>
      </c>
      <c r="I23" s="13" t="s">
        <v>20</v>
      </c>
      <c r="J23" s="14" t="s">
        <v>82</v>
      </c>
      <c r="K23" s="14">
        <v>10.0</v>
      </c>
      <c r="L23" s="14" t="str">
        <f t="array" ref="L23">INDEX('School Rep'!$A$2:$A$21, MATCH(J23, 'School Rep'!$B$2:$B$21, 0))</f>
        <v>Olga Bautista</v>
      </c>
      <c r="M23" s="12">
        <v>3.2</v>
      </c>
      <c r="N23" s="16" t="s">
        <v>113</v>
      </c>
      <c r="O23" s="8" t="str">
        <f t="shared" si="1"/>
        <v>630 E 131st St </v>
      </c>
      <c r="P23" s="12">
        <v>10.0</v>
      </c>
      <c r="Q23" s="13" t="s">
        <v>84</v>
      </c>
    </row>
    <row r="24">
      <c r="A24" s="7">
        <v>609695.0</v>
      </c>
      <c r="B24" s="13" t="s">
        <v>114</v>
      </c>
      <c r="C24" s="17" t="s">
        <v>115</v>
      </c>
      <c r="D24" s="10">
        <v>0.064</v>
      </c>
      <c r="E24" s="11" t="s">
        <v>80</v>
      </c>
      <c r="F24" s="11" t="s">
        <v>116</v>
      </c>
      <c r="G24" s="8" t="str">
        <f>VLOOKUP(F24, 'Network Chiefs'!A:B, 2, FALSE)
</f>
        <v>Dr. Laura LeMone</v>
      </c>
      <c r="H24" s="12">
        <v>56.0</v>
      </c>
      <c r="I24" s="13" t="s">
        <v>20</v>
      </c>
      <c r="J24" s="14" t="s">
        <v>87</v>
      </c>
      <c r="K24" s="14">
        <v>2.0</v>
      </c>
      <c r="L24" s="14" t="str">
        <f t="array" ref="L24">INDEX('School Rep'!$A$2:$A$21, MATCH(J24, 'School Rep'!$B$2:$B$21, 0))</f>
        <v>Debby Pope</v>
      </c>
      <c r="M24" s="12">
        <v>1.4</v>
      </c>
      <c r="N24" s="16" t="s">
        <v>117</v>
      </c>
      <c r="O24" s="8" t="str">
        <f t="shared" si="1"/>
        <v>5110 N Damen Ave </v>
      </c>
      <c r="P24" s="12">
        <v>40.0</v>
      </c>
      <c r="Q24" s="13" t="s">
        <v>89</v>
      </c>
    </row>
    <row r="25">
      <c r="A25" s="7">
        <v>609951.0</v>
      </c>
      <c r="B25" s="13" t="s">
        <v>118</v>
      </c>
      <c r="C25" s="18" t="s">
        <v>119</v>
      </c>
      <c r="D25" s="19">
        <v>0.07</v>
      </c>
      <c r="E25" s="18" t="s">
        <v>80</v>
      </c>
      <c r="F25" s="18" t="s">
        <v>120</v>
      </c>
      <c r="G25" s="8" t="str">
        <f>VLOOKUP(F25, 'Network Chiefs'!A:B, 2, FALSE)
</f>
        <v>Alene Mason</v>
      </c>
      <c r="H25" s="12">
        <v>62.0</v>
      </c>
      <c r="I25" s="13" t="s">
        <v>52</v>
      </c>
      <c r="J25" s="14" t="s">
        <v>121</v>
      </c>
      <c r="K25" s="14">
        <v>10.0</v>
      </c>
      <c r="L25" s="14" t="str">
        <f t="array" ref="L25">INDEX('School Rep'!$A$2:$A$21, MATCH(J25, 'School Rep'!$B$2:$B$21, 0))</f>
        <v>Che "Rhymefest" Smith</v>
      </c>
      <c r="M25" s="12">
        <v>3.3</v>
      </c>
      <c r="N25" s="16" t="s">
        <v>122</v>
      </c>
      <c r="O25" s="8" t="str">
        <f t="shared" si="1"/>
        <v>1119 E 46th St </v>
      </c>
      <c r="P25" s="12">
        <v>4.0</v>
      </c>
      <c r="Q25" s="13" t="s">
        <v>123</v>
      </c>
    </row>
    <row r="26">
      <c r="A26" s="7">
        <v>609777.0</v>
      </c>
      <c r="B26" s="8" t="s">
        <v>124</v>
      </c>
      <c r="C26" s="18" t="s">
        <v>125</v>
      </c>
      <c r="D26" s="19">
        <v>0.078</v>
      </c>
      <c r="E26" s="18" t="s">
        <v>80</v>
      </c>
      <c r="F26" s="18" t="s">
        <v>126</v>
      </c>
      <c r="G26" s="8" t="str">
        <f>VLOOKUP(F26, 'Network Chiefs'!A:B, 2, FALSE)
</f>
        <v>#N/A</v>
      </c>
      <c r="H26" s="12">
        <v>66.0</v>
      </c>
      <c r="I26" s="13" t="s">
        <v>52</v>
      </c>
      <c r="J26" s="14" t="s">
        <v>21</v>
      </c>
      <c r="K26" s="14">
        <v>7.0</v>
      </c>
      <c r="L26" s="14" t="str">
        <f t="array" ref="L26">INDEX('School Rep'!$A$2:$A$21, MATCH(J26, 'School Rep'!$B$2:$B$21, 0))</f>
        <v>Yesenia Lopez</v>
      </c>
      <c r="M26" s="15">
        <v>2.4</v>
      </c>
      <c r="N26" s="16" t="s">
        <v>127</v>
      </c>
      <c r="O26" s="8" t="str">
        <f t="shared" si="1"/>
        <v>950 W 33rd Pl </v>
      </c>
      <c r="P26" s="12">
        <v>11.0</v>
      </c>
      <c r="Q26" s="13" t="s">
        <v>94</v>
      </c>
    </row>
    <row r="27">
      <c r="A27" s="7">
        <v>609779.0</v>
      </c>
      <c r="B27" s="13" t="s">
        <v>128</v>
      </c>
      <c r="C27" s="18" t="s">
        <v>129</v>
      </c>
      <c r="D27" s="19">
        <v>0.16</v>
      </c>
      <c r="E27" s="18" t="s">
        <v>80</v>
      </c>
      <c r="F27" s="18" t="s">
        <v>126</v>
      </c>
      <c r="G27" s="8" t="str">
        <f>VLOOKUP(F27, 'Network Chiefs'!A:B, 2, FALSE)
</f>
        <v>#N/A</v>
      </c>
      <c r="H27" s="12">
        <v>67.0</v>
      </c>
      <c r="I27" s="13" t="s">
        <v>52</v>
      </c>
      <c r="J27" s="14" t="s">
        <v>36</v>
      </c>
      <c r="K27" s="14">
        <v>2.0</v>
      </c>
      <c r="L27" s="14" t="str">
        <f t="array" ref="L27">INDEX('School Rep'!$A$2:$A$21, MATCH(J27, 'School Rep'!$B$2:$B$21, 0))</f>
        <v>Ebony DeBerry</v>
      </c>
      <c r="M27" s="12">
        <v>2.8</v>
      </c>
      <c r="N27" s="16" t="s">
        <v>130</v>
      </c>
      <c r="O27" s="8" t="str">
        <f t="shared" si="1"/>
        <v>2110 W Greenleaf Ave </v>
      </c>
      <c r="P27" s="12">
        <v>50.0</v>
      </c>
      <c r="Q27" s="13" t="s">
        <v>131</v>
      </c>
    </row>
    <row r="28">
      <c r="A28" s="7">
        <v>400181.0</v>
      </c>
      <c r="B28" s="13" t="s">
        <v>132</v>
      </c>
      <c r="C28" s="17" t="s">
        <v>133</v>
      </c>
      <c r="D28" s="10">
        <v>0.141</v>
      </c>
      <c r="E28" s="11" t="s">
        <v>19</v>
      </c>
      <c r="F28" s="11" t="s">
        <v>19</v>
      </c>
      <c r="G28" s="8" t="str">
        <f>VLOOKUP(F28, 'Network Chiefs'!A:B, 2, FALSE)
</f>
        <v>#N/A</v>
      </c>
      <c r="H28" s="12">
        <v>44.0</v>
      </c>
      <c r="I28" s="13" t="s">
        <v>20</v>
      </c>
      <c r="J28" s="14" t="s">
        <v>121</v>
      </c>
      <c r="K28" s="14">
        <v>10.0</v>
      </c>
      <c r="L28" s="14" t="str">
        <f t="array" ref="L28">INDEX('School Rep'!$A$2:$A$21, MATCH(J28, 'School Rep'!$B$2:$B$21, 0))</f>
        <v>Che "Rhymefest" Smith</v>
      </c>
      <c r="M28" s="12">
        <v>3.5</v>
      </c>
      <c r="N28" s="16" t="s">
        <v>134</v>
      </c>
      <c r="O28" s="8" t="str">
        <f t="shared" si="1"/>
        <v>7415 S East End </v>
      </c>
      <c r="P28" s="12">
        <v>8.0</v>
      </c>
      <c r="Q28" s="13" t="s">
        <v>135</v>
      </c>
    </row>
    <row r="29">
      <c r="A29" s="7">
        <v>610287.0</v>
      </c>
      <c r="B29" s="8" t="s">
        <v>136</v>
      </c>
      <c r="C29" s="18" t="s">
        <v>137</v>
      </c>
      <c r="D29" s="19">
        <v>0.055</v>
      </c>
      <c r="E29" s="18" t="s">
        <v>80</v>
      </c>
      <c r="F29" s="18" t="s">
        <v>138</v>
      </c>
      <c r="G29" s="8" t="str">
        <f>VLOOKUP(F29, 'Network Chiefs'!A:B, 2, FALSE)
</f>
        <v>Mira Weber</v>
      </c>
      <c r="H29" s="12">
        <v>51.0</v>
      </c>
      <c r="I29" s="13" t="s">
        <v>20</v>
      </c>
      <c r="J29" s="14" t="s">
        <v>139</v>
      </c>
      <c r="K29" s="14">
        <v>8.0</v>
      </c>
      <c r="L29" s="14" t="str">
        <f t="array" ref="L29">INDEX('School Rep'!$A$2:$A$21, MATCH(J29, 'School Rep'!$B$2:$B$21, 0))</f>
        <v>Angel Gutierrez</v>
      </c>
      <c r="M29" s="15">
        <v>3.2</v>
      </c>
      <c r="N29" s="16" t="s">
        <v>140</v>
      </c>
      <c r="O29" s="8" t="str">
        <f t="shared" si="1"/>
        <v>8300 S St Louis Ave </v>
      </c>
      <c r="P29" s="12">
        <v>18.0</v>
      </c>
      <c r="Q29" s="13" t="s">
        <v>141</v>
      </c>
    </row>
    <row r="30">
      <c r="A30" s="7">
        <v>610268.0</v>
      </c>
      <c r="B30" s="13" t="s">
        <v>142</v>
      </c>
      <c r="C30" s="18" t="s">
        <v>143</v>
      </c>
      <c r="D30" s="19">
        <v>0.27</v>
      </c>
      <c r="E30" s="18" t="s">
        <v>80</v>
      </c>
      <c r="F30" s="18" t="s">
        <v>144</v>
      </c>
      <c r="G30" s="8" t="str">
        <f>VLOOKUP(F30, 'Network Chiefs'!A:B, 2, FALSE)
</f>
        <v>Shenethe Parks</v>
      </c>
      <c r="H30" s="12">
        <v>57.0</v>
      </c>
      <c r="I30" s="13" t="s">
        <v>20</v>
      </c>
      <c r="J30" s="14" t="s">
        <v>82</v>
      </c>
      <c r="K30" s="14">
        <v>10.0</v>
      </c>
      <c r="L30" s="14" t="str">
        <f t="array" ref="L30">INDEX('School Rep'!$A$2:$A$21, MATCH(J30, 'School Rep'!$B$2:$B$21, 0))</f>
        <v>Olga Bautista</v>
      </c>
      <c r="M30" s="12">
        <v>2.9</v>
      </c>
      <c r="N30" s="16" t="s">
        <v>145</v>
      </c>
      <c r="O30" s="8" t="str">
        <f t="shared" si="1"/>
        <v>8505 S Ingleside Ave </v>
      </c>
      <c r="P30" s="12">
        <v>8.0</v>
      </c>
      <c r="Q30" s="13" t="s">
        <v>135</v>
      </c>
    </row>
    <row r="31">
      <c r="A31" s="7">
        <v>400172.0</v>
      </c>
      <c r="B31" s="13" t="s">
        <v>146</v>
      </c>
      <c r="C31" s="17" t="s">
        <v>147</v>
      </c>
      <c r="D31" s="10">
        <v>0.13</v>
      </c>
      <c r="E31" s="11" t="s">
        <v>19</v>
      </c>
      <c r="F31" s="11" t="s">
        <v>19</v>
      </c>
      <c r="G31" s="8" t="str">
        <f>VLOOKUP(F31, 'Network Chiefs'!A:B, 2, FALSE)
</f>
        <v>#N/A</v>
      </c>
      <c r="H31" s="12">
        <v>20.0</v>
      </c>
      <c r="I31" s="13" t="s">
        <v>41</v>
      </c>
      <c r="J31" s="14" t="s">
        <v>47</v>
      </c>
      <c r="K31" s="14">
        <v>3.0</v>
      </c>
      <c r="L31" s="14" t="str">
        <f t="array" ref="L31">INDEX('School Rep'!$A$2:$A$21, MATCH(J31, 'School Rep'!$B$2:$B$21, 0))</f>
        <v>Norma Rios-Sierra</v>
      </c>
      <c r="M31" s="12">
        <v>3.2</v>
      </c>
      <c r="N31" s="16" t="s">
        <v>148</v>
      </c>
      <c r="O31" s="8" t="str">
        <f t="shared" si="1"/>
        <v>2989 N Milwaukee Ave </v>
      </c>
      <c r="P31" s="12">
        <v>35.0</v>
      </c>
      <c r="Q31" s="13" t="s">
        <v>49</v>
      </c>
    </row>
    <row r="32">
      <c r="A32" s="7">
        <v>400013.0</v>
      </c>
      <c r="B32" s="13" t="s">
        <v>149</v>
      </c>
      <c r="C32" s="18" t="s">
        <v>150</v>
      </c>
      <c r="D32" s="19">
        <v>0.229</v>
      </c>
      <c r="E32" s="18" t="s">
        <v>19</v>
      </c>
      <c r="F32" s="18" t="s">
        <v>19</v>
      </c>
      <c r="G32" s="8" t="str">
        <f>VLOOKUP(F32, 'Network Chiefs'!A:B, 2, FALSE)
</f>
        <v>#N/A</v>
      </c>
      <c r="H32" s="12">
        <v>69.0</v>
      </c>
      <c r="I32" s="13" t="s">
        <v>52</v>
      </c>
      <c r="J32" s="14" t="s">
        <v>47</v>
      </c>
      <c r="K32" s="14">
        <v>3.0</v>
      </c>
      <c r="L32" s="14" t="str">
        <f t="array" ref="L32">INDEX('School Rep'!$A$2:$A$21, MATCH(J32, 'School Rep'!$B$2:$B$21, 0))</f>
        <v>Norma Rios-Sierra</v>
      </c>
      <c r="M32" s="12">
        <v>3.3</v>
      </c>
      <c r="N32" s="16" t="s">
        <v>151</v>
      </c>
      <c r="O32" s="8" t="str">
        <f t="shared" si="1"/>
        <v>3986 W Barry Ave </v>
      </c>
      <c r="P32" s="12">
        <v>31.0</v>
      </c>
      <c r="Q32" s="13" t="s">
        <v>152</v>
      </c>
    </row>
    <row r="33">
      <c r="A33" s="7">
        <v>400017.0</v>
      </c>
      <c r="B33" s="13" t="s">
        <v>153</v>
      </c>
      <c r="C33" s="18" t="s">
        <v>154</v>
      </c>
      <c r="D33" s="19">
        <v>0.186</v>
      </c>
      <c r="E33" s="18" t="s">
        <v>19</v>
      </c>
      <c r="F33" s="18" t="s">
        <v>19</v>
      </c>
      <c r="G33" s="8" t="str">
        <f>VLOOKUP(F33, 'Network Chiefs'!A:B, 2, FALSE)
</f>
        <v>#N/A</v>
      </c>
      <c r="H33" s="12">
        <v>43.0</v>
      </c>
      <c r="I33" s="13" t="s">
        <v>20</v>
      </c>
      <c r="J33" s="14" t="s">
        <v>47</v>
      </c>
      <c r="K33" s="14">
        <v>3.0</v>
      </c>
      <c r="L33" s="14" t="str">
        <f t="array" ref="L33">INDEX('School Rep'!$A$2:$A$21, MATCH(J33, 'School Rep'!$B$2:$B$21, 0))</f>
        <v>Norma Rios-Sierra</v>
      </c>
      <c r="M33" s="12">
        <v>3.6</v>
      </c>
      <c r="N33" s="16" t="s">
        <v>155</v>
      </c>
      <c r="O33" s="8" t="str">
        <f t="shared" si="1"/>
        <v>3729 W Leland Ave </v>
      </c>
      <c r="P33" s="12">
        <v>33.0</v>
      </c>
      <c r="Q33" s="13" t="s">
        <v>99</v>
      </c>
    </row>
    <row r="34">
      <c r="A34" s="7">
        <v>609782.0</v>
      </c>
      <c r="B34" s="12" t="s">
        <v>156</v>
      </c>
      <c r="C34" s="17" t="s">
        <v>157</v>
      </c>
      <c r="D34" s="10">
        <v>0.036</v>
      </c>
      <c r="E34" s="11" t="s">
        <v>80</v>
      </c>
      <c r="F34" s="11" t="s">
        <v>102</v>
      </c>
      <c r="G34" s="8" t="str">
        <f>VLOOKUP(F34, 'Network Chiefs'!A:B, 2, FALSE)
</f>
        <v>Jerry Travlos</v>
      </c>
      <c r="H34" s="12">
        <v>69.0</v>
      </c>
      <c r="I34" s="13" t="s">
        <v>52</v>
      </c>
      <c r="J34" s="14" t="s">
        <v>103</v>
      </c>
      <c r="K34" s="14">
        <v>4.0</v>
      </c>
      <c r="L34" s="14" t="str">
        <f t="array" ref="L34">INDEX('School Rep'!$A$2:$A$21, MATCH(J34, 'School Rep'!$B$2:$B$21, 0))</f>
        <v>Ellen Rosenfeld</v>
      </c>
      <c r="M34" s="12">
        <v>1.5</v>
      </c>
      <c r="N34" s="16" t="s">
        <v>158</v>
      </c>
      <c r="O34" s="8" t="str">
        <f t="shared" si="1"/>
        <v>3500 N Hoyne Ave </v>
      </c>
      <c r="P34" s="12">
        <v>32.0</v>
      </c>
      <c r="Q34" s="13" t="s">
        <v>110</v>
      </c>
    </row>
    <row r="35">
      <c r="A35" s="7">
        <v>610518.0</v>
      </c>
      <c r="B35" s="12" t="s">
        <v>159</v>
      </c>
      <c r="C35" s="17" t="s">
        <v>160</v>
      </c>
      <c r="D35" s="10">
        <v>0.441</v>
      </c>
      <c r="E35" s="11" t="s">
        <v>80</v>
      </c>
      <c r="F35" s="11" t="s">
        <v>108</v>
      </c>
      <c r="G35" s="8" t="str">
        <f>VLOOKUP(F35, 'Network Chiefs'!A:B, 2, FALSE)
</f>
        <v>Michael Boraz</v>
      </c>
      <c r="H35" s="12">
        <v>57.0</v>
      </c>
      <c r="I35" s="13" t="s">
        <v>20</v>
      </c>
      <c r="J35" s="14" t="s">
        <v>31</v>
      </c>
      <c r="K35" s="14">
        <v>5.0</v>
      </c>
      <c r="L35" s="14" t="str">
        <f t="array" ref="L35">INDEX('School Rep'!$A$2:$A$21, MATCH(J35, 'School Rep'!$B$2:$B$21, 0))</f>
        <v>Aaron "Jitu" Brown</v>
      </c>
      <c r="M35" s="12">
        <v>3.7</v>
      </c>
      <c r="N35" s="16" t="s">
        <v>161</v>
      </c>
      <c r="O35" s="8" t="str">
        <f t="shared" si="1"/>
        <v>231 N Pine Ave </v>
      </c>
      <c r="P35" s="12">
        <v>37.0</v>
      </c>
      <c r="Q35" s="13" t="s">
        <v>162</v>
      </c>
    </row>
    <row r="36">
      <c r="A36" s="7">
        <v>609786.0</v>
      </c>
      <c r="B36" s="13" t="s">
        <v>163</v>
      </c>
      <c r="C36" s="18" t="s">
        <v>164</v>
      </c>
      <c r="D36" s="19">
        <v>0.284</v>
      </c>
      <c r="E36" s="18" t="s">
        <v>80</v>
      </c>
      <c r="F36" s="18" t="s">
        <v>144</v>
      </c>
      <c r="G36" s="8" t="str">
        <f>VLOOKUP(F36, 'Network Chiefs'!A:B, 2, FALSE)
</f>
        <v>Shenethe Parks</v>
      </c>
      <c r="H36" s="12">
        <v>63.0</v>
      </c>
      <c r="I36" s="13" t="s">
        <v>52</v>
      </c>
      <c r="J36" s="14" t="s">
        <v>82</v>
      </c>
      <c r="K36" s="14">
        <v>10.0</v>
      </c>
      <c r="L36" s="14" t="str">
        <f t="array" ref="L36">INDEX('School Rep'!$A$2:$A$21, MATCH(J36, 'School Rep'!$B$2:$B$21, 0))</f>
        <v>Olga Bautista</v>
      </c>
      <c r="M36" s="12">
        <v>2.8</v>
      </c>
      <c r="N36" s="16" t="s">
        <v>165</v>
      </c>
      <c r="O36" s="8" t="str">
        <f t="shared" si="1"/>
        <v>8045 S Kenwood Ave </v>
      </c>
      <c r="P36" s="12">
        <v>8.0</v>
      </c>
      <c r="Q36" s="13" t="s">
        <v>135</v>
      </c>
    </row>
    <row r="37">
      <c r="A37" s="7">
        <v>610325.0</v>
      </c>
      <c r="B37" s="12" t="s">
        <v>166</v>
      </c>
      <c r="C37" s="18" t="s">
        <v>167</v>
      </c>
      <c r="D37" s="19">
        <v>0.106</v>
      </c>
      <c r="E37" s="18" t="s">
        <v>80</v>
      </c>
      <c r="F37" s="18" t="s">
        <v>102</v>
      </c>
      <c r="G37" s="8" t="str">
        <f>VLOOKUP(F37, 'Network Chiefs'!A:B, 2, FALSE)
</f>
        <v>Jerry Travlos</v>
      </c>
      <c r="H37" s="12">
        <v>41.0</v>
      </c>
      <c r="I37" s="13" t="s">
        <v>20</v>
      </c>
      <c r="J37" s="14" t="s">
        <v>47</v>
      </c>
      <c r="K37" s="14">
        <v>3.0</v>
      </c>
      <c r="L37" s="14" t="str">
        <f t="array" ref="L37">INDEX('School Rep'!$A$2:$A$21, MATCH(J37, 'School Rep'!$B$2:$B$21, 0))</f>
        <v>Norma Rios-Sierra</v>
      </c>
      <c r="M37" s="12">
        <v>2.9</v>
      </c>
      <c r="N37" s="16" t="s">
        <v>168</v>
      </c>
      <c r="O37" s="8" t="str">
        <f t="shared" si="1"/>
        <v>3212 W George St </v>
      </c>
      <c r="P37" s="12">
        <v>35.0</v>
      </c>
      <c r="Q37" s="13" t="s">
        <v>49</v>
      </c>
    </row>
    <row r="38">
      <c r="A38" s="7">
        <v>610544.0</v>
      </c>
      <c r="B38" s="8" t="s">
        <v>169</v>
      </c>
      <c r="C38" s="9" t="s">
        <v>170</v>
      </c>
      <c r="D38" s="10">
        <v>0.07</v>
      </c>
      <c r="E38" s="11" t="s">
        <v>80</v>
      </c>
      <c r="F38" s="11" t="s">
        <v>138</v>
      </c>
      <c r="G38" s="8" t="str">
        <f>VLOOKUP(F38, 'Network Chiefs'!A:B, 2, FALSE)
</f>
        <v>Mira Weber</v>
      </c>
      <c r="H38" s="12">
        <v>47.0</v>
      </c>
      <c r="I38" s="13" t="s">
        <v>20</v>
      </c>
      <c r="J38" s="14" t="s">
        <v>139</v>
      </c>
      <c r="K38" s="14">
        <v>8.0</v>
      </c>
      <c r="L38" s="14" t="str">
        <f t="array" ref="L38">INDEX('School Rep'!$A$2:$A$21, MATCH(J38, 'School Rep'!$B$2:$B$21, 0))</f>
        <v>Angel Gutierrez</v>
      </c>
      <c r="M38" s="15">
        <v>3.3</v>
      </c>
      <c r="N38" s="16" t="s">
        <v>171</v>
      </c>
      <c r="O38" s="8" t="str">
        <f t="shared" si="1"/>
        <v>4707 W Marquette Rd </v>
      </c>
      <c r="P38" s="12">
        <v>23.0</v>
      </c>
      <c r="Q38" s="13" t="s">
        <v>172</v>
      </c>
    </row>
    <row r="39">
      <c r="A39" s="7">
        <v>610563.0</v>
      </c>
      <c r="B39" s="8" t="s">
        <v>173</v>
      </c>
      <c r="C39" s="18" t="s">
        <v>174</v>
      </c>
      <c r="D39" s="19">
        <v>0.045</v>
      </c>
      <c r="E39" s="18" t="s">
        <v>80</v>
      </c>
      <c r="F39" s="18" t="s">
        <v>126</v>
      </c>
      <c r="G39" s="8" t="str">
        <f>VLOOKUP(F39, 'Network Chiefs'!A:B, 2, FALSE)
</f>
        <v>#N/A</v>
      </c>
      <c r="H39" s="12">
        <v>38.0</v>
      </c>
      <c r="I39" s="13" t="s">
        <v>41</v>
      </c>
      <c r="J39" s="14" t="s">
        <v>26</v>
      </c>
      <c r="K39" s="14">
        <v>8.0</v>
      </c>
      <c r="L39" s="14" t="str">
        <f t="array" ref="L39">INDEX('School Rep'!$A$2:$A$21, MATCH(J39, 'School Rep'!$B$2:$B$21, 0))</f>
        <v>Cydney Wallace</v>
      </c>
      <c r="M39" s="15">
        <v>3.5</v>
      </c>
      <c r="N39" s="16" t="s">
        <v>175</v>
      </c>
      <c r="O39" s="8" t="str">
        <f t="shared" si="1"/>
        <v>2111 W 47th St </v>
      </c>
      <c r="P39" s="12">
        <v>12.0</v>
      </c>
      <c r="Q39" s="13" t="s">
        <v>23</v>
      </c>
    </row>
    <row r="40">
      <c r="A40" s="7">
        <v>609788.0</v>
      </c>
      <c r="B40" s="8" t="s">
        <v>176</v>
      </c>
      <c r="C40" s="18" t="s">
        <v>177</v>
      </c>
      <c r="D40" s="19">
        <v>0.092</v>
      </c>
      <c r="E40" s="18" t="s">
        <v>80</v>
      </c>
      <c r="F40" s="18" t="s">
        <v>138</v>
      </c>
      <c r="G40" s="8" t="str">
        <f>VLOOKUP(F40, 'Network Chiefs'!A:B, 2, FALSE)
</f>
        <v>Mira Weber</v>
      </c>
      <c r="H40" s="12">
        <v>39.0</v>
      </c>
      <c r="I40" s="13" t="s">
        <v>41</v>
      </c>
      <c r="J40" s="14" t="s">
        <v>178</v>
      </c>
      <c r="K40" s="14">
        <v>9.0</v>
      </c>
      <c r="L40" s="14" t="str">
        <f t="array" ref="L40">INDEX('School Rep'!$A$2:$A$21, MATCH(J40, 'School Rep'!$B$2:$B$21, 0))</f>
        <v>Therese Boyle</v>
      </c>
      <c r="M40" s="15">
        <v>3.0</v>
      </c>
      <c r="N40" s="16" t="s">
        <v>179</v>
      </c>
      <c r="O40" s="8" t="str">
        <f t="shared" si="1"/>
        <v>10354 S Charles St </v>
      </c>
      <c r="P40" s="12">
        <v>19.0</v>
      </c>
      <c r="Q40" s="13" t="s">
        <v>180</v>
      </c>
    </row>
    <row r="41">
      <c r="A41" s="7">
        <v>609789.0</v>
      </c>
      <c r="B41" s="12" t="s">
        <v>181</v>
      </c>
      <c r="C41" s="17" t="s">
        <v>182</v>
      </c>
      <c r="D41" s="10">
        <v>0.097</v>
      </c>
      <c r="E41" s="11" t="s">
        <v>80</v>
      </c>
      <c r="F41" s="11" t="s">
        <v>102</v>
      </c>
      <c r="G41" s="8" t="str">
        <f>VLOOKUP(F41, 'Network Chiefs'!A:B, 2, FALSE)
</f>
        <v>Jerry Travlos</v>
      </c>
      <c r="H41" s="12">
        <v>43.0</v>
      </c>
      <c r="I41" s="13" t="s">
        <v>20</v>
      </c>
      <c r="J41" s="14" t="s">
        <v>47</v>
      </c>
      <c r="K41" s="14">
        <v>3.0</v>
      </c>
      <c r="L41" s="14" t="str">
        <f t="array" ref="L41">INDEX('School Rep'!$A$2:$A$21, MATCH(J41, 'School Rep'!$B$2:$B$21, 0))</f>
        <v>Norma Rios-Sierra</v>
      </c>
      <c r="M41" s="12">
        <v>3.1</v>
      </c>
      <c r="N41" s="16" t="s">
        <v>183</v>
      </c>
      <c r="O41" s="8" t="str">
        <f t="shared" si="1"/>
        <v>2828 N Kilbourn Ave </v>
      </c>
      <c r="P41" s="12">
        <v>31.0</v>
      </c>
      <c r="Q41" s="13" t="s">
        <v>152</v>
      </c>
    </row>
    <row r="42">
      <c r="A42" s="7">
        <v>609790.0</v>
      </c>
      <c r="B42" s="8" t="s">
        <v>184</v>
      </c>
      <c r="C42" s="18" t="s">
        <v>185</v>
      </c>
      <c r="D42" s="19">
        <v>0.164</v>
      </c>
      <c r="E42" s="18" t="s">
        <v>80</v>
      </c>
      <c r="F42" s="18" t="s">
        <v>186</v>
      </c>
      <c r="G42" s="8" t="str">
        <f>VLOOKUP(F42, 'Network Chiefs'!A:B, 2, FALSE)
</f>
        <v>Latasha Geverola</v>
      </c>
      <c r="H42" s="12">
        <v>46.0</v>
      </c>
      <c r="I42" s="13" t="s">
        <v>20</v>
      </c>
      <c r="J42" s="14" t="s">
        <v>187</v>
      </c>
      <c r="K42" s="14">
        <v>9.0</v>
      </c>
      <c r="L42" s="14" t="str">
        <f t="array" ref="L42">INDEX('School Rep'!$A$2:$A$21, MATCH(J42, 'School Rep'!$B$2:$B$21, 0))</f>
        <v>Frank Niles Thomas</v>
      </c>
      <c r="M42" s="15">
        <v>3.4</v>
      </c>
      <c r="N42" s="16" t="s">
        <v>188</v>
      </c>
      <c r="O42" s="8" t="str">
        <f t="shared" si="1"/>
        <v>7650 S Wolcott Ave </v>
      </c>
      <c r="P42" s="12">
        <v>17.0</v>
      </c>
      <c r="Q42" s="13" t="s">
        <v>189</v>
      </c>
    </row>
    <row r="43">
      <c r="A43" s="7">
        <v>609791.0</v>
      </c>
      <c r="B43" s="8" t="s">
        <v>190</v>
      </c>
      <c r="C43" s="18" t="s">
        <v>191</v>
      </c>
      <c r="D43" s="19">
        <v>0.17</v>
      </c>
      <c r="E43" s="18" t="s">
        <v>80</v>
      </c>
      <c r="F43" s="18" t="s">
        <v>186</v>
      </c>
      <c r="G43" s="8" t="str">
        <f>VLOOKUP(F43, 'Network Chiefs'!A:B, 2, FALSE)
</f>
        <v>Latasha Geverola</v>
      </c>
      <c r="H43" s="12">
        <v>49.0</v>
      </c>
      <c r="I43" s="13" t="s">
        <v>20</v>
      </c>
      <c r="J43" s="14" t="s">
        <v>187</v>
      </c>
      <c r="K43" s="14">
        <v>9.0</v>
      </c>
      <c r="L43" s="14" t="str">
        <f t="array" ref="L43">INDEX('School Rep'!$A$2:$A$21, MATCH(J43, 'School Rep'!$B$2:$B$21, 0))</f>
        <v>Frank Niles Thomas</v>
      </c>
      <c r="M43" s="15">
        <v>4.2</v>
      </c>
      <c r="N43" s="16" t="s">
        <v>192</v>
      </c>
      <c r="O43" s="8" t="str">
        <f t="shared" si="1"/>
        <v>1140 W 66th St </v>
      </c>
      <c r="P43" s="12">
        <v>16.0</v>
      </c>
      <c r="Q43" s="13" t="s">
        <v>193</v>
      </c>
    </row>
    <row r="44">
      <c r="A44" s="7">
        <v>609792.0</v>
      </c>
      <c r="B44" s="13" t="s">
        <v>194</v>
      </c>
      <c r="C44" s="17" t="s">
        <v>195</v>
      </c>
      <c r="D44" s="10">
        <v>0.072</v>
      </c>
      <c r="E44" s="11" t="s">
        <v>80</v>
      </c>
      <c r="F44" s="11" t="s">
        <v>97</v>
      </c>
      <c r="G44" s="8" t="str">
        <f>VLOOKUP(F44, 'Network Chiefs'!A:B, 2, FALSE)
</f>
        <v>Julie McGlade</v>
      </c>
      <c r="H44" s="12">
        <v>67.0</v>
      </c>
      <c r="I44" s="13" t="s">
        <v>52</v>
      </c>
      <c r="J44" s="14" t="s">
        <v>87</v>
      </c>
      <c r="K44" s="14">
        <v>2.0</v>
      </c>
      <c r="L44" s="14" t="str">
        <f t="array" ref="L44">INDEX('School Rep'!$A$2:$A$21, MATCH(J44, 'School Rep'!$B$2:$B$21, 0))</f>
        <v>Debby Pope</v>
      </c>
      <c r="M44" s="12">
        <v>2.3</v>
      </c>
      <c r="N44" s="16" t="s">
        <v>196</v>
      </c>
      <c r="O44" s="8" t="str">
        <f t="shared" si="1"/>
        <v>4220 N Richmond St </v>
      </c>
      <c r="P44" s="12">
        <v>33.0</v>
      </c>
      <c r="Q44" s="13" t="s">
        <v>99</v>
      </c>
    </row>
    <row r="45">
      <c r="A45" s="7">
        <v>610083.0</v>
      </c>
      <c r="B45" s="13" t="s">
        <v>197</v>
      </c>
      <c r="C45" s="18" t="s">
        <v>198</v>
      </c>
      <c r="D45" s="19">
        <v>0.133</v>
      </c>
      <c r="E45" s="18" t="s">
        <v>80</v>
      </c>
      <c r="F45" s="18" t="s">
        <v>97</v>
      </c>
      <c r="G45" s="8" t="str">
        <f>VLOOKUP(F45, 'Network Chiefs'!A:B, 2, FALSE)
</f>
        <v>Julie McGlade</v>
      </c>
      <c r="H45" s="15"/>
      <c r="I45" s="8"/>
      <c r="J45" s="14" t="s">
        <v>199</v>
      </c>
      <c r="K45" s="14">
        <v>1.0</v>
      </c>
      <c r="L45" s="14" t="str">
        <f t="array" ref="L45">INDEX('School Rep'!$A$2:$A$21, MATCH(J45, 'School Rep'!$B$2:$B$21, 0))</f>
        <v>Ed Bannon</v>
      </c>
      <c r="M45" s="12">
        <v>2.2</v>
      </c>
      <c r="N45" s="16" t="s">
        <v>200</v>
      </c>
      <c r="O45" s="8" t="str">
        <f t="shared" si="1"/>
        <v>6445 W Strong St </v>
      </c>
      <c r="P45" s="12">
        <v>41.0</v>
      </c>
      <c r="Q45" s="13" t="s">
        <v>201</v>
      </c>
    </row>
    <row r="46">
      <c r="A46" s="7">
        <v>610246.0</v>
      </c>
      <c r="B46" s="8" t="s">
        <v>202</v>
      </c>
      <c r="C46" s="18" t="s">
        <v>203</v>
      </c>
      <c r="D46" s="19">
        <v>0.043</v>
      </c>
      <c r="E46" s="18" t="s">
        <v>80</v>
      </c>
      <c r="F46" s="18" t="s">
        <v>120</v>
      </c>
      <c r="G46" s="8" t="str">
        <f>VLOOKUP(F46, 'Network Chiefs'!A:B, 2, FALSE)
</f>
        <v>Alene Mason</v>
      </c>
      <c r="H46" s="12">
        <v>58.0</v>
      </c>
      <c r="I46" s="13" t="s">
        <v>20</v>
      </c>
      <c r="J46" s="14" t="s">
        <v>204</v>
      </c>
      <c r="K46" s="14">
        <v>6.0</v>
      </c>
      <c r="L46" s="14" t="str">
        <f t="array" ref="L46">INDEX('School Rep'!$A$2:$A$21, MATCH(J46, 'School Rep'!$B$2:$B$21, 0))</f>
        <v>Jessica Biggs</v>
      </c>
      <c r="M46" s="15">
        <v>3.1</v>
      </c>
      <c r="N46" s="16" t="s">
        <v>205</v>
      </c>
      <c r="O46" s="8" t="str">
        <f t="shared" si="1"/>
        <v>5255 S State St </v>
      </c>
      <c r="P46" s="12">
        <v>3.0</v>
      </c>
      <c r="Q46" s="13" t="s">
        <v>206</v>
      </c>
    </row>
    <row r="47">
      <c r="A47" s="7">
        <v>609796.0</v>
      </c>
      <c r="B47" s="12" t="s">
        <v>207</v>
      </c>
      <c r="C47" s="18" t="s">
        <v>208</v>
      </c>
      <c r="D47" s="19">
        <v>0.052</v>
      </c>
      <c r="E47" s="18" t="s">
        <v>80</v>
      </c>
      <c r="F47" s="18" t="s">
        <v>97</v>
      </c>
      <c r="G47" s="8" t="str">
        <f>VLOOKUP(F47, 'Network Chiefs'!A:B, 2, FALSE)
</f>
        <v>Julie McGlade</v>
      </c>
      <c r="H47" s="12">
        <v>56.0</v>
      </c>
      <c r="I47" s="13" t="s">
        <v>20</v>
      </c>
      <c r="J47" s="14" t="s">
        <v>199</v>
      </c>
      <c r="K47" s="14">
        <v>1.0</v>
      </c>
      <c r="L47" s="14" t="str">
        <f t="array" ref="L47">INDEX('School Rep'!$A$2:$A$21, MATCH(J47, 'School Rep'!$B$2:$B$21, 0))</f>
        <v>Ed Bannon</v>
      </c>
      <c r="M47" s="12">
        <v>2.0</v>
      </c>
      <c r="N47" s="16" t="s">
        <v>209</v>
      </c>
      <c r="O47" s="8" t="str">
        <f t="shared" si="1"/>
        <v>5025 N Laramie Ave </v>
      </c>
      <c r="P47" s="12">
        <v>45.0</v>
      </c>
      <c r="Q47" s="13" t="s">
        <v>210</v>
      </c>
    </row>
    <row r="48">
      <c r="A48" s="7">
        <v>610237.0</v>
      </c>
      <c r="B48" s="8" t="s">
        <v>211</v>
      </c>
      <c r="C48" s="18" t="s">
        <v>212</v>
      </c>
      <c r="D48" s="19">
        <v>0.277</v>
      </c>
      <c r="E48" s="18" t="s">
        <v>80</v>
      </c>
      <c r="F48" s="18" t="s">
        <v>120</v>
      </c>
      <c r="G48" s="8" t="str">
        <f>VLOOKUP(F48, 'Network Chiefs'!A:B, 2, FALSE)
</f>
        <v>Alene Mason</v>
      </c>
      <c r="H48" s="12">
        <v>39.0</v>
      </c>
      <c r="I48" s="13" t="s">
        <v>41</v>
      </c>
      <c r="J48" s="14" t="s">
        <v>204</v>
      </c>
      <c r="K48" s="14">
        <v>6.0</v>
      </c>
      <c r="L48" s="14" t="str">
        <f t="array" ref="L48">INDEX('School Rep'!$A$2:$A$21, MATCH(J48, 'School Rep'!$B$2:$B$21, 0))</f>
        <v>Jessica Biggs</v>
      </c>
      <c r="M48" s="15">
        <v>3.2</v>
      </c>
      <c r="N48" s="16" t="s">
        <v>213</v>
      </c>
      <c r="O48" s="8" t="str">
        <f t="shared" si="1"/>
        <v>25 W 47th St </v>
      </c>
      <c r="P48" s="12">
        <v>3.0</v>
      </c>
      <c r="Q48" s="13" t="s">
        <v>206</v>
      </c>
    </row>
    <row r="49">
      <c r="A49" s="7">
        <v>609797.0</v>
      </c>
      <c r="B49" s="8" t="s">
        <v>214</v>
      </c>
      <c r="C49" s="18" t="s">
        <v>215</v>
      </c>
      <c r="D49" s="19">
        <v>0.154</v>
      </c>
      <c r="E49" s="18" t="s">
        <v>80</v>
      </c>
      <c r="F49" s="18" t="s">
        <v>216</v>
      </c>
      <c r="G49" s="8" t="str">
        <f>VLOOKUP(F49, 'Network Chiefs'!A:B, 2, FALSE)
</f>
        <v>Shontae Higginbottom</v>
      </c>
      <c r="H49" s="12">
        <v>51.0</v>
      </c>
      <c r="I49" s="13" t="s">
        <v>20</v>
      </c>
      <c r="J49" s="14" t="s">
        <v>217</v>
      </c>
      <c r="K49" s="14">
        <v>5.0</v>
      </c>
      <c r="L49" s="14" t="str">
        <f t="array" ref="L49">INDEX('School Rep'!$A$2:$A$21, MATCH(J49, 'School Rep'!$B$2:$B$21, 0))</f>
        <v>Michilla Blaise</v>
      </c>
      <c r="M49" s="15">
        <v>2.8</v>
      </c>
      <c r="N49" s="16" t="s">
        <v>218</v>
      </c>
      <c r="O49" s="8" t="str">
        <f t="shared" si="1"/>
        <v>3151 W Walnut St </v>
      </c>
      <c r="P49" s="12">
        <v>27.0</v>
      </c>
      <c r="Q49" s="13" t="s">
        <v>219</v>
      </c>
    </row>
    <row r="50">
      <c r="A50" s="7">
        <v>609798.0</v>
      </c>
      <c r="B50" s="13" t="s">
        <v>220</v>
      </c>
      <c r="C50" s="18" t="s">
        <v>221</v>
      </c>
      <c r="D50" s="19">
        <v>0.072</v>
      </c>
      <c r="E50" s="18" t="s">
        <v>80</v>
      </c>
      <c r="F50" s="18" t="s">
        <v>97</v>
      </c>
      <c r="G50" s="8" t="str">
        <f>VLOOKUP(F50, 'Network Chiefs'!A:B, 2, FALSE)
</f>
        <v>Julie McGlade</v>
      </c>
      <c r="H50" s="12">
        <v>77.0</v>
      </c>
      <c r="I50" s="13" t="s">
        <v>52</v>
      </c>
      <c r="J50" s="14" t="s">
        <v>222</v>
      </c>
      <c r="K50" s="14">
        <v>1.0</v>
      </c>
      <c r="L50" s="14" t="str">
        <f t="array" ref="L50">INDEX('School Rep'!$A$2:$A$21, MATCH(J50, 'School Rep'!$B$2:$B$21, 0))</f>
        <v>Jennifer Custer</v>
      </c>
      <c r="M50" s="12">
        <v>2.2</v>
      </c>
      <c r="N50" s="16" t="s">
        <v>223</v>
      </c>
      <c r="O50" s="8" t="str">
        <f t="shared" si="1"/>
        <v>4257 N Tripp Ave </v>
      </c>
      <c r="P50" s="12">
        <v>39.0</v>
      </c>
      <c r="Q50" s="13" t="s">
        <v>224</v>
      </c>
    </row>
    <row r="51">
      <c r="A51" s="7">
        <v>609799.0</v>
      </c>
      <c r="B51" s="12" t="s">
        <v>225</v>
      </c>
      <c r="C51" s="18" t="s">
        <v>226</v>
      </c>
      <c r="D51" s="19">
        <v>0.017</v>
      </c>
      <c r="E51" s="18" t="s">
        <v>80</v>
      </c>
      <c r="F51" s="18" t="s">
        <v>102</v>
      </c>
      <c r="G51" s="8" t="str">
        <f>VLOOKUP(F51, 'Network Chiefs'!A:B, 2, FALSE)
</f>
        <v>Jerry Travlos</v>
      </c>
      <c r="H51" s="12">
        <v>41.0</v>
      </c>
      <c r="I51" s="13" t="s">
        <v>20</v>
      </c>
      <c r="J51" s="14" t="s">
        <v>103</v>
      </c>
      <c r="K51" s="14">
        <v>4.0</v>
      </c>
      <c r="L51" s="14" t="str">
        <f t="array" ref="L51">INDEX('School Rep'!$A$2:$A$21, MATCH(J51, 'School Rep'!$B$2:$B$21, 0))</f>
        <v>Ellen Rosenfeld</v>
      </c>
      <c r="M51" s="12">
        <v>1.3</v>
      </c>
      <c r="N51" s="16" t="s">
        <v>227</v>
      </c>
      <c r="O51" s="8" t="str">
        <f t="shared" si="1"/>
        <v>3730 N Oakley Ave </v>
      </c>
      <c r="P51" s="12">
        <v>47.0</v>
      </c>
      <c r="Q51" s="13" t="s">
        <v>228</v>
      </c>
    </row>
    <row r="52">
      <c r="A52" s="7">
        <v>609922.0</v>
      </c>
      <c r="B52" s="12" t="s">
        <v>229</v>
      </c>
      <c r="C52" s="18" t="s">
        <v>230</v>
      </c>
      <c r="D52" s="19">
        <v>0.082</v>
      </c>
      <c r="E52" s="18" t="s">
        <v>80</v>
      </c>
      <c r="F52" s="18" t="s">
        <v>231</v>
      </c>
      <c r="G52" s="8" t="str">
        <f>VLOOKUP(F52, 'Network Chiefs'!A:B, 2, FALSE)
</f>
        <v>Jennifer Farrell‐Rottman</v>
      </c>
      <c r="H52" s="12">
        <v>55.0</v>
      </c>
      <c r="I52" s="13" t="s">
        <v>20</v>
      </c>
      <c r="J52" s="14" t="s">
        <v>232</v>
      </c>
      <c r="K52" s="14">
        <v>3.0</v>
      </c>
      <c r="L52" s="14" t="str">
        <f t="array" ref="L52">INDEX('School Rep'!$A$2:$A$21, MATCH(J52, 'School Rep'!$B$2:$B$21, 0))</f>
        <v>Carlos Rivas</v>
      </c>
      <c r="M52" s="12">
        <v>3.3</v>
      </c>
      <c r="N52" s="16" t="s">
        <v>233</v>
      </c>
      <c r="O52" s="8" t="str">
        <f t="shared" si="1"/>
        <v>5252 W Palmer St </v>
      </c>
      <c r="P52" s="12">
        <v>36.0</v>
      </c>
      <c r="Q52" s="13" t="s">
        <v>67</v>
      </c>
    </row>
    <row r="53">
      <c r="A53" s="7">
        <v>609800.0</v>
      </c>
      <c r="B53" s="8" t="s">
        <v>234</v>
      </c>
      <c r="C53" s="18" t="s">
        <v>235</v>
      </c>
      <c r="D53" s="19">
        <v>0.144</v>
      </c>
      <c r="E53" s="18" t="s">
        <v>80</v>
      </c>
      <c r="F53" s="18" t="s">
        <v>81</v>
      </c>
      <c r="G53" s="8" t="str">
        <f>VLOOKUP(F53, 'Network Chiefs'!A:B, 2, FALSE)
</f>
        <v>Dr. Terrycita D. Perry</v>
      </c>
      <c r="H53" s="12">
        <v>51.0</v>
      </c>
      <c r="I53" s="13" t="s">
        <v>20</v>
      </c>
      <c r="J53" s="14" t="s">
        <v>178</v>
      </c>
      <c r="K53" s="14">
        <v>9.0</v>
      </c>
      <c r="L53" s="14" t="str">
        <f t="array" ref="L53">INDEX('School Rep'!$A$2:$A$21, MATCH(J53, 'School Rep'!$B$2:$B$21, 0))</f>
        <v>Therese Boyle</v>
      </c>
      <c r="M53" s="15">
        <v>2.8</v>
      </c>
      <c r="N53" s="16" t="s">
        <v>236</v>
      </c>
      <c r="O53" s="8" t="str">
        <f t="shared" si="1"/>
        <v>10115 S Prairie Ave </v>
      </c>
      <c r="P53" s="12">
        <v>9.0</v>
      </c>
      <c r="Q53" s="13" t="s">
        <v>237</v>
      </c>
    </row>
    <row r="54">
      <c r="A54" s="7">
        <v>610350.0</v>
      </c>
      <c r="B54" s="13" t="s">
        <v>238</v>
      </c>
      <c r="C54" s="18" t="s">
        <v>239</v>
      </c>
      <c r="D54" s="19">
        <v>0.028</v>
      </c>
      <c r="E54" s="18" t="s">
        <v>80</v>
      </c>
      <c r="F54" s="18" t="s">
        <v>144</v>
      </c>
      <c r="G54" s="8" t="str">
        <f>VLOOKUP(F54, 'Network Chiefs'!A:B, 2, FALSE)
</f>
        <v>Shenethe Parks</v>
      </c>
      <c r="H54" s="12">
        <v>62.0</v>
      </c>
      <c r="I54" s="13" t="s">
        <v>52</v>
      </c>
      <c r="J54" s="14" t="s">
        <v>82</v>
      </c>
      <c r="K54" s="14">
        <v>10.0</v>
      </c>
      <c r="L54" s="14" t="str">
        <f t="array" ref="L54">INDEX('School Rep'!$A$2:$A$21, MATCH(J54, 'School Rep'!$B$2:$B$21, 0))</f>
        <v>Olga Bautista</v>
      </c>
      <c r="M54" s="12">
        <v>2.7</v>
      </c>
      <c r="N54" s="16" t="s">
        <v>240</v>
      </c>
      <c r="O54" s="8" t="str">
        <f t="shared" si="1"/>
        <v>9101 S Euclid Ave </v>
      </c>
      <c r="P54" s="12">
        <v>8.0</v>
      </c>
      <c r="Q54" s="13" t="s">
        <v>135</v>
      </c>
    </row>
    <row r="55">
      <c r="A55" s="7">
        <v>609803.0</v>
      </c>
      <c r="B55" s="12" t="s">
        <v>241</v>
      </c>
      <c r="C55" s="18" t="s">
        <v>242</v>
      </c>
      <c r="D55" s="19">
        <v>0.041</v>
      </c>
      <c r="E55" s="18" t="s">
        <v>80</v>
      </c>
      <c r="F55" s="18" t="s">
        <v>102</v>
      </c>
      <c r="G55" s="8" t="str">
        <f>VLOOKUP(F55, 'Network Chiefs'!A:B, 2, FALSE)
</f>
        <v>Jerry Travlos</v>
      </c>
      <c r="H55" s="12">
        <v>56.0</v>
      </c>
      <c r="I55" s="13" t="s">
        <v>20</v>
      </c>
      <c r="J55" s="14" t="s">
        <v>243</v>
      </c>
      <c r="K55" s="14">
        <v>4.0</v>
      </c>
      <c r="L55" s="14" t="str">
        <f t="array" ref="L55">INDEX('School Rep'!$A$2:$A$21, MATCH(J55, 'School Rep'!$B$2:$B$21, 0))</f>
        <v>Karen Zaccor</v>
      </c>
      <c r="M55" s="12">
        <v>1.8</v>
      </c>
      <c r="N55" s="16" t="s">
        <v>244</v>
      </c>
      <c r="O55" s="8" t="str">
        <f t="shared" si="1"/>
        <v>1420 W Grace St </v>
      </c>
      <c r="P55" s="12">
        <v>46.0</v>
      </c>
      <c r="Q55" s="13" t="s">
        <v>245</v>
      </c>
    </row>
    <row r="56">
      <c r="A56" s="7">
        <v>610087.0</v>
      </c>
      <c r="B56" s="8" t="s">
        <v>246</v>
      </c>
      <c r="C56" s="9" t="s">
        <v>247</v>
      </c>
      <c r="D56" s="10">
        <v>0.0</v>
      </c>
      <c r="E56" s="11" t="s">
        <v>80</v>
      </c>
      <c r="F56" s="11" t="s">
        <v>138</v>
      </c>
      <c r="G56" s="8" t="str">
        <f>VLOOKUP(F56, 'Network Chiefs'!A:B, 2, FALSE)
</f>
        <v>Mira Weber</v>
      </c>
      <c r="H56" s="12">
        <v>89.0</v>
      </c>
      <c r="I56" s="13" t="s">
        <v>248</v>
      </c>
      <c r="J56" s="14" t="s">
        <v>139</v>
      </c>
      <c r="K56" s="14">
        <v>8.0</v>
      </c>
      <c r="L56" s="14" t="str">
        <f t="array" ref="L56">INDEX('School Rep'!$A$2:$A$21, MATCH(J56, 'School Rep'!$B$2:$B$21, 0))</f>
        <v>Angel Gutierrez</v>
      </c>
      <c r="M56" s="15">
        <v>2.2</v>
      </c>
      <c r="N56" s="16" t="s">
        <v>249</v>
      </c>
      <c r="O56" s="8" t="str">
        <f t="shared" si="1"/>
        <v>6751 W 63rd Pl </v>
      </c>
      <c r="P56" s="12">
        <v>13.0</v>
      </c>
      <c r="Q56" s="13" t="s">
        <v>250</v>
      </c>
    </row>
    <row r="57">
      <c r="A57" s="7">
        <v>609698.0</v>
      </c>
      <c r="B57" s="8" t="s">
        <v>251</v>
      </c>
      <c r="C57" s="9" t="s">
        <v>252</v>
      </c>
      <c r="D57" s="10">
        <v>0.184</v>
      </c>
      <c r="E57" s="11" t="s">
        <v>80</v>
      </c>
      <c r="F57" s="11" t="s">
        <v>92</v>
      </c>
      <c r="G57" s="8" t="str">
        <f>VLOOKUP(F57, 'Network Chiefs'!A:B, 2, FALSE)
</f>
        <v>Devon LaRosa</v>
      </c>
      <c r="H57" s="12">
        <v>54.0</v>
      </c>
      <c r="I57" s="13" t="s">
        <v>20</v>
      </c>
      <c r="J57" s="14" t="s">
        <v>139</v>
      </c>
      <c r="K57" s="14">
        <v>8.0</v>
      </c>
      <c r="L57" s="14" t="str">
        <f t="array" ref="L57">INDEX('School Rep'!$A$2:$A$21, MATCH(J57, 'School Rep'!$B$2:$B$21, 0))</f>
        <v>Angel Gutierrez</v>
      </c>
      <c r="M57" s="15">
        <v>3.2</v>
      </c>
      <c r="N57" s="16" t="s">
        <v>253</v>
      </c>
      <c r="O57" s="8" t="str">
        <f t="shared" si="1"/>
        <v>3939 W 79th St </v>
      </c>
      <c r="P57" s="12">
        <v>18.0</v>
      </c>
      <c r="Q57" s="13" t="s">
        <v>141</v>
      </c>
    </row>
    <row r="58">
      <c r="A58" s="7">
        <v>610238.0</v>
      </c>
      <c r="B58" s="8" t="s">
        <v>254</v>
      </c>
      <c r="C58" s="18" t="s">
        <v>255</v>
      </c>
      <c r="D58" s="19">
        <v>0.201</v>
      </c>
      <c r="E58" s="18" t="s">
        <v>80</v>
      </c>
      <c r="F58" s="18" t="s">
        <v>186</v>
      </c>
      <c r="G58" s="8" t="str">
        <f>VLOOKUP(F58, 'Network Chiefs'!A:B, 2, FALSE)
</f>
        <v>Latasha Geverola</v>
      </c>
      <c r="H58" s="12">
        <v>37.0</v>
      </c>
      <c r="I58" s="13" t="s">
        <v>41</v>
      </c>
      <c r="J58" s="14" t="s">
        <v>187</v>
      </c>
      <c r="K58" s="14">
        <v>9.0</v>
      </c>
      <c r="L58" s="14" t="str">
        <f t="array" ref="L58">INDEX('School Rep'!$A$2:$A$21, MATCH(J58, 'School Rep'!$B$2:$B$21, 0))</f>
        <v>Frank Niles Thomas</v>
      </c>
      <c r="M58" s="15">
        <v>3.9</v>
      </c>
      <c r="N58" s="16" t="s">
        <v>256</v>
      </c>
      <c r="O58" s="8" t="str">
        <f t="shared" si="1"/>
        <v>7050 S May St </v>
      </c>
      <c r="P58" s="12">
        <v>16.0</v>
      </c>
      <c r="Q58" s="13" t="s">
        <v>193</v>
      </c>
    </row>
    <row r="59">
      <c r="A59" s="7">
        <v>609815.0</v>
      </c>
      <c r="B59" s="13" t="s">
        <v>257</v>
      </c>
      <c r="C59" s="18" t="s">
        <v>258</v>
      </c>
      <c r="D59" s="19">
        <v>0.256</v>
      </c>
      <c r="E59" s="18" t="s">
        <v>80</v>
      </c>
      <c r="F59" s="18" t="s">
        <v>144</v>
      </c>
      <c r="G59" s="8" t="str">
        <f>VLOOKUP(F59, 'Network Chiefs'!A:B, 2, FALSE)
</f>
        <v>Shenethe Parks</v>
      </c>
      <c r="H59" s="12">
        <v>56.0</v>
      </c>
      <c r="I59" s="13" t="s">
        <v>20</v>
      </c>
      <c r="J59" s="14" t="s">
        <v>121</v>
      </c>
      <c r="K59" s="14">
        <v>10.0</v>
      </c>
      <c r="L59" s="14" t="str">
        <f t="array" ref="L59">INDEX('School Rep'!$A$2:$A$21, MATCH(J59, 'School Rep'!$B$2:$B$21, 0))</f>
        <v>Che "Rhymefest" Smith</v>
      </c>
      <c r="M59" s="12">
        <v>3.8</v>
      </c>
      <c r="N59" s="16" t="s">
        <v>259</v>
      </c>
      <c r="O59" s="8" t="str">
        <f t="shared" si="1"/>
        <v>7355 S Jeffery Blvd </v>
      </c>
      <c r="P59" s="12">
        <v>7.0</v>
      </c>
      <c r="Q59" s="13" t="s">
        <v>260</v>
      </c>
    </row>
    <row r="60">
      <c r="A60" s="7">
        <v>610323.0</v>
      </c>
      <c r="B60" s="13" t="s">
        <v>261</v>
      </c>
      <c r="C60" s="17" t="s">
        <v>262</v>
      </c>
      <c r="D60" s="10">
        <v>0.342</v>
      </c>
      <c r="E60" s="11" t="s">
        <v>80</v>
      </c>
      <c r="F60" s="11" t="s">
        <v>263</v>
      </c>
      <c r="G60" s="8" t="str">
        <f>VLOOKUP(F60, 'Network Chiefs'!A:B, 2, FALSE)
</f>
        <v>Myron Hester</v>
      </c>
      <c r="H60" s="12">
        <v>44.0</v>
      </c>
      <c r="I60" s="13" t="s">
        <v>20</v>
      </c>
      <c r="J60" s="14" t="s">
        <v>82</v>
      </c>
      <c r="K60" s="14">
        <v>10.0</v>
      </c>
      <c r="L60" s="14" t="str">
        <f t="array" ref="L60">INDEX('School Rep'!$A$2:$A$21, MATCH(J60, 'School Rep'!$B$2:$B$21, 0))</f>
        <v>Olga Bautista</v>
      </c>
      <c r="M60" s="12">
        <v>3.7</v>
      </c>
      <c r="N60" s="16" t="s">
        <v>264</v>
      </c>
      <c r="O60" s="8" t="str">
        <f t="shared" si="1"/>
        <v>2710 E 89th St </v>
      </c>
      <c r="P60" s="12">
        <v>7.0</v>
      </c>
      <c r="Q60" s="13" t="s">
        <v>260</v>
      </c>
    </row>
    <row r="61">
      <c r="A61" s="7">
        <v>609806.0</v>
      </c>
      <c r="B61" s="13" t="s">
        <v>265</v>
      </c>
      <c r="C61" s="18" t="s">
        <v>266</v>
      </c>
      <c r="D61" s="19">
        <v>0.316</v>
      </c>
      <c r="E61" s="18" t="s">
        <v>80</v>
      </c>
      <c r="F61" s="18" t="s">
        <v>144</v>
      </c>
      <c r="G61" s="8" t="str">
        <f>VLOOKUP(F61, 'Network Chiefs'!A:B, 2, FALSE)
</f>
        <v>Shenethe Parks</v>
      </c>
      <c r="H61" s="12">
        <v>36.0</v>
      </c>
      <c r="I61" s="13" t="s">
        <v>41</v>
      </c>
      <c r="J61" s="14" t="s">
        <v>121</v>
      </c>
      <c r="K61" s="14">
        <v>10.0</v>
      </c>
      <c r="L61" s="14" t="str">
        <f t="array" ref="L61">INDEX('School Rep'!$A$2:$A$21, MATCH(J61, 'School Rep'!$B$2:$B$21, 0))</f>
        <v>Che "Rhymefest" Smith</v>
      </c>
      <c r="M61" s="12">
        <v>3.4</v>
      </c>
      <c r="N61" s="16" t="s">
        <v>267</v>
      </c>
      <c r="O61" s="8" t="str">
        <f t="shared" si="1"/>
        <v>7736 S Burnham Ave </v>
      </c>
      <c r="P61" s="12">
        <v>7.0</v>
      </c>
      <c r="Q61" s="13" t="s">
        <v>260</v>
      </c>
    </row>
    <row r="62">
      <c r="A62" s="7">
        <v>610242.0</v>
      </c>
      <c r="B62" s="12" t="s">
        <v>268</v>
      </c>
      <c r="C62" s="18" t="s">
        <v>269</v>
      </c>
      <c r="D62" s="19">
        <v>0.264</v>
      </c>
      <c r="E62" s="18" t="s">
        <v>80</v>
      </c>
      <c r="F62" s="18" t="s">
        <v>270</v>
      </c>
      <c r="G62" s="8" t="str">
        <f>VLOOKUP(F62, 'Network Chiefs'!A:B, 2, FALSE)
</f>
        <v>Marilou Rebolledo</v>
      </c>
      <c r="H62" s="12">
        <v>32.0</v>
      </c>
      <c r="I62" s="13" t="s">
        <v>41</v>
      </c>
      <c r="J62" s="14" t="s">
        <v>243</v>
      </c>
      <c r="K62" s="14">
        <v>4.0</v>
      </c>
      <c r="L62" s="14" t="str">
        <f t="array" ref="L62">INDEX('School Rep'!$A$2:$A$21, MATCH(J62, 'School Rep'!$B$2:$B$21, 0))</f>
        <v>Karen Zaccor</v>
      </c>
      <c r="M62" s="12">
        <v>3.4</v>
      </c>
      <c r="N62" s="16" t="s">
        <v>271</v>
      </c>
      <c r="O62" s="8" t="str">
        <f t="shared" si="1"/>
        <v>4251 N Clarendon Ave </v>
      </c>
      <c r="P62" s="12">
        <v>46.0</v>
      </c>
      <c r="Q62" s="13" t="s">
        <v>245</v>
      </c>
    </row>
    <row r="63">
      <c r="A63" s="7">
        <v>609809.0</v>
      </c>
      <c r="B63" s="12" t="s">
        <v>272</v>
      </c>
      <c r="C63" s="17" t="s">
        <v>273</v>
      </c>
      <c r="D63" s="10">
        <v>0.037</v>
      </c>
      <c r="E63" s="11" t="s">
        <v>80</v>
      </c>
      <c r="F63" s="11" t="s">
        <v>102</v>
      </c>
      <c r="G63" s="8" t="str">
        <f>VLOOKUP(F63, 'Network Chiefs'!A:B, 2, FALSE)
</f>
        <v>Jerry Travlos</v>
      </c>
      <c r="H63" s="12">
        <v>64.0</v>
      </c>
      <c r="I63" s="13" t="s">
        <v>52</v>
      </c>
      <c r="J63" s="14" t="s">
        <v>47</v>
      </c>
      <c r="K63" s="14">
        <v>3.0</v>
      </c>
      <c r="L63" s="14" t="str">
        <f t="array" ref="L63">INDEX('School Rep'!$A$2:$A$21, MATCH(J63, 'School Rep'!$B$2:$B$21, 0))</f>
        <v>Norma Rios-Sierra</v>
      </c>
      <c r="M63" s="12">
        <v>2.0</v>
      </c>
      <c r="N63" s="16" t="s">
        <v>274</v>
      </c>
      <c r="O63" s="8" t="str">
        <f t="shared" si="1"/>
        <v>2723 N Fairfield Ave </v>
      </c>
      <c r="P63" s="12">
        <v>1.0</v>
      </c>
      <c r="Q63" s="13" t="s">
        <v>275</v>
      </c>
    </row>
    <row r="64">
      <c r="A64" s="7">
        <v>609810.0</v>
      </c>
      <c r="B64" s="13" t="s">
        <v>276</v>
      </c>
      <c r="C64" s="18" t="s">
        <v>277</v>
      </c>
      <c r="D64" s="19">
        <v>0.062</v>
      </c>
      <c r="E64" s="18" t="s">
        <v>80</v>
      </c>
      <c r="F64" s="18" t="s">
        <v>97</v>
      </c>
      <c r="G64" s="8" t="str">
        <f>VLOOKUP(F64, 'Network Chiefs'!A:B, 2, FALSE)
</f>
        <v>Julie McGlade</v>
      </c>
      <c r="H64" s="12">
        <v>48.0</v>
      </c>
      <c r="I64" s="13" t="s">
        <v>20</v>
      </c>
      <c r="J64" s="14" t="s">
        <v>222</v>
      </c>
      <c r="K64" s="14">
        <v>1.0</v>
      </c>
      <c r="L64" s="14" t="str">
        <f t="array" ref="L64">INDEX('School Rep'!$A$2:$A$21, MATCH(J64, 'School Rep'!$B$2:$B$21, 0))</f>
        <v>Jennifer Custer</v>
      </c>
      <c r="M64" s="12">
        <v>1.8</v>
      </c>
      <c r="N64" s="16" t="s">
        <v>278</v>
      </c>
      <c r="O64" s="8" t="str">
        <f t="shared" si="1"/>
        <v>3800 N New England Ave </v>
      </c>
      <c r="P64" s="12">
        <v>38.0</v>
      </c>
      <c r="Q64" s="13" t="s">
        <v>279</v>
      </c>
    </row>
    <row r="65">
      <c r="A65" s="7">
        <v>609811.0</v>
      </c>
      <c r="B65" s="13" t="s">
        <v>280</v>
      </c>
      <c r="C65" s="9" t="s">
        <v>281</v>
      </c>
      <c r="D65" s="10">
        <v>0.18</v>
      </c>
      <c r="E65" s="11" t="s">
        <v>80</v>
      </c>
      <c r="F65" s="11" t="s">
        <v>81</v>
      </c>
      <c r="G65" s="8" t="str">
        <f>VLOOKUP(F65, 'Network Chiefs'!A:B, 2, FALSE)
</f>
        <v>Dr. Terrycita D. Perry</v>
      </c>
      <c r="H65" s="12">
        <v>44.0</v>
      </c>
      <c r="I65" s="13" t="s">
        <v>20</v>
      </c>
      <c r="J65" s="14" t="s">
        <v>82</v>
      </c>
      <c r="K65" s="14">
        <v>10.0</v>
      </c>
      <c r="L65" s="14" t="str">
        <f t="array" ref="L65">INDEX('School Rep'!$A$2:$A$21, MATCH(J65, 'School Rep'!$B$2:$B$21, 0))</f>
        <v>Olga Bautista</v>
      </c>
      <c r="M65" s="12">
        <v>3.4</v>
      </c>
      <c r="N65" s="16" t="s">
        <v>282</v>
      </c>
      <c r="O65" s="8" t="str">
        <f t="shared" si="1"/>
        <v>10740 S Calhoun Ave </v>
      </c>
      <c r="P65" s="12">
        <v>10.0</v>
      </c>
      <c r="Q65" s="13" t="s">
        <v>84</v>
      </c>
    </row>
    <row r="66">
      <c r="A66" s="7">
        <v>610317.0</v>
      </c>
      <c r="B66" s="8" t="s">
        <v>283</v>
      </c>
      <c r="C66" s="9" t="s">
        <v>284</v>
      </c>
      <c r="D66" s="10">
        <v>0.123</v>
      </c>
      <c r="E66" s="11" t="s">
        <v>80</v>
      </c>
      <c r="F66" s="11" t="s">
        <v>285</v>
      </c>
      <c r="G66" s="8" t="str">
        <f>VLOOKUP(F66, 'Network Chiefs'!A:B, 2, FALSE)
</f>
        <v>Gilberto Piedrahita</v>
      </c>
      <c r="H66" s="12">
        <v>42.0</v>
      </c>
      <c r="I66" s="13" t="s">
        <v>20</v>
      </c>
      <c r="J66" s="14" t="s">
        <v>26</v>
      </c>
      <c r="K66" s="14">
        <v>8.0</v>
      </c>
      <c r="L66" s="14" t="str">
        <f t="array" ref="L66">INDEX('School Rep'!$A$2:$A$21, MATCH(J66, 'School Rep'!$B$2:$B$21, 0))</f>
        <v>Cydney Wallace</v>
      </c>
      <c r="M66" s="15">
        <v>3.6</v>
      </c>
      <c r="N66" s="16" t="s">
        <v>286</v>
      </c>
      <c r="O66" s="8" t="str">
        <f t="shared" si="1"/>
        <v>3825 S Washtenaw Ave </v>
      </c>
      <c r="P66" s="12">
        <v>12.0</v>
      </c>
      <c r="Q66" s="13" t="s">
        <v>23</v>
      </c>
    </row>
    <row r="67">
      <c r="A67" s="7">
        <v>610590.0</v>
      </c>
      <c r="B67" s="8" t="s">
        <v>287</v>
      </c>
      <c r="C67" s="9" t="s">
        <v>288</v>
      </c>
      <c r="D67" s="10">
        <v>0.0</v>
      </c>
      <c r="E67" s="11" t="s">
        <v>80</v>
      </c>
      <c r="F67" s="11" t="s">
        <v>120</v>
      </c>
      <c r="G67" s="8" t="str">
        <f>VLOOKUP(F67, 'Network Chiefs'!A:B, 2, FALSE)
</f>
        <v>Alene Mason</v>
      </c>
      <c r="H67" s="12">
        <v>67.0</v>
      </c>
      <c r="I67" s="13" t="s">
        <v>52</v>
      </c>
      <c r="J67" s="14" t="s">
        <v>204</v>
      </c>
      <c r="K67" s="14">
        <v>6.0</v>
      </c>
      <c r="L67" s="14" t="str">
        <f t="array" ref="L67">INDEX('School Rep'!$A$2:$A$21, MATCH(J67, 'School Rep'!$B$2:$B$21, 0))</f>
        <v>Jessica Biggs</v>
      </c>
      <c r="M67" s="15">
        <v>2.3</v>
      </c>
      <c r="N67" s="16" t="s">
        <v>289</v>
      </c>
      <c r="O67" s="8" t="str">
        <f t="shared" si="1"/>
        <v>8 W Root </v>
      </c>
      <c r="P67" s="12">
        <v>3.0</v>
      </c>
      <c r="Q67" s="13" t="s">
        <v>206</v>
      </c>
    </row>
    <row r="68">
      <c r="A68" s="7">
        <v>610381.0</v>
      </c>
      <c r="B68" s="8" t="s">
        <v>290</v>
      </c>
      <c r="C68" s="9" t="s">
        <v>291</v>
      </c>
      <c r="D68" s="10">
        <v>0.137</v>
      </c>
      <c r="E68" s="11" t="s">
        <v>80</v>
      </c>
      <c r="F68" s="11" t="s">
        <v>263</v>
      </c>
      <c r="G68" s="8" t="str">
        <f>VLOOKUP(F68, 'Network Chiefs'!A:B, 2, FALSE)
</f>
        <v>Myron Hester</v>
      </c>
      <c r="H68" s="12">
        <v>49.0</v>
      </c>
      <c r="I68" s="13" t="s">
        <v>20</v>
      </c>
      <c r="J68" s="14" t="s">
        <v>204</v>
      </c>
      <c r="K68" s="14">
        <v>6.0</v>
      </c>
      <c r="L68" s="14" t="str">
        <f t="array" ref="L68">INDEX('School Rep'!$A$2:$A$21, MATCH(J68, 'School Rep'!$B$2:$B$21, 0))</f>
        <v>Jessica Biggs</v>
      </c>
      <c r="M68" s="15">
        <v>3.8</v>
      </c>
      <c r="N68" s="16" t="s">
        <v>292</v>
      </c>
      <c r="O68" s="8" t="str">
        <f t="shared" si="1"/>
        <v>4934 S Wabash Ave </v>
      </c>
      <c r="P68" s="12">
        <v>3.0</v>
      </c>
      <c r="Q68" s="13" t="s">
        <v>206</v>
      </c>
    </row>
    <row r="69">
      <c r="A69" s="7">
        <v>609726.0</v>
      </c>
      <c r="B69" s="8" t="s">
        <v>293</v>
      </c>
      <c r="C69" s="18" t="s">
        <v>294</v>
      </c>
      <c r="D69" s="19">
        <v>0.034</v>
      </c>
      <c r="E69" s="18" t="s">
        <v>80</v>
      </c>
      <c r="F69" s="18" t="s">
        <v>126</v>
      </c>
      <c r="G69" s="8" t="str">
        <f>VLOOKUP(F69, 'Network Chiefs'!A:B, 2, FALSE)
</f>
        <v>#N/A</v>
      </c>
      <c r="H69" s="12">
        <v>55.0</v>
      </c>
      <c r="I69" s="13" t="s">
        <v>20</v>
      </c>
      <c r="J69" s="14" t="s">
        <v>178</v>
      </c>
      <c r="K69" s="14">
        <v>9.0</v>
      </c>
      <c r="L69" s="14" t="str">
        <f t="array" ref="L69">INDEX('School Rep'!$A$2:$A$21, MATCH(J69, 'School Rep'!$B$2:$B$21, 0))</f>
        <v>Therese Boyle</v>
      </c>
      <c r="M69" s="15">
        <v>2.2</v>
      </c>
      <c r="N69" s="16" t="s">
        <v>295</v>
      </c>
      <c r="O69" s="8" t="str">
        <f t="shared" si="1"/>
        <v>250 E 111th St </v>
      </c>
      <c r="P69" s="12">
        <v>9.0</v>
      </c>
      <c r="Q69" s="13" t="s">
        <v>237</v>
      </c>
    </row>
    <row r="70">
      <c r="A70" s="7">
        <v>610091.0</v>
      </c>
      <c r="B70" s="8" t="s">
        <v>296</v>
      </c>
      <c r="C70" s="18" t="s">
        <v>297</v>
      </c>
      <c r="D70" s="19">
        <v>0.11</v>
      </c>
      <c r="E70" s="18" t="s">
        <v>80</v>
      </c>
      <c r="F70" s="18" t="s">
        <v>81</v>
      </c>
      <c r="G70" s="8" t="str">
        <f>VLOOKUP(F70, 'Network Chiefs'!A:B, 2, FALSE)
</f>
        <v>Dr. Terrycita D. Perry</v>
      </c>
      <c r="H70" s="12">
        <v>56.0</v>
      </c>
      <c r="I70" s="13" t="s">
        <v>20</v>
      </c>
      <c r="J70" s="14" t="s">
        <v>178</v>
      </c>
      <c r="K70" s="14">
        <v>9.0</v>
      </c>
      <c r="L70" s="14" t="str">
        <f t="array" ref="L70">INDEX('School Rep'!$A$2:$A$21, MATCH(J70, 'School Rep'!$B$2:$B$21, 0))</f>
        <v>Therese Boyle</v>
      </c>
      <c r="M70" s="15">
        <v>3.7</v>
      </c>
      <c r="N70" s="16" t="s">
        <v>298</v>
      </c>
      <c r="O70" s="8" t="str">
        <f t="shared" si="1"/>
        <v>12607 S Union Ave </v>
      </c>
      <c r="P70" s="12">
        <v>9.0</v>
      </c>
      <c r="Q70" s="13" t="s">
        <v>237</v>
      </c>
    </row>
    <row r="71">
      <c r="A71" s="7">
        <v>609812.0</v>
      </c>
      <c r="B71" s="8" t="s">
        <v>299</v>
      </c>
      <c r="C71" s="18" t="s">
        <v>300</v>
      </c>
      <c r="D71" s="19">
        <v>0.103</v>
      </c>
      <c r="E71" s="18" t="s">
        <v>80</v>
      </c>
      <c r="F71" s="18" t="s">
        <v>301</v>
      </c>
      <c r="G71" s="8" t="str">
        <f>VLOOKUP(F71, 'Network Chiefs'!A:B, 2, FALSE)
</f>
        <v>Dr. Ethan Netterstrom</v>
      </c>
      <c r="H71" s="12">
        <v>47.0</v>
      </c>
      <c r="I71" s="13" t="s">
        <v>20</v>
      </c>
      <c r="J71" s="14" t="s">
        <v>217</v>
      </c>
      <c r="K71" s="14">
        <v>5.0</v>
      </c>
      <c r="L71" s="14" t="str">
        <f t="array" ref="L71">INDEX('School Rep'!$A$2:$A$21, MATCH(J71, 'School Rep'!$B$2:$B$21, 0))</f>
        <v>Michilla Blaise</v>
      </c>
      <c r="M71" s="15">
        <v>3.3</v>
      </c>
      <c r="N71" s="16" t="s">
        <v>302</v>
      </c>
      <c r="O71" s="8" t="str">
        <f t="shared" si="1"/>
        <v>54 N Hermitage Ave </v>
      </c>
      <c r="P71" s="12">
        <v>27.0</v>
      </c>
      <c r="Q71" s="13" t="s">
        <v>219</v>
      </c>
    </row>
    <row r="72">
      <c r="A72" s="7">
        <v>609813.0</v>
      </c>
      <c r="B72" s="8" t="s">
        <v>303</v>
      </c>
      <c r="C72" s="18" t="s">
        <v>304</v>
      </c>
      <c r="D72" s="19">
        <v>0.288</v>
      </c>
      <c r="E72" s="18" t="s">
        <v>80</v>
      </c>
      <c r="F72" s="18" t="s">
        <v>144</v>
      </c>
      <c r="G72" s="8" t="str">
        <f>VLOOKUP(F72, 'Network Chiefs'!A:B, 2, FALSE)
</f>
        <v>Shenethe Parks</v>
      </c>
      <c r="H72" s="12">
        <v>22.0</v>
      </c>
      <c r="I72" s="13" t="s">
        <v>41</v>
      </c>
      <c r="J72" s="14" t="s">
        <v>204</v>
      </c>
      <c r="K72" s="14">
        <v>6.0</v>
      </c>
      <c r="L72" s="14" t="str">
        <f t="array" ref="L72">INDEX('School Rep'!$A$2:$A$21, MATCH(J72, 'School Rep'!$B$2:$B$21, 0))</f>
        <v>Jessica Biggs</v>
      </c>
      <c r="M72" s="15">
        <v>3.3</v>
      </c>
      <c r="N72" s="16" t="s">
        <v>305</v>
      </c>
      <c r="O72" s="8" t="str">
        <f t="shared" si="1"/>
        <v>6741 S Michigan Ave </v>
      </c>
      <c r="P72" s="12">
        <v>6.0</v>
      </c>
      <c r="Q72" s="13" t="s">
        <v>306</v>
      </c>
    </row>
    <row r="73">
      <c r="A73" s="7">
        <v>609830.0</v>
      </c>
      <c r="B73" s="12" t="s">
        <v>307</v>
      </c>
      <c r="C73" s="18" t="s">
        <v>308</v>
      </c>
      <c r="D73" s="19">
        <v>0.203</v>
      </c>
      <c r="E73" s="18" t="s">
        <v>80</v>
      </c>
      <c r="F73" s="18" t="s">
        <v>231</v>
      </c>
      <c r="G73" s="8" t="str">
        <f>VLOOKUP(F73, 'Network Chiefs'!A:B, 2, FALSE)
</f>
        <v>Jennifer Farrell‐Rottman</v>
      </c>
      <c r="H73" s="12">
        <v>59.0</v>
      </c>
      <c r="I73" s="13" t="s">
        <v>20</v>
      </c>
      <c r="J73" s="14" t="s">
        <v>31</v>
      </c>
      <c r="K73" s="14">
        <v>5.0</v>
      </c>
      <c r="L73" s="14" t="str">
        <f t="array" ref="L73">INDEX('School Rep'!$A$2:$A$21, MATCH(J73, 'School Rep'!$B$2:$B$21, 0))</f>
        <v>Aaron "Jitu" Brown</v>
      </c>
      <c r="M73" s="12">
        <v>3.4</v>
      </c>
      <c r="N73" s="16" t="s">
        <v>309</v>
      </c>
      <c r="O73" s="8" t="str">
        <f t="shared" si="1"/>
        <v>932 N Central Ave </v>
      </c>
      <c r="P73" s="12">
        <v>29.0</v>
      </c>
      <c r="Q73" s="13" t="s">
        <v>33</v>
      </c>
    </row>
    <row r="74">
      <c r="A74" s="7">
        <v>609817.0</v>
      </c>
      <c r="B74" s="13" t="s">
        <v>310</v>
      </c>
      <c r="C74" s="18" t="s">
        <v>311</v>
      </c>
      <c r="D74" s="19">
        <v>0.082</v>
      </c>
      <c r="E74" s="18" t="s">
        <v>80</v>
      </c>
      <c r="F74" s="18" t="s">
        <v>126</v>
      </c>
      <c r="G74" s="8" t="str">
        <f>VLOOKUP(F74, 'Network Chiefs'!A:B, 2, FALSE)
</f>
        <v>#N/A</v>
      </c>
      <c r="H74" s="12">
        <v>47.0</v>
      </c>
      <c r="I74" s="13" t="s">
        <v>20</v>
      </c>
      <c r="J74" s="14" t="s">
        <v>87</v>
      </c>
      <c r="K74" s="14">
        <v>2.0</v>
      </c>
      <c r="L74" s="14" t="str">
        <f t="array" ref="L74">INDEX('School Rep'!$A$2:$A$21, MATCH(J74, 'School Rep'!$B$2:$B$21, 0))</f>
        <v>Debby Pope</v>
      </c>
      <c r="M74" s="12">
        <v>1.8</v>
      </c>
      <c r="N74" s="16" t="s">
        <v>312</v>
      </c>
      <c r="O74" s="8" t="str">
        <f t="shared" si="1"/>
        <v>2701 W Foster Ave </v>
      </c>
      <c r="P74" s="12">
        <v>40.0</v>
      </c>
      <c r="Q74" s="13" t="s">
        <v>89</v>
      </c>
    </row>
    <row r="75">
      <c r="A75" s="7">
        <v>609818.0</v>
      </c>
      <c r="B75" s="12" t="s">
        <v>313</v>
      </c>
      <c r="C75" s="18" t="s">
        <v>314</v>
      </c>
      <c r="D75" s="19">
        <v>0.108</v>
      </c>
      <c r="E75" s="18" t="s">
        <v>80</v>
      </c>
      <c r="F75" s="18" t="s">
        <v>231</v>
      </c>
      <c r="G75" s="8" t="str">
        <f>VLOOKUP(F75, 'Network Chiefs'!A:B, 2, FALSE)
</f>
        <v>Jennifer Farrell‐Rottman</v>
      </c>
      <c r="H75" s="12">
        <v>63.0</v>
      </c>
      <c r="I75" s="13" t="s">
        <v>52</v>
      </c>
      <c r="J75" s="14" t="s">
        <v>31</v>
      </c>
      <c r="K75" s="14">
        <v>5.0</v>
      </c>
      <c r="L75" s="14" t="str">
        <f t="array" ref="L75">INDEX('School Rep'!$A$2:$A$21, MATCH(J75, 'School Rep'!$B$2:$B$21, 0))</f>
        <v>Aaron "Jitu" Brown</v>
      </c>
      <c r="M75" s="12">
        <v>3.6</v>
      </c>
      <c r="N75" s="16" t="s">
        <v>315</v>
      </c>
      <c r="O75" s="8" t="str">
        <f t="shared" si="1"/>
        <v>2035 N Mobile Ave </v>
      </c>
      <c r="P75" s="12">
        <v>29.0</v>
      </c>
      <c r="Q75" s="13" t="s">
        <v>33</v>
      </c>
    </row>
    <row r="76">
      <c r="A76" s="7">
        <v>609819.0</v>
      </c>
      <c r="B76" s="8" t="s">
        <v>316</v>
      </c>
      <c r="C76" s="18" t="s">
        <v>317</v>
      </c>
      <c r="D76" s="19">
        <v>0.308</v>
      </c>
      <c r="E76" s="18" t="s">
        <v>80</v>
      </c>
      <c r="F76" s="18" t="s">
        <v>120</v>
      </c>
      <c r="G76" s="8" t="str">
        <f>VLOOKUP(F76, 'Network Chiefs'!A:B, 2, FALSE)
</f>
        <v>Alene Mason</v>
      </c>
      <c r="H76" s="12">
        <v>58.0</v>
      </c>
      <c r="I76" s="13" t="s">
        <v>20</v>
      </c>
      <c r="J76" s="14" t="s">
        <v>204</v>
      </c>
      <c r="K76" s="14">
        <v>6.0</v>
      </c>
      <c r="L76" s="14" t="str">
        <f t="array" ref="L76">INDEX('School Rep'!$A$2:$A$21, MATCH(J76, 'School Rep'!$B$2:$B$21, 0))</f>
        <v>Jessica Biggs</v>
      </c>
      <c r="M76" s="15">
        <v>3.5</v>
      </c>
      <c r="N76" s="16" t="s">
        <v>318</v>
      </c>
      <c r="O76" s="8" t="str">
        <f t="shared" si="1"/>
        <v>5356 S King Dr </v>
      </c>
      <c r="P76" s="12">
        <v>3.0</v>
      </c>
      <c r="Q76" s="13" t="s">
        <v>206</v>
      </c>
    </row>
    <row r="77">
      <c r="A77" s="7">
        <v>609820.0</v>
      </c>
      <c r="B77" s="12" t="s">
        <v>319</v>
      </c>
      <c r="C77" s="17" t="s">
        <v>320</v>
      </c>
      <c r="D77" s="10">
        <v>0.026</v>
      </c>
      <c r="E77" s="11" t="s">
        <v>80</v>
      </c>
      <c r="F77" s="11" t="s">
        <v>102</v>
      </c>
      <c r="G77" s="8" t="str">
        <f>VLOOKUP(F77, 'Network Chiefs'!A:B, 2, FALSE)
</f>
        <v>Jerry Travlos</v>
      </c>
      <c r="H77" s="12">
        <v>56.0</v>
      </c>
      <c r="I77" s="13" t="s">
        <v>20</v>
      </c>
      <c r="J77" s="14" t="s">
        <v>103</v>
      </c>
      <c r="K77" s="14">
        <v>4.0</v>
      </c>
      <c r="L77" s="14" t="str">
        <f t="array" ref="L77">INDEX('School Rep'!$A$2:$A$21, MATCH(J77, 'School Rep'!$B$2:$B$21, 0))</f>
        <v>Ellen Rosenfeld</v>
      </c>
      <c r="M77" s="12">
        <v>1.5</v>
      </c>
      <c r="N77" s="16" t="s">
        <v>321</v>
      </c>
      <c r="O77" s="8" t="str">
        <f t="shared" si="1"/>
        <v>1630 W Barry Ave </v>
      </c>
      <c r="P77" s="12">
        <v>32.0</v>
      </c>
      <c r="Q77" s="13" t="s">
        <v>110</v>
      </c>
    </row>
    <row r="78">
      <c r="A78" s="7">
        <v>609821.0</v>
      </c>
      <c r="B78" s="13" t="s">
        <v>322</v>
      </c>
      <c r="C78" s="11" t="s">
        <v>323</v>
      </c>
      <c r="D78" s="10">
        <v>0.242</v>
      </c>
      <c r="E78" s="11" t="s">
        <v>80</v>
      </c>
      <c r="F78" s="11" t="s">
        <v>81</v>
      </c>
      <c r="G78" s="8" t="str">
        <f>VLOOKUP(F78, 'Network Chiefs'!A:B, 2, FALSE)
</f>
        <v>Dr. Terrycita D. Perry</v>
      </c>
      <c r="H78" s="12">
        <v>34.0</v>
      </c>
      <c r="I78" s="13" t="s">
        <v>41</v>
      </c>
      <c r="J78" s="14" t="s">
        <v>82</v>
      </c>
      <c r="K78" s="14">
        <v>10.0</v>
      </c>
      <c r="L78" s="14" t="str">
        <f t="array" ref="L78">INDEX('School Rep'!$A$2:$A$21, MATCH(J78, 'School Rep'!$B$2:$B$21, 0))</f>
        <v>Olga Bautista</v>
      </c>
      <c r="M78" s="12">
        <v>3.3</v>
      </c>
      <c r="N78" s="16" t="s">
        <v>324</v>
      </c>
      <c r="O78" s="8" t="str">
        <f t="shared" si="1"/>
        <v>9928 S Crandon Ave </v>
      </c>
      <c r="P78" s="12">
        <v>7.0</v>
      </c>
      <c r="Q78" s="13" t="s">
        <v>260</v>
      </c>
    </row>
    <row r="79">
      <c r="A79" s="7">
        <v>609827.0</v>
      </c>
      <c r="B79" s="13" t="s">
        <v>325</v>
      </c>
      <c r="C79" s="18" t="s">
        <v>326</v>
      </c>
      <c r="D79" s="19">
        <v>0.052</v>
      </c>
      <c r="E79" s="18" t="s">
        <v>80</v>
      </c>
      <c r="F79" s="18" t="s">
        <v>144</v>
      </c>
      <c r="G79" s="8" t="str">
        <f>VLOOKUP(F79, 'Network Chiefs'!A:B, 2, FALSE)
</f>
        <v>Shenethe Parks</v>
      </c>
      <c r="H79" s="12">
        <v>72.0</v>
      </c>
      <c r="I79" s="13" t="s">
        <v>52</v>
      </c>
      <c r="J79" s="14" t="s">
        <v>82</v>
      </c>
      <c r="K79" s="14">
        <v>10.0</v>
      </c>
      <c r="L79" s="14" t="str">
        <f t="array" ref="L79">INDEX('School Rep'!$A$2:$A$21, MATCH(J79, 'School Rep'!$B$2:$B$21, 0))</f>
        <v>Olga Bautista</v>
      </c>
      <c r="M79" s="12">
        <v>2.9</v>
      </c>
      <c r="N79" s="16" t="s">
        <v>327</v>
      </c>
      <c r="O79" s="8" t="str">
        <f t="shared" si="1"/>
        <v>650 E 91st Pl </v>
      </c>
      <c r="P79" s="12">
        <v>8.0</v>
      </c>
      <c r="Q79" s="13" t="s">
        <v>135</v>
      </c>
    </row>
    <row r="80">
      <c r="A80" s="7">
        <v>609828.0</v>
      </c>
      <c r="B80" s="12" t="s">
        <v>328</v>
      </c>
      <c r="C80" s="9" t="s">
        <v>329</v>
      </c>
      <c r="D80" s="10">
        <v>0.0</v>
      </c>
      <c r="E80" s="11" t="s">
        <v>80</v>
      </c>
      <c r="F80" s="11" t="s">
        <v>301</v>
      </c>
      <c r="G80" s="8" t="str">
        <f>VLOOKUP(F80, 'Network Chiefs'!A:B, 2, FALSE)
</f>
        <v>Dr. Ethan Netterstrom</v>
      </c>
      <c r="H80" s="12">
        <v>77.0</v>
      </c>
      <c r="I80" s="13" t="s">
        <v>52</v>
      </c>
      <c r="J80" s="14" t="s">
        <v>103</v>
      </c>
      <c r="K80" s="14">
        <v>4.0</v>
      </c>
      <c r="L80" s="14" t="str">
        <f t="array" ref="L80">INDEX('School Rep'!$A$2:$A$21, MATCH(J80, 'School Rep'!$B$2:$B$21, 0))</f>
        <v>Ellen Rosenfeld</v>
      </c>
      <c r="M80" s="12">
        <v>2.1</v>
      </c>
      <c r="N80" s="16" t="s">
        <v>330</v>
      </c>
      <c r="O80" s="8" t="str">
        <f t="shared" si="1"/>
        <v>1621 W Wabansia Ave </v>
      </c>
      <c r="P80" s="12">
        <v>32.0</v>
      </c>
      <c r="Q80" s="13" t="s">
        <v>110</v>
      </c>
    </row>
    <row r="81">
      <c r="A81" s="7">
        <v>609829.0</v>
      </c>
      <c r="B81" s="8" t="s">
        <v>331</v>
      </c>
      <c r="C81" s="18" t="s">
        <v>332</v>
      </c>
      <c r="D81" s="19">
        <v>0.102</v>
      </c>
      <c r="E81" s="18" t="s">
        <v>80</v>
      </c>
      <c r="F81" s="18" t="s">
        <v>285</v>
      </c>
      <c r="G81" s="8" t="str">
        <f>VLOOKUP(F81, 'Network Chiefs'!A:B, 2, FALSE)
</f>
        <v>Gilberto Piedrahita</v>
      </c>
      <c r="H81" s="12">
        <v>59.0</v>
      </c>
      <c r="I81" s="13" t="s">
        <v>20</v>
      </c>
      <c r="J81" s="14" t="s">
        <v>26</v>
      </c>
      <c r="K81" s="14">
        <v>8.0</v>
      </c>
      <c r="L81" s="14" t="str">
        <f t="array" ref="L81">INDEX('School Rep'!$A$2:$A$21, MATCH(J81, 'School Rep'!$B$2:$B$21, 0))</f>
        <v>Cydney Wallace</v>
      </c>
      <c r="M81" s="15">
        <v>3.7</v>
      </c>
      <c r="N81" s="16" t="s">
        <v>333</v>
      </c>
      <c r="O81" s="8" t="str">
        <f t="shared" si="1"/>
        <v>3542 S Washtenaw Ave </v>
      </c>
      <c r="P81" s="12">
        <v>12.0</v>
      </c>
      <c r="Q81" s="13" t="s">
        <v>23</v>
      </c>
    </row>
    <row r="82">
      <c r="A82" s="7">
        <v>609832.0</v>
      </c>
      <c r="B82" s="8" t="s">
        <v>334</v>
      </c>
      <c r="C82" s="18" t="s">
        <v>335</v>
      </c>
      <c r="D82" s="19">
        <v>0.051</v>
      </c>
      <c r="E82" s="18" t="s">
        <v>80</v>
      </c>
      <c r="F82" s="18" t="s">
        <v>138</v>
      </c>
      <c r="G82" s="8" t="str">
        <f>VLOOKUP(F82, 'Network Chiefs'!A:B, 2, FALSE)
</f>
        <v>Mira Weber</v>
      </c>
      <c r="H82" s="12">
        <v>37.0</v>
      </c>
      <c r="I82" s="13" t="s">
        <v>41</v>
      </c>
      <c r="J82" s="14" t="s">
        <v>139</v>
      </c>
      <c r="K82" s="14">
        <v>8.0</v>
      </c>
      <c r="L82" s="14" t="str">
        <f t="array" ref="L82">INDEX('School Rep'!$A$2:$A$21, MATCH(J82, 'School Rep'!$B$2:$B$21, 0))</f>
        <v>Angel Gutierrez</v>
      </c>
      <c r="M82" s="15">
        <v>2.1</v>
      </c>
      <c r="N82" s="16" t="s">
        <v>336</v>
      </c>
      <c r="O82" s="8" t="str">
        <f t="shared" si="1"/>
        <v>5329 S Oak Park Ave </v>
      </c>
      <c r="P82" s="12">
        <v>23.0</v>
      </c>
      <c r="Q82" s="13" t="s">
        <v>172</v>
      </c>
    </row>
    <row r="83">
      <c r="A83" s="7">
        <v>610353.0</v>
      </c>
      <c r="B83" s="8" t="s">
        <v>337</v>
      </c>
      <c r="C83" s="17" t="s">
        <v>338</v>
      </c>
      <c r="D83" s="10">
        <v>0.043</v>
      </c>
      <c r="E83" s="11" t="s">
        <v>80</v>
      </c>
      <c r="F83" s="11" t="s">
        <v>285</v>
      </c>
      <c r="G83" s="8" t="str">
        <f>VLOOKUP(F83, 'Network Chiefs'!A:B, 2, FALSE)
</f>
        <v>Gilberto Piedrahita</v>
      </c>
      <c r="H83" s="12">
        <v>65.0</v>
      </c>
      <c r="I83" s="13" t="s">
        <v>52</v>
      </c>
      <c r="J83" s="14" t="s">
        <v>21</v>
      </c>
      <c r="K83" s="14">
        <v>7.0</v>
      </c>
      <c r="L83" s="14" t="str">
        <f t="array" ref="L83">INDEX('School Rep'!$A$2:$A$21, MATCH(J83, 'School Rep'!$B$2:$B$21, 0))</f>
        <v>Yesenia Lopez</v>
      </c>
      <c r="M83" s="15">
        <v>3.4</v>
      </c>
      <c r="N83" s="16" t="s">
        <v>339</v>
      </c>
      <c r="O83" s="8" t="str">
        <f t="shared" si="1"/>
        <v>3456 W 38th St </v>
      </c>
      <c r="P83" s="12">
        <v>12.0</v>
      </c>
      <c r="Q83" s="13" t="s">
        <v>23</v>
      </c>
    </row>
    <row r="84">
      <c r="A84" s="7">
        <v>609835.0</v>
      </c>
      <c r="B84" s="12" t="s">
        <v>340</v>
      </c>
      <c r="C84" s="17" t="s">
        <v>341</v>
      </c>
      <c r="D84" s="10">
        <v>0.19</v>
      </c>
      <c r="E84" s="11" t="s">
        <v>80</v>
      </c>
      <c r="F84" s="11" t="s">
        <v>216</v>
      </c>
      <c r="G84" s="8" t="str">
        <f>VLOOKUP(F84, 'Network Chiefs'!A:B, 2, FALSE)
</f>
        <v>Shontae Higginbottom</v>
      </c>
      <c r="H84" s="12">
        <v>31.0</v>
      </c>
      <c r="I84" s="13" t="s">
        <v>41</v>
      </c>
      <c r="J84" s="14" t="s">
        <v>232</v>
      </c>
      <c r="K84" s="14">
        <v>3.0</v>
      </c>
      <c r="L84" s="14" t="str">
        <f t="array" ref="L84">INDEX('School Rep'!$A$2:$A$21, MATCH(J84, 'School Rep'!$B$2:$B$21, 0))</f>
        <v>Carlos Rivas</v>
      </c>
      <c r="M84" s="12">
        <v>3.7</v>
      </c>
      <c r="N84" s="16" t="s">
        <v>342</v>
      </c>
      <c r="O84" s="8" t="str">
        <f t="shared" si="1"/>
        <v>1234 N Monticello Ave </v>
      </c>
      <c r="P84" s="12">
        <v>36.0</v>
      </c>
      <c r="Q84" s="13" t="s">
        <v>67</v>
      </c>
    </row>
    <row r="85">
      <c r="A85" s="7">
        <v>610539.0</v>
      </c>
      <c r="B85" s="13" t="s">
        <v>343</v>
      </c>
      <c r="C85" s="9" t="s">
        <v>344</v>
      </c>
      <c r="D85" s="10">
        <v>0.088</v>
      </c>
      <c r="E85" s="11" t="s">
        <v>80</v>
      </c>
      <c r="F85" s="11" t="s">
        <v>126</v>
      </c>
      <c r="G85" s="8" t="str">
        <f>VLOOKUP(F85, 'Network Chiefs'!A:B, 2, FALSE)
</f>
        <v>#N/A</v>
      </c>
      <c r="H85" s="12">
        <v>46.0</v>
      </c>
      <c r="I85" s="13" t="s">
        <v>20</v>
      </c>
      <c r="J85" s="14" t="s">
        <v>222</v>
      </c>
      <c r="K85" s="14">
        <v>1.0</v>
      </c>
      <c r="L85" s="14" t="str">
        <f t="array" ref="L85">INDEX('School Rep'!$A$2:$A$21, MATCH(J85, 'School Rep'!$B$2:$B$21, 0))</f>
        <v>Jennifer Custer</v>
      </c>
      <c r="M85" s="12">
        <v>3.2</v>
      </c>
      <c r="N85" s="16" t="s">
        <v>345</v>
      </c>
      <c r="O85" s="8" t="str">
        <f t="shared" si="1"/>
        <v>3000 N Mango Ave </v>
      </c>
      <c r="P85" s="12">
        <v>30.0</v>
      </c>
      <c r="Q85" s="13" t="s">
        <v>346</v>
      </c>
    </row>
    <row r="86">
      <c r="A86" s="7">
        <v>609836.0</v>
      </c>
      <c r="B86" s="13" t="s">
        <v>347</v>
      </c>
      <c r="C86" s="18" t="s">
        <v>348</v>
      </c>
      <c r="D86" s="19">
        <v>0.073</v>
      </c>
      <c r="E86" s="18" t="s">
        <v>80</v>
      </c>
      <c r="F86" s="18" t="s">
        <v>97</v>
      </c>
      <c r="G86" s="8" t="str">
        <f>VLOOKUP(F86, 'Network Chiefs'!A:B, 2, FALSE)
</f>
        <v>Julie McGlade</v>
      </c>
      <c r="H86" s="12">
        <v>47.0</v>
      </c>
      <c r="I86" s="13" t="s">
        <v>20</v>
      </c>
      <c r="J86" s="14" t="s">
        <v>199</v>
      </c>
      <c r="K86" s="14">
        <v>1.0</v>
      </c>
      <c r="L86" s="14" t="str">
        <f t="array" ref="L86">INDEX('School Rep'!$A$2:$A$21, MATCH(J86, 'School Rep'!$B$2:$B$21, 0))</f>
        <v>Ed Bannon</v>
      </c>
      <c r="M86" s="12">
        <v>1.8</v>
      </c>
      <c r="N86" s="16" t="s">
        <v>349</v>
      </c>
      <c r="O86" s="8" t="str">
        <f t="shared" si="1"/>
        <v>3740 N Panama Ave </v>
      </c>
      <c r="P86" s="12">
        <v>38.0</v>
      </c>
      <c r="Q86" s="13" t="s">
        <v>279</v>
      </c>
    </row>
    <row r="87">
      <c r="A87" s="7">
        <v>610024.0</v>
      </c>
      <c r="B87" s="8" t="s">
        <v>350</v>
      </c>
      <c r="C87" s="18" t="s">
        <v>351</v>
      </c>
      <c r="D87" s="19">
        <v>0.098</v>
      </c>
      <c r="E87" s="18" t="s">
        <v>80</v>
      </c>
      <c r="F87" s="18" t="s">
        <v>126</v>
      </c>
      <c r="G87" s="8" t="str">
        <f>VLOOKUP(F87, 'Network Chiefs'!A:B, 2, FALSE)
</f>
        <v>#N/A</v>
      </c>
      <c r="H87" s="12">
        <v>64.0</v>
      </c>
      <c r="I87" s="13" t="s">
        <v>52</v>
      </c>
      <c r="J87" s="14" t="s">
        <v>42</v>
      </c>
      <c r="K87" s="14">
        <v>7.0</v>
      </c>
      <c r="L87" s="14" t="str">
        <f t="array" ref="L87">INDEX('School Rep'!$A$2:$A$21, MATCH(J87, 'School Rep'!$B$2:$B$21, 0))</f>
        <v>Emma Lozano</v>
      </c>
      <c r="M87" s="15">
        <v>3.1</v>
      </c>
      <c r="N87" s="16" t="s">
        <v>352</v>
      </c>
      <c r="O87" s="8" t="str">
        <f t="shared" si="1"/>
        <v>2345 S Millard Ave </v>
      </c>
      <c r="P87" s="12">
        <v>22.0</v>
      </c>
      <c r="Q87" s="13" t="s">
        <v>353</v>
      </c>
    </row>
    <row r="88">
      <c r="A88" s="7">
        <v>609837.0</v>
      </c>
      <c r="B88" s="13" t="s">
        <v>354</v>
      </c>
      <c r="C88" s="9" t="s">
        <v>355</v>
      </c>
      <c r="D88" s="10">
        <v>0.056</v>
      </c>
      <c r="E88" s="11" t="s">
        <v>80</v>
      </c>
      <c r="F88" s="11" t="s">
        <v>120</v>
      </c>
      <c r="G88" s="8" t="str">
        <f>VLOOKUP(F88, 'Network Chiefs'!A:B, 2, FALSE)
</f>
        <v>Alene Mason</v>
      </c>
      <c r="H88" s="12">
        <v>67.0</v>
      </c>
      <c r="I88" s="13" t="s">
        <v>52</v>
      </c>
      <c r="J88" s="14" t="s">
        <v>121</v>
      </c>
      <c r="K88" s="14">
        <v>10.0</v>
      </c>
      <c r="L88" s="14" t="str">
        <f t="array" ref="L88">INDEX('School Rep'!$A$2:$A$21, MATCH(J88, 'School Rep'!$B$2:$B$21, 0))</f>
        <v>Che "Rhymefest" Smith</v>
      </c>
      <c r="M88" s="12">
        <v>2.8</v>
      </c>
      <c r="N88" s="16" t="s">
        <v>356</v>
      </c>
      <c r="O88" s="8" t="str">
        <f t="shared" si="1"/>
        <v>1414 E 61st Pl </v>
      </c>
      <c r="P88" s="12">
        <v>5.0</v>
      </c>
      <c r="Q88" s="13" t="s">
        <v>357</v>
      </c>
    </row>
    <row r="89">
      <c r="A89" s="7">
        <v>609839.0</v>
      </c>
      <c r="B89" s="8" t="s">
        <v>358</v>
      </c>
      <c r="C89" s="11" t="s">
        <v>359</v>
      </c>
      <c r="D89" s="10">
        <v>0.139</v>
      </c>
      <c r="E89" s="11" t="s">
        <v>80</v>
      </c>
      <c r="F89" s="11" t="s">
        <v>138</v>
      </c>
      <c r="G89" s="8" t="str">
        <f>VLOOKUP(F89, 'Network Chiefs'!A:B, 2, FALSE)
</f>
        <v>Mira Weber</v>
      </c>
      <c r="H89" s="12">
        <v>75.0</v>
      </c>
      <c r="I89" s="13" t="s">
        <v>52</v>
      </c>
      <c r="J89" s="14" t="s">
        <v>139</v>
      </c>
      <c r="K89" s="14">
        <v>8.0</v>
      </c>
      <c r="L89" s="14" t="str">
        <f t="array" ref="L89">INDEX('School Rep'!$A$2:$A$21, MATCH(J89, 'School Rep'!$B$2:$B$21, 0))</f>
        <v>Angel Gutierrez</v>
      </c>
      <c r="M89" s="15">
        <v>2.7</v>
      </c>
      <c r="N89" s="16" t="s">
        <v>360</v>
      </c>
      <c r="O89" s="8" t="str">
        <f t="shared" si="1"/>
        <v>2929 W 83rd St </v>
      </c>
      <c r="P89" s="12">
        <v>18.0</v>
      </c>
      <c r="Q89" s="13" t="s">
        <v>141</v>
      </c>
    </row>
    <row r="90">
      <c r="A90" s="7">
        <v>609842.0</v>
      </c>
      <c r="B90" s="8" t="s">
        <v>361</v>
      </c>
      <c r="C90" s="17" t="s">
        <v>362</v>
      </c>
      <c r="D90" s="10">
        <v>0.089</v>
      </c>
      <c r="E90" s="11" t="s">
        <v>80</v>
      </c>
      <c r="F90" s="11" t="s">
        <v>126</v>
      </c>
      <c r="G90" s="8" t="str">
        <f>VLOOKUP(F90, 'Network Chiefs'!A:B, 2, FALSE)
</f>
        <v>#N/A</v>
      </c>
      <c r="H90" s="12">
        <v>50.0</v>
      </c>
      <c r="I90" s="13" t="s">
        <v>20</v>
      </c>
      <c r="J90" s="14" t="s">
        <v>26</v>
      </c>
      <c r="K90" s="14">
        <v>8.0</v>
      </c>
      <c r="L90" s="14" t="str">
        <f t="array" ref="L90">INDEX('School Rep'!$A$2:$A$21, MATCH(J90, 'School Rep'!$B$2:$B$21, 0))</f>
        <v>Cydney Wallace</v>
      </c>
      <c r="M90" s="15">
        <v>3.6</v>
      </c>
      <c r="N90" s="16" t="s">
        <v>363</v>
      </c>
      <c r="O90" s="8" t="str">
        <f t="shared" si="1"/>
        <v>5516 S Maplewood Ave </v>
      </c>
      <c r="P90" s="12">
        <v>15.0</v>
      </c>
      <c r="Q90" s="13" t="s">
        <v>364</v>
      </c>
    </row>
    <row r="91">
      <c r="A91" s="7">
        <v>609844.0</v>
      </c>
      <c r="B91" s="8" t="s">
        <v>365</v>
      </c>
      <c r="C91" s="18" t="s">
        <v>366</v>
      </c>
      <c r="D91" s="19">
        <v>0.19</v>
      </c>
      <c r="E91" s="18" t="s">
        <v>80</v>
      </c>
      <c r="F91" s="18" t="s">
        <v>120</v>
      </c>
      <c r="G91" s="8" t="str">
        <f>VLOOKUP(F91, 'Network Chiefs'!A:B, 2, FALSE)
</f>
        <v>Alene Mason</v>
      </c>
      <c r="H91" s="12">
        <v>51.0</v>
      </c>
      <c r="I91" s="13" t="s">
        <v>20</v>
      </c>
      <c r="J91" s="14" t="s">
        <v>204</v>
      </c>
      <c r="K91" s="14">
        <v>6.0</v>
      </c>
      <c r="L91" s="14" t="str">
        <f t="array" ref="L91">INDEX('School Rep'!$A$2:$A$21, MATCH(J91, 'School Rep'!$B$2:$B$21, 0))</f>
        <v>Jessica Biggs</v>
      </c>
      <c r="M91" s="15">
        <v>3.2</v>
      </c>
      <c r="N91" s="16" t="s">
        <v>367</v>
      </c>
      <c r="O91" s="8" t="str">
        <f t="shared" si="1"/>
        <v>5740 S Michigan Ave </v>
      </c>
      <c r="P91" s="12">
        <v>20.0</v>
      </c>
      <c r="Q91" s="13" t="s">
        <v>368</v>
      </c>
    </row>
    <row r="92">
      <c r="A92" s="7">
        <v>609845.0</v>
      </c>
      <c r="B92" s="13" t="s">
        <v>369</v>
      </c>
      <c r="C92" s="18" t="s">
        <v>370</v>
      </c>
      <c r="D92" s="19">
        <v>0.189</v>
      </c>
      <c r="E92" s="18" t="s">
        <v>80</v>
      </c>
      <c r="F92" s="18" t="s">
        <v>81</v>
      </c>
      <c r="G92" s="8" t="str">
        <f>VLOOKUP(F92, 'Network Chiefs'!A:B, 2, FALSE)
</f>
        <v>Dr. Terrycita D. Perry</v>
      </c>
      <c r="H92" s="12">
        <v>72.0</v>
      </c>
      <c r="I92" s="13" t="s">
        <v>52</v>
      </c>
      <c r="J92" s="14" t="s">
        <v>82</v>
      </c>
      <c r="K92" s="14">
        <v>10.0</v>
      </c>
      <c r="L92" s="14" t="str">
        <f t="array" ref="L92">INDEX('School Rep'!$A$2:$A$21, MATCH(J92, 'School Rep'!$B$2:$B$21, 0))</f>
        <v>Olga Bautista</v>
      </c>
      <c r="M92" s="12">
        <v>3.7</v>
      </c>
      <c r="N92" s="16" t="s">
        <v>371</v>
      </c>
      <c r="O92" s="8" t="str">
        <f t="shared" si="1"/>
        <v>901 E 133rd Pl </v>
      </c>
      <c r="P92" s="12">
        <v>10.0</v>
      </c>
      <c r="Q92" s="13" t="s">
        <v>84</v>
      </c>
    </row>
    <row r="93">
      <c r="A93" s="7">
        <v>609760.0</v>
      </c>
      <c r="B93" s="13" t="s">
        <v>372</v>
      </c>
      <c r="C93" s="18" t="s">
        <v>373</v>
      </c>
      <c r="D93" s="19">
        <v>0.069</v>
      </c>
      <c r="E93" s="18" t="s">
        <v>80</v>
      </c>
      <c r="F93" s="18" t="s">
        <v>263</v>
      </c>
      <c r="G93" s="8" t="str">
        <f>VLOOKUP(F93, 'Network Chiefs'!A:B, 2, FALSE)
</f>
        <v>Myron Hester</v>
      </c>
      <c r="H93" s="12">
        <v>39.0</v>
      </c>
      <c r="I93" s="13" t="s">
        <v>41</v>
      </c>
      <c r="J93" s="14" t="s">
        <v>82</v>
      </c>
      <c r="K93" s="14">
        <v>10.0</v>
      </c>
      <c r="L93" s="14" t="str">
        <f t="array" ref="L93">INDEX('School Rep'!$A$2:$A$21, MATCH(J93, 'School Rep'!$B$2:$B$21, 0))</f>
        <v>Olga Bautista</v>
      </c>
      <c r="M93" s="12">
        <v>3.2</v>
      </c>
      <c r="N93" s="16" t="s">
        <v>374</v>
      </c>
      <c r="O93" s="8" t="str">
        <f t="shared" si="1"/>
        <v>13100 S Doty Ave </v>
      </c>
      <c r="P93" s="12">
        <v>10.0</v>
      </c>
      <c r="Q93" s="13" t="s">
        <v>84</v>
      </c>
    </row>
    <row r="94">
      <c r="A94" s="7">
        <v>610021.0</v>
      </c>
      <c r="B94" s="12" t="s">
        <v>375</v>
      </c>
      <c r="C94" s="18" t="s">
        <v>376</v>
      </c>
      <c r="D94" s="19">
        <v>0.237</v>
      </c>
      <c r="E94" s="18" t="s">
        <v>80</v>
      </c>
      <c r="F94" s="18" t="s">
        <v>216</v>
      </c>
      <c r="G94" s="8" t="str">
        <f>VLOOKUP(F94, 'Network Chiefs'!A:B, 2, FALSE)
</f>
        <v>Shontae Higginbottom</v>
      </c>
      <c r="H94" s="12">
        <v>61.0</v>
      </c>
      <c r="I94" s="13" t="s">
        <v>52</v>
      </c>
      <c r="J94" s="14" t="s">
        <v>232</v>
      </c>
      <c r="K94" s="14">
        <v>3.0</v>
      </c>
      <c r="L94" s="14" t="str">
        <f t="array" ref="L94">INDEX('School Rep'!$A$2:$A$21, MATCH(J94, 'School Rep'!$B$2:$B$21, 0))</f>
        <v>Carlos Rivas</v>
      </c>
      <c r="M94" s="12">
        <v>3.6</v>
      </c>
      <c r="N94" s="16" t="s">
        <v>377</v>
      </c>
      <c r="O94" s="8" t="str">
        <f t="shared" si="1"/>
        <v>3501 W Potomac Ave </v>
      </c>
      <c r="P94" s="12">
        <v>26.0</v>
      </c>
      <c r="Q94" s="13" t="s">
        <v>378</v>
      </c>
    </row>
    <row r="95">
      <c r="A95" s="7">
        <v>609849.0</v>
      </c>
      <c r="B95" s="8" t="s">
        <v>379</v>
      </c>
      <c r="C95" s="18" t="s">
        <v>380</v>
      </c>
      <c r="D95" s="19">
        <v>0.031</v>
      </c>
      <c r="E95" s="18" t="s">
        <v>80</v>
      </c>
      <c r="F95" s="18" t="s">
        <v>126</v>
      </c>
      <c r="G95" s="8" t="str">
        <f>VLOOKUP(F95, 'Network Chiefs'!A:B, 2, FALSE)
</f>
        <v>#N/A</v>
      </c>
      <c r="H95" s="12">
        <v>84.0</v>
      </c>
      <c r="I95" s="13" t="s">
        <v>248</v>
      </c>
      <c r="J95" s="14" t="s">
        <v>178</v>
      </c>
      <c r="K95" s="14">
        <v>9.0</v>
      </c>
      <c r="L95" s="14" t="str">
        <f t="array" ref="L95">INDEX('School Rep'!$A$2:$A$21, MATCH(J95, 'School Rep'!$B$2:$B$21, 0))</f>
        <v>Therese Boyle</v>
      </c>
      <c r="M95" s="15">
        <v>2.0</v>
      </c>
      <c r="N95" s="16" t="s">
        <v>381</v>
      </c>
      <c r="O95" s="8" t="str">
        <f t="shared" si="1"/>
        <v>11314 S Spaulding Ave </v>
      </c>
      <c r="P95" s="12">
        <v>19.0</v>
      </c>
      <c r="Q95" s="13" t="s">
        <v>180</v>
      </c>
    </row>
    <row r="96">
      <c r="A96" s="7">
        <v>610599.0</v>
      </c>
      <c r="B96" s="8" t="s">
        <v>382</v>
      </c>
      <c r="C96" s="20" t="s">
        <v>383</v>
      </c>
      <c r="D96" s="21">
        <v>0.0</v>
      </c>
      <c r="E96" s="20" t="s">
        <v>80</v>
      </c>
      <c r="F96" s="20" t="s">
        <v>97</v>
      </c>
      <c r="G96" s="8" t="str">
        <f>VLOOKUP(F96, 'Network Chiefs'!A:B, 2, FALSE)
</f>
        <v>Julie McGlade</v>
      </c>
      <c r="H96" s="15"/>
      <c r="I96" s="8"/>
      <c r="J96" s="15" t="s">
        <v>384</v>
      </c>
      <c r="K96" s="15" t="s">
        <v>384</v>
      </c>
      <c r="L96" s="15" t="s">
        <v>384</v>
      </c>
      <c r="M96" s="15">
        <v>1.8</v>
      </c>
      <c r="N96" s="16" t="s">
        <v>385</v>
      </c>
      <c r="O96" s="8" t="str">
        <f t="shared" si="1"/>
        <v>5252 N Long Ave </v>
      </c>
      <c r="P96" s="12">
        <v>45.0</v>
      </c>
      <c r="Q96" s="13" t="s">
        <v>210</v>
      </c>
    </row>
    <row r="97">
      <c r="A97" s="7">
        <v>400021.0</v>
      </c>
      <c r="B97" s="12" t="s">
        <v>386</v>
      </c>
      <c r="C97" s="18" t="s">
        <v>387</v>
      </c>
      <c r="D97" s="19">
        <v>0.025</v>
      </c>
      <c r="E97" s="18" t="s">
        <v>19</v>
      </c>
      <c r="F97" s="18" t="s">
        <v>19</v>
      </c>
      <c r="G97" s="8" t="str">
        <f>VLOOKUP(F97, 'Network Chiefs'!A:B, 2, FALSE)
</f>
        <v>#N/A</v>
      </c>
      <c r="H97" s="12">
        <v>64.0</v>
      </c>
      <c r="I97" s="13" t="s">
        <v>52</v>
      </c>
      <c r="J97" s="14" t="s">
        <v>31</v>
      </c>
      <c r="K97" s="14">
        <v>5.0</v>
      </c>
      <c r="L97" s="14" t="str">
        <f t="array" ref="L97">INDEX('School Rep'!$A$2:$A$21, MATCH(J97, 'School Rep'!$B$2:$B$21, 0))</f>
        <v>Aaron "Jitu" Brown</v>
      </c>
      <c r="M97" s="12">
        <v>3.5</v>
      </c>
      <c r="N97" s="16" t="s">
        <v>388</v>
      </c>
      <c r="O97" s="8" t="str">
        <f t="shared" si="1"/>
        <v>5608 W Washington Blvd </v>
      </c>
      <c r="P97" s="12">
        <v>29.0</v>
      </c>
      <c r="Q97" s="13" t="s">
        <v>33</v>
      </c>
    </row>
    <row r="98">
      <c r="A98" s="7">
        <v>400115.0</v>
      </c>
      <c r="B98" s="8" t="s">
        <v>389</v>
      </c>
      <c r="C98" s="9" t="s">
        <v>390</v>
      </c>
      <c r="D98" s="10">
        <v>0.053</v>
      </c>
      <c r="E98" s="11" t="s">
        <v>19</v>
      </c>
      <c r="F98" s="11" t="s">
        <v>19</v>
      </c>
      <c r="G98" s="8" t="str">
        <f>VLOOKUP(F98, 'Network Chiefs'!A:B, 2, FALSE)
</f>
        <v>#N/A</v>
      </c>
      <c r="H98" s="12">
        <v>46.0</v>
      </c>
      <c r="I98" s="13" t="s">
        <v>20</v>
      </c>
      <c r="J98" s="15" t="s">
        <v>384</v>
      </c>
      <c r="K98" s="15" t="s">
        <v>384</v>
      </c>
      <c r="L98" s="15" t="s">
        <v>384</v>
      </c>
      <c r="M98" s="15">
        <v>3.1</v>
      </c>
      <c r="N98" s="16" t="s">
        <v>391</v>
      </c>
      <c r="O98" s="8" t="str">
        <f t="shared" si="1"/>
        <v>6727 S California Ave </v>
      </c>
      <c r="P98" s="12">
        <v>16.0</v>
      </c>
      <c r="Q98" s="13" t="s">
        <v>193</v>
      </c>
    </row>
    <row r="99">
      <c r="A99" s="7">
        <v>400182.0</v>
      </c>
      <c r="B99" s="8" t="s">
        <v>392</v>
      </c>
      <c r="C99" s="22"/>
      <c r="D99" s="23"/>
      <c r="E99" s="22"/>
      <c r="F99" s="22"/>
      <c r="G99" s="8" t="str">
        <f>VLOOKUP(F99, 'Network Chiefs'!A:B, 2, FALSE)
</f>
        <v>#N/A</v>
      </c>
      <c r="H99" s="12">
        <v>46.0</v>
      </c>
      <c r="I99" s="13" t="s">
        <v>20</v>
      </c>
      <c r="J99" s="15" t="s">
        <v>384</v>
      </c>
      <c r="K99" s="15" t="s">
        <v>384</v>
      </c>
      <c r="L99" s="15" t="s">
        <v>384</v>
      </c>
      <c r="M99" s="12">
        <v>3.0</v>
      </c>
      <c r="N99" s="16" t="s">
        <v>391</v>
      </c>
      <c r="O99" s="8" t="str">
        <f t="shared" si="1"/>
        <v>6727 S California Ave </v>
      </c>
      <c r="P99" s="12">
        <v>16.0</v>
      </c>
      <c r="Q99" s="13" t="s">
        <v>193</v>
      </c>
    </row>
    <row r="100">
      <c r="A100" s="7">
        <v>610251.0</v>
      </c>
      <c r="B100" s="8" t="s">
        <v>393</v>
      </c>
      <c r="C100" s="18" t="s">
        <v>394</v>
      </c>
      <c r="D100" s="19">
        <v>0.181</v>
      </c>
      <c r="E100" s="18" t="s">
        <v>80</v>
      </c>
      <c r="F100" s="18" t="s">
        <v>216</v>
      </c>
      <c r="G100" s="8" t="str">
        <f>VLOOKUP(F100, 'Network Chiefs'!A:B, 2, FALSE)
</f>
        <v>Shontae Higginbottom</v>
      </c>
      <c r="H100" s="12">
        <v>54.0</v>
      </c>
      <c r="I100" s="13" t="s">
        <v>20</v>
      </c>
      <c r="J100" s="14" t="s">
        <v>217</v>
      </c>
      <c r="K100" s="14">
        <v>5.0</v>
      </c>
      <c r="L100" s="14" t="str">
        <f t="array" ref="L100">INDEX('School Rep'!$A$2:$A$21, MATCH(J100, 'School Rep'!$B$2:$B$21, 0))</f>
        <v>Michilla Blaise</v>
      </c>
      <c r="M100" s="15">
        <v>3.6</v>
      </c>
      <c r="N100" s="16" t="s">
        <v>395</v>
      </c>
      <c r="O100" s="8" t="str">
        <f t="shared" si="1"/>
        <v>2908 W Washington Blvd </v>
      </c>
      <c r="P100" s="12">
        <v>27.0</v>
      </c>
      <c r="Q100" s="13" t="s">
        <v>219</v>
      </c>
    </row>
    <row r="101">
      <c r="A101" s="7">
        <v>609851.0</v>
      </c>
      <c r="B101" s="8" t="s">
        <v>396</v>
      </c>
      <c r="C101" s="18" t="s">
        <v>397</v>
      </c>
      <c r="D101" s="19">
        <v>0.176</v>
      </c>
      <c r="E101" s="18" t="s">
        <v>80</v>
      </c>
      <c r="F101" s="18" t="s">
        <v>216</v>
      </c>
      <c r="G101" s="8" t="str">
        <f>VLOOKUP(F101, 'Network Chiefs'!A:B, 2, FALSE)
</f>
        <v>Shontae Higginbottom</v>
      </c>
      <c r="H101" s="12">
        <v>28.0</v>
      </c>
      <c r="I101" s="13" t="s">
        <v>41</v>
      </c>
      <c r="J101" s="14" t="s">
        <v>217</v>
      </c>
      <c r="K101" s="14">
        <v>5.0</v>
      </c>
      <c r="L101" s="14" t="str">
        <f t="array" ref="L101">INDEX('School Rep'!$A$2:$A$21, MATCH(J101, 'School Rep'!$B$2:$B$21, 0))</f>
        <v>Michilla Blaise</v>
      </c>
      <c r="M101" s="15">
        <v>3.8</v>
      </c>
      <c r="N101" s="16" t="s">
        <v>398</v>
      </c>
      <c r="O101" s="8" t="str">
        <f t="shared" si="1"/>
        <v>2745 W Roosevelt Rd </v>
      </c>
      <c r="P101" s="12">
        <v>28.0</v>
      </c>
      <c r="Q101" s="13" t="s">
        <v>399</v>
      </c>
    </row>
    <row r="102">
      <c r="A102" s="7">
        <v>609852.0</v>
      </c>
      <c r="B102" s="13" t="s">
        <v>400</v>
      </c>
      <c r="C102" s="17" t="s">
        <v>401</v>
      </c>
      <c r="D102" s="10">
        <v>0.06</v>
      </c>
      <c r="E102" s="11" t="s">
        <v>80</v>
      </c>
      <c r="F102" s="11" t="s">
        <v>270</v>
      </c>
      <c r="G102" s="8" t="str">
        <f>VLOOKUP(F102, 'Network Chiefs'!A:B, 2, FALSE)
</f>
        <v>Marilou Rebolledo</v>
      </c>
      <c r="H102" s="12">
        <v>45.0</v>
      </c>
      <c r="I102" s="13" t="s">
        <v>20</v>
      </c>
      <c r="J102" s="14" t="s">
        <v>87</v>
      </c>
      <c r="K102" s="14">
        <v>2.0</v>
      </c>
      <c r="L102" s="14" t="str">
        <f t="array" ref="L102">INDEX('School Rep'!$A$2:$A$21, MATCH(J102, 'School Rep'!$B$2:$B$21, 0))</f>
        <v>Debby Pope</v>
      </c>
      <c r="M102" s="12">
        <v>2.3</v>
      </c>
      <c r="N102" s="16" t="s">
        <v>402</v>
      </c>
      <c r="O102" s="8" t="str">
        <f t="shared" si="1"/>
        <v>2135 W Foster Ave </v>
      </c>
      <c r="P102" s="12">
        <v>40.0</v>
      </c>
      <c r="Q102" s="13" t="s">
        <v>89</v>
      </c>
    </row>
    <row r="103">
      <c r="A103" s="7">
        <v>609853.0</v>
      </c>
      <c r="B103" s="12" t="s">
        <v>403</v>
      </c>
      <c r="C103" s="18" t="s">
        <v>404</v>
      </c>
      <c r="D103" s="19">
        <v>0.066</v>
      </c>
      <c r="E103" s="18" t="s">
        <v>80</v>
      </c>
      <c r="F103" s="18" t="s">
        <v>102</v>
      </c>
      <c r="G103" s="8" t="str">
        <f>VLOOKUP(F103, 'Network Chiefs'!A:B, 2, FALSE)
</f>
        <v>Jerry Travlos</v>
      </c>
      <c r="H103" s="12">
        <v>55.0</v>
      </c>
      <c r="I103" s="13" t="s">
        <v>20</v>
      </c>
      <c r="J103" s="14" t="s">
        <v>232</v>
      </c>
      <c r="K103" s="14">
        <v>3.0</v>
      </c>
      <c r="L103" s="14" t="str">
        <f t="array" ref="L103">INDEX('School Rep'!$A$2:$A$21, MATCH(J103, 'School Rep'!$B$2:$B$21, 0))</f>
        <v>Carlos Rivas</v>
      </c>
      <c r="M103" s="12">
        <v>2.2</v>
      </c>
      <c r="N103" s="16" t="s">
        <v>405</v>
      </c>
      <c r="O103" s="8" t="str">
        <f t="shared" si="1"/>
        <v>2021 N Point St </v>
      </c>
      <c r="P103" s="12">
        <v>1.0</v>
      </c>
      <c r="Q103" s="13" t="s">
        <v>275</v>
      </c>
    </row>
    <row r="104">
      <c r="A104" s="7">
        <v>610148.0</v>
      </c>
      <c r="B104" s="8" t="s">
        <v>406</v>
      </c>
      <c r="C104" s="17" t="s">
        <v>407</v>
      </c>
      <c r="D104" s="10">
        <v>0.05</v>
      </c>
      <c r="E104" s="11" t="s">
        <v>80</v>
      </c>
      <c r="F104" s="11" t="s">
        <v>126</v>
      </c>
      <c r="G104" s="8" t="str">
        <f>VLOOKUP(F104, 'Network Chiefs'!A:B, 2, FALSE)
</f>
        <v>#N/A</v>
      </c>
      <c r="H104" s="12">
        <v>73.0</v>
      </c>
      <c r="I104" s="13" t="s">
        <v>52</v>
      </c>
      <c r="J104" s="14" t="s">
        <v>26</v>
      </c>
      <c r="K104" s="14">
        <v>8.0</v>
      </c>
      <c r="L104" s="14" t="str">
        <f t="array" ref="L104">INDEX('School Rep'!$A$2:$A$21, MATCH(J104, 'School Rep'!$B$2:$B$21, 0))</f>
        <v>Cydney Wallace</v>
      </c>
      <c r="M104" s="15">
        <v>3.7</v>
      </c>
      <c r="N104" s="16" t="s">
        <v>408</v>
      </c>
      <c r="O104" s="8" t="str">
        <f t="shared" si="1"/>
        <v>4747 S Marshfield Ave </v>
      </c>
      <c r="P104" s="12">
        <v>20.0</v>
      </c>
      <c r="Q104" s="13" t="s">
        <v>368</v>
      </c>
    </row>
    <row r="105">
      <c r="A105" s="7">
        <v>400022.0</v>
      </c>
      <c r="B105" s="12" t="s">
        <v>409</v>
      </c>
      <c r="C105" s="17" t="s">
        <v>410</v>
      </c>
      <c r="D105" s="10">
        <v>0.031</v>
      </c>
      <c r="E105" s="11" t="s">
        <v>411</v>
      </c>
      <c r="F105" s="11" t="s">
        <v>411</v>
      </c>
      <c r="G105" s="8" t="str">
        <f>VLOOKUP(F105, 'Network Chiefs'!A:B, 2, FALSE)
</f>
        <v>#N/A</v>
      </c>
      <c r="H105" s="12">
        <v>21.0</v>
      </c>
      <c r="I105" s="13" t="s">
        <v>41</v>
      </c>
      <c r="J105" s="14" t="s">
        <v>232</v>
      </c>
      <c r="K105" s="14">
        <v>3.0</v>
      </c>
      <c r="L105" s="14" t="str">
        <f t="array" ref="L105">INDEX('School Rep'!$A$2:$A$21, MATCH(J105, 'School Rep'!$B$2:$B$21, 0))</f>
        <v>Carlos Rivas</v>
      </c>
      <c r="M105" s="12">
        <v>2.0</v>
      </c>
      <c r="N105" s="16" t="s">
        <v>412</v>
      </c>
      <c r="O105" s="8" t="str">
        <f t="shared" si="1"/>
        <v>2714 W Augusta Blvd </v>
      </c>
      <c r="P105" s="12">
        <v>26.0</v>
      </c>
      <c r="Q105" s="13" t="s">
        <v>378</v>
      </c>
    </row>
    <row r="106">
      <c r="A106" s="7">
        <v>610248.0</v>
      </c>
      <c r="B106" s="13" t="s">
        <v>413</v>
      </c>
      <c r="C106" s="17" t="s">
        <v>414</v>
      </c>
      <c r="D106" s="10">
        <v>0.02</v>
      </c>
      <c r="E106" s="11" t="s">
        <v>80</v>
      </c>
      <c r="F106" s="11" t="s">
        <v>97</v>
      </c>
      <c r="G106" s="8" t="str">
        <f>VLOOKUP(F106, 'Network Chiefs'!A:B, 2, FALSE)
</f>
        <v>Julie McGlade</v>
      </c>
      <c r="H106" s="12">
        <v>63.0</v>
      </c>
      <c r="I106" s="13" t="s">
        <v>52</v>
      </c>
      <c r="J106" s="14" t="s">
        <v>222</v>
      </c>
      <c r="K106" s="14">
        <v>1.0</v>
      </c>
      <c r="L106" s="14" t="str">
        <f t="array" ref="L106">INDEX('School Rep'!$A$2:$A$21, MATCH(J106, 'School Rep'!$B$2:$B$21, 0))</f>
        <v>Jennifer Custer</v>
      </c>
      <c r="M106" s="12">
        <v>2.7</v>
      </c>
      <c r="N106" s="16" t="s">
        <v>415</v>
      </c>
      <c r="O106" s="8" t="str">
        <f t="shared" si="1"/>
        <v>3400 N Austin Ave </v>
      </c>
      <c r="P106" s="12">
        <v>30.0</v>
      </c>
      <c r="Q106" s="13" t="s">
        <v>346</v>
      </c>
    </row>
    <row r="107">
      <c r="A107" s="7">
        <v>610340.0</v>
      </c>
      <c r="B107" s="13" t="s">
        <v>416</v>
      </c>
      <c r="C107" s="9" t="s">
        <v>417</v>
      </c>
      <c r="D107" s="10">
        <v>0.031</v>
      </c>
      <c r="E107" s="11" t="s">
        <v>80</v>
      </c>
      <c r="F107" s="11" t="s">
        <v>116</v>
      </c>
      <c r="G107" s="8" t="str">
        <f>VLOOKUP(F107, 'Network Chiefs'!A:B, 2, FALSE)
</f>
        <v>Dr. Laura LeMone</v>
      </c>
      <c r="H107" s="12">
        <v>63.0</v>
      </c>
      <c r="I107" s="13" t="s">
        <v>52</v>
      </c>
      <c r="J107" s="14" t="s">
        <v>222</v>
      </c>
      <c r="K107" s="14">
        <v>1.0</v>
      </c>
      <c r="L107" s="14" t="str">
        <f t="array" ref="L107">INDEX('School Rep'!$A$2:$A$21, MATCH(J107, 'School Rep'!$B$2:$B$21, 0))</f>
        <v>Jennifer Custer</v>
      </c>
      <c r="M107" s="12">
        <v>2.6</v>
      </c>
      <c r="N107" s="16" t="s">
        <v>415</v>
      </c>
      <c r="O107" s="8" t="str">
        <f t="shared" si="1"/>
        <v>3400 N Austin Ave </v>
      </c>
      <c r="P107" s="12">
        <v>30.0</v>
      </c>
      <c r="Q107" s="13" t="s">
        <v>346</v>
      </c>
    </row>
    <row r="108">
      <c r="A108" s="7">
        <v>609753.0</v>
      </c>
      <c r="B108" s="8" t="s">
        <v>418</v>
      </c>
      <c r="C108" s="9" t="s">
        <v>419</v>
      </c>
      <c r="D108" s="10">
        <v>0.052</v>
      </c>
      <c r="E108" s="11" t="s">
        <v>80</v>
      </c>
      <c r="F108" s="11" t="s">
        <v>126</v>
      </c>
      <c r="G108" s="8" t="str">
        <f>VLOOKUP(F108, 'Network Chiefs'!A:B, 2, FALSE)
</f>
        <v>#N/A</v>
      </c>
      <c r="H108" s="12">
        <v>68.0</v>
      </c>
      <c r="I108" s="13" t="s">
        <v>52</v>
      </c>
      <c r="J108" s="14" t="s">
        <v>178</v>
      </c>
      <c r="K108" s="14">
        <v>9.0</v>
      </c>
      <c r="L108" s="14" t="str">
        <f t="array" ref="L108">INDEX('School Rep'!$A$2:$A$21, MATCH(J108, 'School Rep'!$B$2:$B$21, 0))</f>
        <v>Therese Boyle</v>
      </c>
      <c r="M108" s="15">
        <v>2.4</v>
      </c>
      <c r="N108" s="16" t="s">
        <v>420</v>
      </c>
      <c r="O108" s="8" t="str">
        <f t="shared" si="1"/>
        <v>3857 W 111th St </v>
      </c>
      <c r="P108" s="12">
        <v>19.0</v>
      </c>
      <c r="Q108" s="13" t="s">
        <v>180</v>
      </c>
    </row>
    <row r="109">
      <c r="A109" s="7">
        <v>400161.0</v>
      </c>
      <c r="B109" s="8" t="s">
        <v>421</v>
      </c>
      <c r="C109" s="9" t="s">
        <v>422</v>
      </c>
      <c r="D109" s="10">
        <v>0.263</v>
      </c>
      <c r="E109" s="11" t="s">
        <v>19</v>
      </c>
      <c r="F109" s="11" t="s">
        <v>19</v>
      </c>
      <c r="G109" s="8" t="str">
        <f>VLOOKUP(F109, 'Network Chiefs'!A:B, 2, FALSE)
</f>
        <v>#N/A</v>
      </c>
      <c r="H109" s="12">
        <v>54.0</v>
      </c>
      <c r="I109" s="13" t="s">
        <v>20</v>
      </c>
      <c r="J109" s="14" t="s">
        <v>178</v>
      </c>
      <c r="K109" s="14">
        <v>9.0</v>
      </c>
      <c r="L109" s="14" t="str">
        <f t="array" ref="L109">INDEX('School Rep'!$A$2:$A$21, MATCH(J109, 'School Rep'!$B$2:$B$21, 0))</f>
        <v>Therese Boyle</v>
      </c>
      <c r="M109" s="15">
        <v>3.7</v>
      </c>
      <c r="N109" s="16" t="s">
        <v>423</v>
      </c>
      <c r="O109" s="8" t="str">
        <f t="shared" si="1"/>
        <v>11816 S Indiana </v>
      </c>
      <c r="P109" s="12">
        <v>9.0</v>
      </c>
      <c r="Q109" s="13" t="s">
        <v>237</v>
      </c>
    </row>
    <row r="110">
      <c r="A110" s="7">
        <v>400147.0</v>
      </c>
      <c r="B110" s="8" t="s">
        <v>424</v>
      </c>
      <c r="C110" s="18" t="s">
        <v>425</v>
      </c>
      <c r="D110" s="19">
        <v>0.611</v>
      </c>
      <c r="E110" s="18" t="s">
        <v>411</v>
      </c>
      <c r="F110" s="18" t="s">
        <v>426</v>
      </c>
      <c r="G110" s="8" t="str">
        <f>VLOOKUP(F110, 'Network Chiefs'!A:B, 2, FALSE)
</f>
        <v>Richard Smith</v>
      </c>
      <c r="H110" s="12">
        <v>68.0</v>
      </c>
      <c r="I110" s="13" t="s">
        <v>52</v>
      </c>
      <c r="J110" s="14" t="s">
        <v>178</v>
      </c>
      <c r="K110" s="14">
        <v>9.0</v>
      </c>
      <c r="L110" s="14" t="str">
        <f t="array" ref="L110">INDEX('School Rep'!$A$2:$A$21, MATCH(J110, 'School Rep'!$B$2:$B$21, 0))</f>
        <v>Therese Boyle</v>
      </c>
      <c r="M110" s="15" t="s">
        <v>384</v>
      </c>
      <c r="N110" s="16" t="s">
        <v>427</v>
      </c>
      <c r="O110" s="8" t="str">
        <f t="shared" si="1"/>
        <v>1257 W 111th St </v>
      </c>
      <c r="P110" s="12">
        <v>21.0</v>
      </c>
      <c r="Q110" s="13" t="s">
        <v>428</v>
      </c>
    </row>
    <row r="111">
      <c r="A111" s="7">
        <v>400035.0</v>
      </c>
      <c r="B111" s="13" t="s">
        <v>429</v>
      </c>
      <c r="C111" s="18" t="s">
        <v>430</v>
      </c>
      <c r="D111" s="19">
        <v>0.103</v>
      </c>
      <c r="E111" s="18" t="s">
        <v>19</v>
      </c>
      <c r="F111" s="18" t="s">
        <v>19</v>
      </c>
      <c r="G111" s="8" t="str">
        <f>VLOOKUP(F111, 'Network Chiefs'!A:B, 2, FALSE)
</f>
        <v>#N/A</v>
      </c>
      <c r="H111" s="12">
        <v>56.0</v>
      </c>
      <c r="I111" s="13" t="s">
        <v>20</v>
      </c>
      <c r="J111" s="14" t="s">
        <v>36</v>
      </c>
      <c r="K111" s="14">
        <v>2.0</v>
      </c>
      <c r="L111" s="14" t="str">
        <f t="array" ref="L111">INDEX('School Rep'!$A$2:$A$21, MATCH(J111, 'School Rep'!$B$2:$B$21, 0))</f>
        <v>Ebony DeBerry</v>
      </c>
      <c r="M111" s="12">
        <v>2.7</v>
      </c>
      <c r="N111" s="16" t="s">
        <v>431</v>
      </c>
      <c r="O111" s="8" t="str">
        <f t="shared" si="1"/>
        <v>7212 N Clark St </v>
      </c>
      <c r="P111" s="12">
        <v>49.0</v>
      </c>
      <c r="Q111" s="13" t="s">
        <v>38</v>
      </c>
    </row>
    <row r="112">
      <c r="A112" s="7">
        <v>609754.0</v>
      </c>
      <c r="B112" s="8" t="s">
        <v>432</v>
      </c>
      <c r="C112" s="9" t="s">
        <v>433</v>
      </c>
      <c r="D112" s="10">
        <v>0.098</v>
      </c>
      <c r="E112" s="11" t="s">
        <v>80</v>
      </c>
      <c r="F112" s="11" t="s">
        <v>263</v>
      </c>
      <c r="G112" s="8" t="str">
        <f>VLOOKUP(F112, 'Network Chiefs'!A:B, 2, FALSE)
</f>
        <v>Myron Hester</v>
      </c>
      <c r="H112" s="12">
        <v>5.0</v>
      </c>
      <c r="I112" s="13" t="s">
        <v>30</v>
      </c>
      <c r="J112" s="14" t="s">
        <v>204</v>
      </c>
      <c r="K112" s="14">
        <v>6.0</v>
      </c>
      <c r="L112" s="14" t="str">
        <f t="array" ref="L112">INDEX('School Rep'!$A$2:$A$21, MATCH(J112, 'School Rep'!$B$2:$B$21, 0))</f>
        <v>Jessica Biggs</v>
      </c>
      <c r="M112" s="15">
        <v>3.5</v>
      </c>
      <c r="N112" s="16" t="s">
        <v>434</v>
      </c>
      <c r="O112" s="8" t="str">
        <f t="shared" si="1"/>
        <v>3519 S Giles Ave </v>
      </c>
      <c r="P112" s="12">
        <v>3.0</v>
      </c>
      <c r="Q112" s="13" t="s">
        <v>206</v>
      </c>
    </row>
    <row r="113">
      <c r="A113" s="7">
        <v>400091.0</v>
      </c>
      <c r="B113" s="8" t="s">
        <v>435</v>
      </c>
      <c r="C113" s="11" t="s">
        <v>436</v>
      </c>
      <c r="D113" s="10">
        <v>0.076</v>
      </c>
      <c r="E113" s="11" t="s">
        <v>411</v>
      </c>
      <c r="F113" s="11" t="s">
        <v>411</v>
      </c>
      <c r="G113" s="8" t="str">
        <f>VLOOKUP(F113, 'Network Chiefs'!A:B, 2, FALSE)
</f>
        <v>#N/A</v>
      </c>
      <c r="H113" s="12">
        <v>30.0</v>
      </c>
      <c r="I113" s="13" t="s">
        <v>41</v>
      </c>
      <c r="J113" s="14" t="s">
        <v>42</v>
      </c>
      <c r="K113" s="14">
        <v>7.0</v>
      </c>
      <c r="L113" s="14" t="str">
        <f t="array" ref="L113">INDEX('School Rep'!$A$2:$A$21, MATCH(J113, 'School Rep'!$B$2:$B$21, 0))</f>
        <v>Emma Lozano</v>
      </c>
      <c r="M113" s="15">
        <v>3.5</v>
      </c>
      <c r="N113" s="16" t="s">
        <v>437</v>
      </c>
      <c r="O113" s="8" t="str">
        <f t="shared" si="1"/>
        <v>1301 W 14th St </v>
      </c>
      <c r="P113" s="12">
        <v>28.0</v>
      </c>
      <c r="Q113" s="13" t="s">
        <v>399</v>
      </c>
    </row>
    <row r="114">
      <c r="A114" s="7">
        <v>609674.0</v>
      </c>
      <c r="B114" s="13" t="s">
        <v>438</v>
      </c>
      <c r="C114" s="9" t="s">
        <v>439</v>
      </c>
      <c r="D114" s="10">
        <v>0.279</v>
      </c>
      <c r="E114" s="11" t="s">
        <v>80</v>
      </c>
      <c r="F114" s="11" t="s">
        <v>263</v>
      </c>
      <c r="G114" s="8" t="str">
        <f>VLOOKUP(F114, 'Network Chiefs'!A:B, 2, FALSE)
</f>
        <v>Myron Hester</v>
      </c>
      <c r="H114" s="12">
        <v>54.0</v>
      </c>
      <c r="I114" s="13" t="s">
        <v>20</v>
      </c>
      <c r="J114" s="14" t="s">
        <v>82</v>
      </c>
      <c r="K114" s="14">
        <v>10.0</v>
      </c>
      <c r="L114" s="14" t="str">
        <f t="array" ref="L114">INDEX('School Rep'!$A$2:$A$21, MATCH(J114, 'School Rep'!$B$2:$B$21, 0))</f>
        <v>Olga Bautista</v>
      </c>
      <c r="M114" s="12">
        <v>3.3</v>
      </c>
      <c r="N114" s="16" t="s">
        <v>440</v>
      </c>
      <c r="O114" s="8" t="str">
        <f t="shared" si="1"/>
        <v>2100 E 87th St </v>
      </c>
      <c r="P114" s="12">
        <v>8.0</v>
      </c>
      <c r="Q114" s="13" t="s">
        <v>135</v>
      </c>
    </row>
    <row r="115">
      <c r="A115" s="7">
        <v>610060.0</v>
      </c>
      <c r="B115" s="8" t="s">
        <v>441</v>
      </c>
      <c r="C115" s="17" t="s">
        <v>442</v>
      </c>
      <c r="D115" s="10">
        <v>0.035</v>
      </c>
      <c r="E115" s="11" t="s">
        <v>80</v>
      </c>
      <c r="F115" s="11" t="s">
        <v>301</v>
      </c>
      <c r="G115" s="8" t="str">
        <f>VLOOKUP(F115, 'Network Chiefs'!A:B, 2, FALSE)
</f>
        <v>Dr. Ethan Netterstrom</v>
      </c>
      <c r="H115" s="12">
        <v>31.0</v>
      </c>
      <c r="I115" s="13" t="s">
        <v>41</v>
      </c>
      <c r="J115" s="14" t="s">
        <v>42</v>
      </c>
      <c r="K115" s="14">
        <v>7.0</v>
      </c>
      <c r="L115" s="14" t="str">
        <f t="array" ref="L115">INDEX('School Rep'!$A$2:$A$21, MATCH(J115, 'School Rep'!$B$2:$B$21, 0))</f>
        <v>Emma Lozano</v>
      </c>
      <c r="M115" s="15">
        <v>2.1</v>
      </c>
      <c r="N115" s="16" t="s">
        <v>443</v>
      </c>
      <c r="O115" s="8" t="str">
        <f t="shared" si="1"/>
        <v>1340 W Harrison St </v>
      </c>
      <c r="P115" s="12">
        <v>34.0</v>
      </c>
      <c r="Q115" s="13" t="s">
        <v>444</v>
      </c>
    </row>
    <row r="116">
      <c r="A116" s="7">
        <v>609854.0</v>
      </c>
      <c r="B116" s="12" t="s">
        <v>445</v>
      </c>
      <c r="C116" s="18" t="s">
        <v>446</v>
      </c>
      <c r="D116" s="19">
        <v>0.249</v>
      </c>
      <c r="E116" s="18" t="s">
        <v>80</v>
      </c>
      <c r="F116" s="18" t="s">
        <v>216</v>
      </c>
      <c r="G116" s="8" t="str">
        <f>VLOOKUP(F116, 'Network Chiefs'!A:B, 2, FALSE)
</f>
        <v>Shontae Higginbottom</v>
      </c>
      <c r="H116" s="12">
        <v>53.0</v>
      </c>
      <c r="I116" s="13" t="s">
        <v>20</v>
      </c>
      <c r="J116" s="14" t="s">
        <v>31</v>
      </c>
      <c r="K116" s="14">
        <v>5.0</v>
      </c>
      <c r="L116" s="14" t="str">
        <f t="array" ref="L116">INDEX('School Rep'!$A$2:$A$21, MATCH(J116, 'School Rep'!$B$2:$B$21, 0))</f>
        <v>Aaron "Jitu" Brown</v>
      </c>
      <c r="M116" s="12">
        <v>2.8</v>
      </c>
      <c r="N116" s="16" t="s">
        <v>447</v>
      </c>
      <c r="O116" s="8" t="str">
        <f t="shared" si="1"/>
        <v>2450 W Rice St </v>
      </c>
      <c r="P116" s="12">
        <v>36.0</v>
      </c>
      <c r="Q116" s="13" t="s">
        <v>67</v>
      </c>
    </row>
    <row r="117">
      <c r="A117" s="7">
        <v>609855.0</v>
      </c>
      <c r="B117" s="8" t="s">
        <v>448</v>
      </c>
      <c r="C117" s="18" t="s">
        <v>449</v>
      </c>
      <c r="D117" s="19">
        <v>0.088</v>
      </c>
      <c r="E117" s="18" t="s">
        <v>80</v>
      </c>
      <c r="F117" s="18" t="s">
        <v>285</v>
      </c>
      <c r="G117" s="8" t="str">
        <f>VLOOKUP(F117, 'Network Chiefs'!A:B, 2, FALSE)
</f>
        <v>Gilberto Piedrahita</v>
      </c>
      <c r="H117" s="12">
        <v>62.0</v>
      </c>
      <c r="I117" s="13" t="s">
        <v>52</v>
      </c>
      <c r="J117" s="14" t="s">
        <v>26</v>
      </c>
      <c r="K117" s="14">
        <v>8.0</v>
      </c>
      <c r="L117" s="14" t="str">
        <f t="array" ref="L117">INDEX('School Rep'!$A$2:$A$21, MATCH(J117, 'School Rep'!$B$2:$B$21, 0))</f>
        <v>Cydney Wallace</v>
      </c>
      <c r="M117" s="15">
        <v>3.6</v>
      </c>
      <c r="N117" s="16" t="s">
        <v>450</v>
      </c>
      <c r="O117" s="8" t="str">
        <f t="shared" si="1"/>
        <v>5042 S Artesian Ave </v>
      </c>
      <c r="P117" s="12">
        <v>15.0</v>
      </c>
      <c r="Q117" s="13" t="s">
        <v>364</v>
      </c>
    </row>
    <row r="118">
      <c r="A118" s="7">
        <v>400159.0</v>
      </c>
      <c r="B118" s="12" t="s">
        <v>451</v>
      </c>
      <c r="C118" s="17" t="s">
        <v>452</v>
      </c>
      <c r="D118" s="10">
        <v>0.0</v>
      </c>
      <c r="E118" s="11" t="s">
        <v>19</v>
      </c>
      <c r="F118" s="11" t="s">
        <v>19</v>
      </c>
      <c r="G118" s="8" t="str">
        <f>VLOOKUP(F118, 'Network Chiefs'!A:B, 2, FALSE)
</f>
        <v>#N/A</v>
      </c>
      <c r="H118" s="12">
        <v>16.0</v>
      </c>
      <c r="I118" s="13" t="s">
        <v>30</v>
      </c>
      <c r="J118" s="14" t="s">
        <v>232</v>
      </c>
      <c r="K118" s="14">
        <v>3.0</v>
      </c>
      <c r="L118" s="14" t="str">
        <f t="array" ref="L118">INDEX('School Rep'!$A$2:$A$21, MATCH(J118, 'School Rep'!$B$2:$B$21, 0))</f>
        <v>Carlos Rivas</v>
      </c>
      <c r="M118" s="12">
        <v>3.1</v>
      </c>
      <c r="N118" s="16" t="s">
        <v>453</v>
      </c>
      <c r="O118" s="8" t="str">
        <f t="shared" si="1"/>
        <v>5235 W Belden Ave </v>
      </c>
      <c r="P118" s="12">
        <v>36.0</v>
      </c>
      <c r="Q118" s="13" t="s">
        <v>67</v>
      </c>
    </row>
    <row r="119">
      <c r="A119" s="7">
        <v>400023.0</v>
      </c>
      <c r="B119" s="12" t="s">
        <v>454</v>
      </c>
      <c r="C119" s="12" t="s">
        <v>454</v>
      </c>
      <c r="D119" s="24">
        <v>0.116</v>
      </c>
      <c r="E119" s="12" t="s">
        <v>19</v>
      </c>
      <c r="F119" s="12" t="s">
        <v>19</v>
      </c>
      <c r="G119" s="8" t="str">
        <f>VLOOKUP(F119, 'Network Chiefs'!A:B, 2, FALSE)
</f>
        <v>#N/A</v>
      </c>
      <c r="H119" s="12">
        <v>49.0</v>
      </c>
      <c r="I119" s="13" t="s">
        <v>20</v>
      </c>
      <c r="J119" s="14" t="s">
        <v>82</v>
      </c>
      <c r="K119" s="14">
        <v>10.0</v>
      </c>
      <c r="L119" s="14" t="str">
        <f t="array" ref="L119">INDEX('School Rep'!$A$2:$A$21, MATCH(J119, 'School Rep'!$B$2:$B$21, 0))</f>
        <v>Olga Bautista</v>
      </c>
      <c r="M119" s="12">
        <v>3.4</v>
      </c>
      <c r="N119" s="16" t="s">
        <v>455</v>
      </c>
      <c r="O119" s="8" t="str">
        <f t="shared" si="1"/>
        <v>1501 E 83rd Pl </v>
      </c>
      <c r="P119" s="12">
        <v>8.0</v>
      </c>
      <c r="Q119" s="13" t="s">
        <v>135</v>
      </c>
    </row>
    <row r="120">
      <c r="A120" s="7">
        <v>400024.0</v>
      </c>
      <c r="B120" s="8" t="s">
        <v>456</v>
      </c>
      <c r="C120" s="15" t="s">
        <v>456</v>
      </c>
      <c r="D120" s="24">
        <v>0.195</v>
      </c>
      <c r="E120" s="12" t="s">
        <v>19</v>
      </c>
      <c r="F120" s="12" t="s">
        <v>19</v>
      </c>
      <c r="G120" s="8" t="str">
        <f>VLOOKUP(F120, 'Network Chiefs'!A:B, 2, FALSE)
</f>
        <v>#N/A</v>
      </c>
      <c r="H120" s="12">
        <v>52.0</v>
      </c>
      <c r="I120" s="13" t="s">
        <v>20</v>
      </c>
      <c r="J120" s="14" t="s">
        <v>26</v>
      </c>
      <c r="K120" s="14">
        <v>8.0</v>
      </c>
      <c r="L120" s="14" t="str">
        <f t="array" ref="L120">INDEX('School Rep'!$A$2:$A$21, MATCH(J120, 'School Rep'!$B$2:$B$21, 0))</f>
        <v>Cydney Wallace</v>
      </c>
      <c r="M120" s="15">
        <v>3.4</v>
      </c>
      <c r="N120" s="16" t="s">
        <v>457</v>
      </c>
      <c r="O120" s="8" t="str">
        <f t="shared" si="1"/>
        <v>1816 W Garfield Blvd </v>
      </c>
      <c r="P120" s="12">
        <v>16.0</v>
      </c>
      <c r="Q120" s="13" t="s">
        <v>193</v>
      </c>
    </row>
    <row r="121">
      <c r="A121" s="7">
        <v>400092.0</v>
      </c>
      <c r="B121" s="13" t="s">
        <v>458</v>
      </c>
      <c r="C121" s="18" t="s">
        <v>459</v>
      </c>
      <c r="D121" s="19">
        <v>0.129</v>
      </c>
      <c r="E121" s="18" t="s">
        <v>19</v>
      </c>
      <c r="F121" s="18" t="s">
        <v>19</v>
      </c>
      <c r="G121" s="8" t="str">
        <f>VLOOKUP(F121, 'Network Chiefs'!A:B, 2, FALSE)
</f>
        <v>#N/A</v>
      </c>
      <c r="H121" s="12">
        <v>65.0</v>
      </c>
      <c r="I121" s="13" t="s">
        <v>52</v>
      </c>
      <c r="J121" s="14" t="s">
        <v>82</v>
      </c>
      <c r="K121" s="14">
        <v>10.0</v>
      </c>
      <c r="L121" s="14" t="str">
        <f t="array" ref="L121">INDEX('School Rep'!$A$2:$A$21, MATCH(J121, 'School Rep'!$B$2:$B$21, 0))</f>
        <v>Olga Bautista</v>
      </c>
      <c r="M121" s="12">
        <v>3.3</v>
      </c>
      <c r="N121" s="16" t="s">
        <v>460</v>
      </c>
      <c r="O121" s="8" t="str">
        <f t="shared" si="1"/>
        <v>13300 S Langley Ave </v>
      </c>
      <c r="P121" s="12">
        <v>10.0</v>
      </c>
      <c r="Q121" s="13" t="s">
        <v>84</v>
      </c>
    </row>
    <row r="122">
      <c r="A122" s="7">
        <v>400025.0</v>
      </c>
      <c r="B122" s="8" t="s">
        <v>461</v>
      </c>
      <c r="C122" s="15" t="s">
        <v>461</v>
      </c>
      <c r="D122" s="24">
        <v>0.065</v>
      </c>
      <c r="E122" s="12" t="s">
        <v>19</v>
      </c>
      <c r="F122" s="12" t="s">
        <v>19</v>
      </c>
      <c r="G122" s="8" t="str">
        <f>VLOOKUP(F122, 'Network Chiefs'!A:B, 2, FALSE)
</f>
        <v>#N/A</v>
      </c>
      <c r="H122" s="12">
        <v>61.0</v>
      </c>
      <c r="I122" s="13" t="s">
        <v>52</v>
      </c>
      <c r="J122" s="14" t="s">
        <v>462</v>
      </c>
      <c r="K122" s="14">
        <v>6.0</v>
      </c>
      <c r="L122" s="14" t="str">
        <f t="array" ref="L122">INDEX('School Rep'!$A$2:$A$21, MATCH(J122, 'School Rep'!$B$2:$B$21, 0))</f>
        <v>Anusha Thotakura</v>
      </c>
      <c r="M122" s="15">
        <v>2.9</v>
      </c>
      <c r="N122" s="16" t="s">
        <v>463</v>
      </c>
      <c r="O122" s="8" t="str">
        <f t="shared" si="1"/>
        <v>2235 N Hamilton Ave </v>
      </c>
      <c r="P122" s="12">
        <v>32.0</v>
      </c>
      <c r="Q122" s="13" t="s">
        <v>110</v>
      </c>
    </row>
    <row r="123">
      <c r="A123" s="7">
        <v>400032.0</v>
      </c>
      <c r="B123" s="8" t="s">
        <v>464</v>
      </c>
      <c r="C123" s="18" t="s">
        <v>465</v>
      </c>
      <c r="D123" s="19">
        <v>0.226</v>
      </c>
      <c r="E123" s="18" t="s">
        <v>19</v>
      </c>
      <c r="F123" s="18" t="s">
        <v>19</v>
      </c>
      <c r="G123" s="8" t="str">
        <f>VLOOKUP(F123, 'Network Chiefs'!A:B, 2, FALSE)
</f>
        <v>#N/A</v>
      </c>
      <c r="H123" s="12">
        <v>48.0</v>
      </c>
      <c r="I123" s="13" t="s">
        <v>20</v>
      </c>
      <c r="J123" s="14" t="s">
        <v>187</v>
      </c>
      <c r="K123" s="14">
        <v>9.0</v>
      </c>
      <c r="L123" s="14" t="str">
        <f t="array" ref="L123">INDEX('School Rep'!$A$2:$A$21, MATCH(J123, 'School Rep'!$B$2:$B$21, 0))</f>
        <v>Frank Niles Thomas</v>
      </c>
      <c r="M123" s="15">
        <v>3.7</v>
      </c>
      <c r="N123" s="16" t="s">
        <v>466</v>
      </c>
      <c r="O123" s="8" t="str">
        <f t="shared" si="1"/>
        <v>1817 W 80th St </v>
      </c>
      <c r="P123" s="12">
        <v>17.0</v>
      </c>
      <c r="Q123" s="13" t="s">
        <v>189</v>
      </c>
    </row>
    <row r="124">
      <c r="A124" s="7">
        <v>400027.0</v>
      </c>
      <c r="B124" s="12" t="s">
        <v>467</v>
      </c>
      <c r="C124" s="12" t="s">
        <v>467</v>
      </c>
      <c r="D124" s="24">
        <v>0.053</v>
      </c>
      <c r="E124" s="12" t="s">
        <v>19</v>
      </c>
      <c r="F124" s="12" t="s">
        <v>19</v>
      </c>
      <c r="G124" s="8" t="str">
        <f>VLOOKUP(F124, 'Network Chiefs'!A:B, 2, FALSE)
</f>
        <v>#N/A</v>
      </c>
      <c r="H124" s="12">
        <v>73.0</v>
      </c>
      <c r="I124" s="13" t="s">
        <v>52</v>
      </c>
      <c r="J124" s="14" t="s">
        <v>47</v>
      </c>
      <c r="K124" s="14">
        <v>3.0</v>
      </c>
      <c r="L124" s="14" t="str">
        <f t="array" ref="L124">INDEX('School Rep'!$A$2:$A$21, MATCH(J124, 'School Rep'!$B$2:$B$21, 0))</f>
        <v>Norma Rios-Sierra</v>
      </c>
      <c r="M124" s="12">
        <v>2.7</v>
      </c>
      <c r="N124" s="16" t="s">
        <v>468</v>
      </c>
      <c r="O124" s="8" t="str">
        <f t="shared" si="1"/>
        <v>3820 N Spaulding Ave </v>
      </c>
      <c r="P124" s="12">
        <v>33.0</v>
      </c>
      <c r="Q124" s="13" t="s">
        <v>99</v>
      </c>
    </row>
    <row r="125">
      <c r="A125" s="7">
        <v>400033.0</v>
      </c>
      <c r="B125" s="8" t="s">
        <v>469</v>
      </c>
      <c r="C125" s="15" t="s">
        <v>469</v>
      </c>
      <c r="D125" s="24">
        <v>0.161</v>
      </c>
      <c r="E125" s="12" t="s">
        <v>19</v>
      </c>
      <c r="F125" s="12" t="s">
        <v>19</v>
      </c>
      <c r="G125" s="8" t="str">
        <f>VLOOKUP(F125, 'Network Chiefs'!A:B, 2, FALSE)
</f>
        <v>#N/A</v>
      </c>
      <c r="H125" s="12">
        <v>45.0</v>
      </c>
      <c r="I125" s="13" t="s">
        <v>20</v>
      </c>
      <c r="J125" s="14" t="s">
        <v>178</v>
      </c>
      <c r="K125" s="14">
        <v>9.0</v>
      </c>
      <c r="L125" s="14" t="str">
        <f t="array" ref="L125">INDEX('School Rep'!$A$2:$A$21, MATCH(J125, 'School Rep'!$B$2:$B$21, 0))</f>
        <v>Therese Boyle</v>
      </c>
      <c r="M125" s="15">
        <v>3.5</v>
      </c>
      <c r="N125" s="16" t="s">
        <v>470</v>
      </c>
      <c r="O125" s="8" t="str">
        <f t="shared" si="1"/>
        <v>1309 W 95th St </v>
      </c>
      <c r="P125" s="12">
        <v>21.0</v>
      </c>
      <c r="Q125" s="13" t="s">
        <v>428</v>
      </c>
    </row>
    <row r="126">
      <c r="A126" s="7">
        <v>400026.0</v>
      </c>
      <c r="B126" s="8" t="s">
        <v>471</v>
      </c>
      <c r="C126" s="15" t="s">
        <v>471</v>
      </c>
      <c r="D126" s="24">
        <v>0.111</v>
      </c>
      <c r="E126" s="12" t="s">
        <v>19</v>
      </c>
      <c r="F126" s="12" t="s">
        <v>19</v>
      </c>
      <c r="G126" s="8" t="str">
        <f>VLOOKUP(F126, 'Network Chiefs'!A:B, 2, FALSE)
</f>
        <v>#N/A</v>
      </c>
      <c r="H126" s="12">
        <v>64.0</v>
      </c>
      <c r="I126" s="13" t="s">
        <v>52</v>
      </c>
      <c r="J126" s="14" t="s">
        <v>178</v>
      </c>
      <c r="K126" s="14">
        <v>9.0</v>
      </c>
      <c r="L126" s="14" t="str">
        <f t="array" ref="L126">INDEX('School Rep'!$A$2:$A$21, MATCH(J126, 'School Rep'!$B$2:$B$21, 0))</f>
        <v>Therese Boyle</v>
      </c>
      <c r="M126" s="15">
        <v>2.8</v>
      </c>
      <c r="N126" s="16" t="s">
        <v>472</v>
      </c>
      <c r="O126" s="8" t="str">
        <f t="shared" si="1"/>
        <v>9535 S Loomis St </v>
      </c>
      <c r="P126" s="12">
        <v>21.0</v>
      </c>
      <c r="Q126" s="13" t="s">
        <v>428</v>
      </c>
    </row>
    <row r="127">
      <c r="A127" s="7">
        <v>400034.0</v>
      </c>
      <c r="B127" s="13" t="s">
        <v>473</v>
      </c>
      <c r="C127" s="18" t="s">
        <v>474</v>
      </c>
      <c r="D127" s="19">
        <v>0.061</v>
      </c>
      <c r="E127" s="18" t="s">
        <v>19</v>
      </c>
      <c r="F127" s="18" t="s">
        <v>19</v>
      </c>
      <c r="G127" s="8" t="str">
        <f>VLOOKUP(F127, 'Network Chiefs'!A:B, 2, FALSE)
</f>
        <v>#N/A</v>
      </c>
      <c r="H127" s="12">
        <v>81.0</v>
      </c>
      <c r="I127" s="13" t="s">
        <v>248</v>
      </c>
      <c r="J127" s="14" t="s">
        <v>199</v>
      </c>
      <c r="K127" s="14">
        <v>1.0</v>
      </c>
      <c r="L127" s="14" t="str">
        <f t="array" ref="L127">INDEX('School Rep'!$A$2:$A$21, MATCH(J127, 'School Rep'!$B$2:$B$21, 0))</f>
        <v>Ed Bannon</v>
      </c>
      <c r="M127" s="12">
        <v>2.3</v>
      </c>
      <c r="N127" s="16" t="s">
        <v>475</v>
      </c>
      <c r="O127" s="8" t="str">
        <f t="shared" si="1"/>
        <v>3900 W Peterson Ave </v>
      </c>
      <c r="P127" s="12">
        <v>39.0</v>
      </c>
      <c r="Q127" s="13" t="s">
        <v>224</v>
      </c>
    </row>
    <row r="128">
      <c r="A128" s="7">
        <v>400028.0</v>
      </c>
      <c r="B128" s="8" t="s">
        <v>476</v>
      </c>
      <c r="C128" s="15" t="s">
        <v>476</v>
      </c>
      <c r="D128" s="24">
        <v>0.081</v>
      </c>
      <c r="E128" s="12" t="s">
        <v>19</v>
      </c>
      <c r="F128" s="12" t="s">
        <v>19</v>
      </c>
      <c r="G128" s="8" t="str">
        <f>VLOOKUP(F128, 'Network Chiefs'!A:B, 2, FALSE)
</f>
        <v>#N/A</v>
      </c>
      <c r="H128" s="12">
        <v>50.0</v>
      </c>
      <c r="I128" s="13" t="s">
        <v>20</v>
      </c>
      <c r="J128" s="14" t="s">
        <v>178</v>
      </c>
      <c r="K128" s="14">
        <v>9.0</v>
      </c>
      <c r="L128" s="14" t="str">
        <f t="array" ref="L128">INDEX('School Rep'!$A$2:$A$21, MATCH(J128, 'School Rep'!$B$2:$B$21, 0))</f>
        <v>Therese Boyle</v>
      </c>
      <c r="M128" s="15">
        <v>3.6</v>
      </c>
      <c r="N128" s="16" t="s">
        <v>477</v>
      </c>
      <c r="O128" s="8" t="str">
        <f t="shared" si="1"/>
        <v>11530 S Prairie Ave </v>
      </c>
      <c r="P128" s="12">
        <v>9.0</v>
      </c>
      <c r="Q128" s="13" t="s">
        <v>237</v>
      </c>
    </row>
    <row r="129">
      <c r="A129" s="7">
        <v>400029.0</v>
      </c>
      <c r="B129" s="8" t="s">
        <v>478</v>
      </c>
      <c r="C129" s="15" t="s">
        <v>478</v>
      </c>
      <c r="D129" s="24">
        <v>0.15</v>
      </c>
      <c r="E129" s="12" t="s">
        <v>19</v>
      </c>
      <c r="F129" s="12" t="s">
        <v>19</v>
      </c>
      <c r="G129" s="8" t="str">
        <f>VLOOKUP(F129, 'Network Chiefs'!A:B, 2, FALSE)
</f>
        <v>#N/A</v>
      </c>
      <c r="H129" s="12">
        <v>34.0</v>
      </c>
      <c r="I129" s="13" t="s">
        <v>41</v>
      </c>
      <c r="J129" s="14" t="s">
        <v>204</v>
      </c>
      <c r="K129" s="14">
        <v>6.0</v>
      </c>
      <c r="L129" s="14" t="str">
        <f t="array" ref="L129">INDEX('School Rep'!$A$2:$A$21, MATCH(J129, 'School Rep'!$B$2:$B$21, 0))</f>
        <v>Jessica Biggs</v>
      </c>
      <c r="M129" s="15">
        <v>3.1</v>
      </c>
      <c r="N129" s="16" t="s">
        <v>479</v>
      </c>
      <c r="O129" s="8" t="str">
        <f t="shared" si="1"/>
        <v>110 E 61st St </v>
      </c>
      <c r="P129" s="12">
        <v>20.0</v>
      </c>
      <c r="Q129" s="13" t="s">
        <v>368</v>
      </c>
    </row>
    <row r="130">
      <c r="A130" s="7">
        <v>400030.0</v>
      </c>
      <c r="B130" s="12" t="s">
        <v>480</v>
      </c>
      <c r="C130" s="12" t="s">
        <v>480</v>
      </c>
      <c r="D130" s="24">
        <v>0.018</v>
      </c>
      <c r="E130" s="12" t="s">
        <v>19</v>
      </c>
      <c r="F130" s="12" t="s">
        <v>19</v>
      </c>
      <c r="G130" s="8" t="str">
        <f>VLOOKUP(F130, 'Network Chiefs'!A:B, 2, FALSE)
</f>
        <v>#N/A</v>
      </c>
      <c r="H130" s="12">
        <v>65.0</v>
      </c>
      <c r="I130" s="13" t="s">
        <v>52</v>
      </c>
      <c r="J130" s="14" t="s">
        <v>31</v>
      </c>
      <c r="K130" s="14">
        <v>5.0</v>
      </c>
      <c r="L130" s="14" t="str">
        <f t="array" ref="L130">INDEX('School Rep'!$A$2:$A$21, MATCH(J130, 'School Rep'!$B$2:$B$21, 0))</f>
        <v>Aaron "Jitu" Brown</v>
      </c>
      <c r="M130" s="12">
        <v>3.5</v>
      </c>
      <c r="N130" s="16" t="s">
        <v>481</v>
      </c>
      <c r="O130" s="8" t="str">
        <f t="shared" si="1"/>
        <v>2245 N Mcvicker Ave </v>
      </c>
      <c r="P130" s="12">
        <v>36.0</v>
      </c>
      <c r="Q130" s="13" t="s">
        <v>67</v>
      </c>
    </row>
    <row r="131">
      <c r="A131" s="7">
        <v>400031.0</v>
      </c>
      <c r="B131" s="8" t="s">
        <v>482</v>
      </c>
      <c r="C131" s="15" t="s">
        <v>482</v>
      </c>
      <c r="D131" s="24">
        <v>0.062</v>
      </c>
      <c r="E131" s="12" t="s">
        <v>19</v>
      </c>
      <c r="F131" s="12" t="s">
        <v>19</v>
      </c>
      <c r="G131" s="8" t="str">
        <f>VLOOKUP(F131, 'Network Chiefs'!A:B, 2, FALSE)
</f>
        <v>#N/A</v>
      </c>
      <c r="H131" s="12">
        <v>52.0</v>
      </c>
      <c r="I131" s="13" t="s">
        <v>20</v>
      </c>
      <c r="J131" s="14" t="s">
        <v>187</v>
      </c>
      <c r="K131" s="14">
        <v>9.0</v>
      </c>
      <c r="L131" s="14" t="str">
        <f t="array" ref="L131">INDEX('School Rep'!$A$2:$A$21, MATCH(J131, 'School Rep'!$B$2:$B$21, 0))</f>
        <v>Frank Niles Thomas</v>
      </c>
      <c r="M131" s="15">
        <v>3.1</v>
      </c>
      <c r="N131" s="16" t="s">
        <v>483</v>
      </c>
      <c r="O131" s="8" t="str">
        <f t="shared" si="1"/>
        <v>8130 S California Ave </v>
      </c>
      <c r="P131" s="12">
        <v>18.0</v>
      </c>
      <c r="Q131" s="13" t="s">
        <v>141</v>
      </c>
    </row>
    <row r="132">
      <c r="A132" s="7">
        <v>610347.0</v>
      </c>
      <c r="B132" s="8" t="s">
        <v>484</v>
      </c>
      <c r="C132" s="18" t="s">
        <v>485</v>
      </c>
      <c r="D132" s="19">
        <v>0.277</v>
      </c>
      <c r="E132" s="18" t="s">
        <v>80</v>
      </c>
      <c r="F132" s="18" t="s">
        <v>138</v>
      </c>
      <c r="G132" s="8" t="str">
        <f>VLOOKUP(F132, 'Network Chiefs'!A:B, 2, FALSE)
</f>
        <v>Mira Weber</v>
      </c>
      <c r="H132" s="12">
        <v>58.0</v>
      </c>
      <c r="I132" s="13" t="s">
        <v>20</v>
      </c>
      <c r="J132" s="14" t="s">
        <v>187</v>
      </c>
      <c r="K132" s="14">
        <v>9.0</v>
      </c>
      <c r="L132" s="14" t="str">
        <f t="array" ref="L132">INDEX('School Rep'!$A$2:$A$21, MATCH(J132, 'School Rep'!$B$2:$B$21, 0))</f>
        <v>Frank Niles Thomas</v>
      </c>
      <c r="M132" s="15">
        <v>3.5</v>
      </c>
      <c r="N132" s="16" t="s">
        <v>486</v>
      </c>
      <c r="O132" s="8" t="str">
        <f t="shared" si="1"/>
        <v>2300 W 64th St </v>
      </c>
      <c r="P132" s="12">
        <v>16.0</v>
      </c>
      <c r="Q132" s="13" t="s">
        <v>193</v>
      </c>
    </row>
    <row r="133">
      <c r="A133" s="7">
        <v>609795.0</v>
      </c>
      <c r="B133" s="12" t="s">
        <v>487</v>
      </c>
      <c r="C133" s="17" t="s">
        <v>488</v>
      </c>
      <c r="D133" s="10">
        <v>0.0</v>
      </c>
      <c r="E133" s="11" t="s">
        <v>80</v>
      </c>
      <c r="F133" s="11" t="s">
        <v>126</v>
      </c>
      <c r="G133" s="8" t="str">
        <f>VLOOKUP(F133, 'Network Chiefs'!A:B, 2, FALSE)
</f>
        <v>#N/A</v>
      </c>
      <c r="H133" s="12">
        <v>63.0</v>
      </c>
      <c r="I133" s="13" t="s">
        <v>52</v>
      </c>
      <c r="J133" s="14" t="s">
        <v>31</v>
      </c>
      <c r="K133" s="14">
        <v>5.0</v>
      </c>
      <c r="L133" s="14" t="str">
        <f t="array" ref="L133">INDEX('School Rep'!$A$2:$A$21, MATCH(J133, 'School Rep'!$B$2:$B$21, 0))</f>
        <v>Aaron "Jitu" Brown</v>
      </c>
      <c r="M133" s="12">
        <v>3.5</v>
      </c>
      <c r="N133" s="16" t="s">
        <v>489</v>
      </c>
      <c r="O133" s="8" t="str">
        <f t="shared" si="1"/>
        <v>1045 S Monitor Ave </v>
      </c>
      <c r="P133" s="12">
        <v>29.0</v>
      </c>
      <c r="Q133" s="13" t="s">
        <v>33</v>
      </c>
    </row>
    <row r="134">
      <c r="A134" s="7">
        <v>610244.0</v>
      </c>
      <c r="B134" s="12" t="s">
        <v>490</v>
      </c>
      <c r="C134" s="18" t="s">
        <v>491</v>
      </c>
      <c r="D134" s="19">
        <v>0.123</v>
      </c>
      <c r="E134" s="18" t="s">
        <v>80</v>
      </c>
      <c r="F134" s="18" t="s">
        <v>126</v>
      </c>
      <c r="G134" s="8" t="str">
        <f>VLOOKUP(F134, 'Network Chiefs'!A:B, 2, FALSE)
</f>
        <v>#N/A</v>
      </c>
      <c r="H134" s="12">
        <v>28.0</v>
      </c>
      <c r="I134" s="13" t="s">
        <v>41</v>
      </c>
      <c r="J134" s="14" t="s">
        <v>31</v>
      </c>
      <c r="K134" s="14">
        <v>5.0</v>
      </c>
      <c r="L134" s="14" t="str">
        <f t="array" ref="L134">INDEX('School Rep'!$A$2:$A$21, MATCH(J134, 'School Rep'!$B$2:$B$21, 0))</f>
        <v>Aaron "Jitu" Brown</v>
      </c>
      <c r="M134" s="12">
        <v>3.5</v>
      </c>
      <c r="N134" s="16" t="s">
        <v>492</v>
      </c>
      <c r="O134" s="8" t="str">
        <f t="shared" si="1"/>
        <v>5101 W Harrison St </v>
      </c>
      <c r="P134" s="12">
        <v>29.0</v>
      </c>
      <c r="Q134" s="13" t="s">
        <v>33</v>
      </c>
    </row>
    <row r="135">
      <c r="A135" s="7">
        <v>609856.0</v>
      </c>
      <c r="B135" s="13" t="s">
        <v>493</v>
      </c>
      <c r="C135" s="17" t="s">
        <v>494</v>
      </c>
      <c r="D135" s="10">
        <v>0.122</v>
      </c>
      <c r="E135" s="11" t="s">
        <v>80</v>
      </c>
      <c r="F135" s="11" t="s">
        <v>81</v>
      </c>
      <c r="G135" s="8" t="str">
        <f>VLOOKUP(F135, 'Network Chiefs'!A:B, 2, FALSE)
</f>
        <v>Dr. Terrycita D. Perry</v>
      </c>
      <c r="H135" s="12">
        <v>39.0</v>
      </c>
      <c r="I135" s="13" t="s">
        <v>41</v>
      </c>
      <c r="J135" s="14" t="s">
        <v>82</v>
      </c>
      <c r="K135" s="14">
        <v>10.0</v>
      </c>
      <c r="L135" s="14" t="str">
        <f t="array" ref="L135">INDEX('School Rep'!$A$2:$A$21, MATCH(J135, 'School Rep'!$B$2:$B$21, 0))</f>
        <v>Olga Bautista</v>
      </c>
      <c r="M135" s="12">
        <v>2.6</v>
      </c>
      <c r="N135" s="16" t="s">
        <v>495</v>
      </c>
      <c r="O135" s="8" t="str">
        <f t="shared" si="1"/>
        <v>13231 S Burley Ave </v>
      </c>
      <c r="P135" s="12">
        <v>10.0</v>
      </c>
      <c r="Q135" s="13" t="s">
        <v>84</v>
      </c>
    </row>
    <row r="136">
      <c r="A136" s="7">
        <v>609759.0</v>
      </c>
      <c r="B136" s="12" t="s">
        <v>496</v>
      </c>
      <c r="C136" s="17" t="s">
        <v>497</v>
      </c>
      <c r="D136" s="10">
        <v>0.269</v>
      </c>
      <c r="E136" s="11" t="s">
        <v>80</v>
      </c>
      <c r="F136" s="11" t="s">
        <v>108</v>
      </c>
      <c r="G136" s="8" t="str">
        <f>VLOOKUP(F136, 'Network Chiefs'!A:B, 2, FALSE)
</f>
        <v>Michael Boraz</v>
      </c>
      <c r="H136" s="12">
        <v>12.0</v>
      </c>
      <c r="I136" s="13" t="s">
        <v>30</v>
      </c>
      <c r="J136" s="14" t="s">
        <v>31</v>
      </c>
      <c r="K136" s="14">
        <v>5.0</v>
      </c>
      <c r="L136" s="14" t="str">
        <f t="array" ref="L136">INDEX('School Rep'!$A$2:$A$21, MATCH(J136, 'School Rep'!$B$2:$B$21, 0))</f>
        <v>Aaron "Jitu" Brown</v>
      </c>
      <c r="M136" s="12">
        <v>3.0</v>
      </c>
      <c r="N136" s="16" t="s">
        <v>498</v>
      </c>
      <c r="O136" s="8" t="str">
        <f t="shared" si="1"/>
        <v>1147 N Western Ave </v>
      </c>
      <c r="P136" s="12">
        <v>1.0</v>
      </c>
      <c r="Q136" s="13" t="s">
        <v>275</v>
      </c>
    </row>
    <row r="137">
      <c r="A137" s="7">
        <v>609857.0</v>
      </c>
      <c r="B137" s="12" t="s">
        <v>499</v>
      </c>
      <c r="C137" s="18" t="s">
        <v>500</v>
      </c>
      <c r="D137" s="19">
        <v>0.074</v>
      </c>
      <c r="E137" s="18" t="s">
        <v>80</v>
      </c>
      <c r="F137" s="18" t="s">
        <v>97</v>
      </c>
      <c r="G137" s="8" t="str">
        <f>VLOOKUP(F137, 'Network Chiefs'!A:B, 2, FALSE)
</f>
        <v>Julie McGlade</v>
      </c>
      <c r="H137" s="12">
        <v>65.0</v>
      </c>
      <c r="I137" s="13" t="s">
        <v>52</v>
      </c>
      <c r="J137" s="14" t="s">
        <v>47</v>
      </c>
      <c r="K137" s="14">
        <v>3.0</v>
      </c>
      <c r="L137" s="14" t="str">
        <f t="array" ref="L137">INDEX('School Rep'!$A$2:$A$21, MATCH(J137, 'School Rep'!$B$2:$B$21, 0))</f>
        <v>Norma Rios-Sierra</v>
      </c>
      <c r="M137" s="12">
        <v>2.3</v>
      </c>
      <c r="N137" s="16" t="s">
        <v>501</v>
      </c>
      <c r="O137" s="8" t="str">
        <f t="shared" si="1"/>
        <v>3121 W Byron St </v>
      </c>
      <c r="P137" s="12">
        <v>33.0</v>
      </c>
      <c r="Q137" s="13" t="s">
        <v>99</v>
      </c>
    </row>
    <row r="138">
      <c r="A138" s="7">
        <v>609859.0</v>
      </c>
      <c r="B138" s="13" t="s">
        <v>502</v>
      </c>
      <c r="C138" s="18" t="s">
        <v>503</v>
      </c>
      <c r="D138" s="19">
        <v>0.14</v>
      </c>
      <c r="E138" s="18" t="s">
        <v>80</v>
      </c>
      <c r="F138" s="18" t="s">
        <v>126</v>
      </c>
      <c r="G138" s="8" t="str">
        <f>VLOOKUP(F138, 'Network Chiefs'!A:B, 2, FALSE)
</f>
        <v>#N/A</v>
      </c>
      <c r="H138" s="12">
        <v>77.0</v>
      </c>
      <c r="I138" s="13" t="s">
        <v>52</v>
      </c>
      <c r="J138" s="14" t="s">
        <v>36</v>
      </c>
      <c r="K138" s="14">
        <v>2.0</v>
      </c>
      <c r="L138" s="14" t="str">
        <f t="array" ref="L138">INDEX('School Rep'!$A$2:$A$21, MATCH(J138, 'School Rep'!$B$2:$B$21, 0))</f>
        <v>Ebony DeBerry</v>
      </c>
      <c r="M138" s="12">
        <v>2.3</v>
      </c>
      <c r="N138" s="16" t="s">
        <v>504</v>
      </c>
      <c r="O138" s="8" t="str">
        <f t="shared" si="1"/>
        <v>6110 N Fairfield Ave </v>
      </c>
      <c r="P138" s="12">
        <v>50.0</v>
      </c>
      <c r="Q138" s="13" t="s">
        <v>131</v>
      </c>
    </row>
    <row r="139">
      <c r="A139" s="7">
        <v>609861.0</v>
      </c>
      <c r="B139" s="8" t="s">
        <v>505</v>
      </c>
      <c r="C139" s="18" t="s">
        <v>506</v>
      </c>
      <c r="D139" s="19">
        <v>0.096</v>
      </c>
      <c r="E139" s="18" t="s">
        <v>80</v>
      </c>
      <c r="F139" s="18" t="s">
        <v>138</v>
      </c>
      <c r="G139" s="8" t="str">
        <f>VLOOKUP(F139, 'Network Chiefs'!A:B, 2, FALSE)
</f>
        <v>Mira Weber</v>
      </c>
      <c r="H139" s="12">
        <v>34.0</v>
      </c>
      <c r="I139" s="13" t="s">
        <v>41</v>
      </c>
      <c r="J139" s="14" t="s">
        <v>178</v>
      </c>
      <c r="K139" s="14">
        <v>9.0</v>
      </c>
      <c r="L139" s="14" t="str">
        <f t="array" ref="L139">INDEX('School Rep'!$A$2:$A$21, MATCH(J139, 'School Rep'!$B$2:$B$21, 0))</f>
        <v>Therese Boyle</v>
      </c>
      <c r="M139" s="15">
        <v>2.2</v>
      </c>
      <c r="N139" s="16" t="s">
        <v>507</v>
      </c>
      <c r="O139" s="8" t="str">
        <f t="shared" si="1"/>
        <v>2350 W 110th Pl </v>
      </c>
      <c r="P139" s="12">
        <v>19.0</v>
      </c>
      <c r="Q139" s="13" t="s">
        <v>180</v>
      </c>
    </row>
    <row r="140">
      <c r="A140" s="7">
        <v>610199.0</v>
      </c>
      <c r="B140" s="8" t="s">
        <v>508</v>
      </c>
      <c r="C140" s="18" t="s">
        <v>509</v>
      </c>
      <c r="D140" s="19">
        <v>0.073</v>
      </c>
      <c r="E140" s="18" t="s">
        <v>80</v>
      </c>
      <c r="F140" s="18" t="s">
        <v>81</v>
      </c>
      <c r="G140" s="8" t="str">
        <f>VLOOKUP(F140, 'Network Chiefs'!A:B, 2, FALSE)
</f>
        <v>Dr. Terrycita D. Perry</v>
      </c>
      <c r="H140" s="12">
        <v>78.0</v>
      </c>
      <c r="I140" s="13" t="s">
        <v>52</v>
      </c>
      <c r="J140" s="14" t="s">
        <v>178</v>
      </c>
      <c r="K140" s="14">
        <v>9.0</v>
      </c>
      <c r="L140" s="14" t="str">
        <f t="array" ref="L140">INDEX('School Rep'!$A$2:$A$21, MATCH(J140, 'School Rep'!$B$2:$B$21, 0))</f>
        <v>Therese Boyle</v>
      </c>
      <c r="M140" s="15">
        <v>3.8</v>
      </c>
      <c r="N140" s="16" t="s">
        <v>510</v>
      </c>
      <c r="O140" s="8" t="str">
        <f t="shared" si="1"/>
        <v>1441 W 119th St </v>
      </c>
      <c r="P140" s="12">
        <v>21.0</v>
      </c>
      <c r="Q140" s="13" t="s">
        <v>428</v>
      </c>
    </row>
    <row r="141">
      <c r="A141" s="7">
        <v>609862.0</v>
      </c>
      <c r="B141" s="13" t="s">
        <v>511</v>
      </c>
      <c r="C141" s="18" t="s">
        <v>512</v>
      </c>
      <c r="D141" s="19">
        <v>0.194</v>
      </c>
      <c r="E141" s="18" t="s">
        <v>80</v>
      </c>
      <c r="F141" s="18" t="s">
        <v>144</v>
      </c>
      <c r="G141" s="8" t="str">
        <f>VLOOKUP(F141, 'Network Chiefs'!A:B, 2, FALSE)
</f>
        <v>Shenethe Parks</v>
      </c>
      <c r="H141" s="12">
        <v>59.0</v>
      </c>
      <c r="I141" s="13" t="s">
        <v>20</v>
      </c>
      <c r="J141" s="14" t="s">
        <v>82</v>
      </c>
      <c r="K141" s="14">
        <v>10.0</v>
      </c>
      <c r="L141" s="14" t="str">
        <f t="array" ref="L141">INDEX('School Rep'!$A$2:$A$21, MATCH(J141, 'School Rep'!$B$2:$B$21, 0))</f>
        <v>Olga Bautista</v>
      </c>
      <c r="M141" s="12">
        <v>3.6</v>
      </c>
      <c r="N141" s="16" t="s">
        <v>513</v>
      </c>
      <c r="O141" s="8" t="str">
        <f t="shared" si="1"/>
        <v>8441 S Yates Blvd </v>
      </c>
      <c r="P141" s="12">
        <v>7.0</v>
      </c>
      <c r="Q141" s="13" t="s">
        <v>260</v>
      </c>
    </row>
    <row r="142">
      <c r="A142" s="7">
        <v>610499.0</v>
      </c>
      <c r="B142" s="8" t="s">
        <v>514</v>
      </c>
      <c r="C142" s="18" t="s">
        <v>515</v>
      </c>
      <c r="D142" s="19">
        <v>0.115</v>
      </c>
      <c r="E142" s="18" t="s">
        <v>80</v>
      </c>
      <c r="F142" s="18" t="s">
        <v>108</v>
      </c>
      <c r="G142" s="8" t="str">
        <f>VLOOKUP(F142, 'Network Chiefs'!A:B, 2, FALSE)
</f>
        <v>Michael Boraz</v>
      </c>
      <c r="H142" s="12">
        <v>60.0</v>
      </c>
      <c r="I142" s="13" t="s">
        <v>52</v>
      </c>
      <c r="J142" s="15" t="s">
        <v>384</v>
      </c>
      <c r="K142" s="15" t="s">
        <v>384</v>
      </c>
      <c r="L142" s="15" t="s">
        <v>384</v>
      </c>
      <c r="M142" s="12">
        <v>3.4</v>
      </c>
      <c r="N142" s="16" t="s">
        <v>516</v>
      </c>
      <c r="O142" s="8" t="str">
        <f t="shared" si="1"/>
        <v>1313 S Sacramento Dr </v>
      </c>
      <c r="P142" s="12">
        <v>24.0</v>
      </c>
      <c r="Q142" s="13" t="s">
        <v>517</v>
      </c>
    </row>
    <row r="143">
      <c r="A143" s="7">
        <v>610170.0</v>
      </c>
      <c r="B143" s="8" t="s">
        <v>518</v>
      </c>
      <c r="C143" s="18" t="s">
        <v>519</v>
      </c>
      <c r="D143" s="19">
        <v>0.075</v>
      </c>
      <c r="E143" s="18" t="s">
        <v>80</v>
      </c>
      <c r="F143" s="18" t="s">
        <v>126</v>
      </c>
      <c r="G143" s="8" t="str">
        <f>VLOOKUP(F143, 'Network Chiefs'!A:B, 2, FALSE)
</f>
        <v>#N/A</v>
      </c>
      <c r="H143" s="12">
        <v>76.0</v>
      </c>
      <c r="I143" s="13" t="s">
        <v>52</v>
      </c>
      <c r="J143" s="14" t="s">
        <v>21</v>
      </c>
      <c r="K143" s="14">
        <v>7.0</v>
      </c>
      <c r="L143" s="14" t="str">
        <f t="array" ref="L143">INDEX('School Rep'!$A$2:$A$21, MATCH(J143, 'School Rep'!$B$2:$B$21, 0))</f>
        <v>Yesenia Lopez</v>
      </c>
      <c r="M143" s="15">
        <v>3.7</v>
      </c>
      <c r="N143" s="16" t="s">
        <v>520</v>
      </c>
      <c r="O143" s="8" t="str">
        <f t="shared" si="1"/>
        <v>4520 S Kedzie Ave </v>
      </c>
      <c r="P143" s="12">
        <v>12.0</v>
      </c>
      <c r="Q143" s="13" t="s">
        <v>23</v>
      </c>
    </row>
    <row r="144">
      <c r="A144" s="7">
        <v>609864.0</v>
      </c>
      <c r="B144" s="8" t="s">
        <v>521</v>
      </c>
      <c r="C144" s="9" t="s">
        <v>522</v>
      </c>
      <c r="D144" s="10">
        <v>0.257</v>
      </c>
      <c r="E144" s="11" t="s">
        <v>80</v>
      </c>
      <c r="F144" s="11" t="s">
        <v>186</v>
      </c>
      <c r="G144" s="8" t="str">
        <f>VLOOKUP(F144, 'Network Chiefs'!A:B, 2, FALSE)
</f>
        <v>Latasha Geverola</v>
      </c>
      <c r="H144" s="12">
        <v>17.0</v>
      </c>
      <c r="I144" s="13" t="s">
        <v>30</v>
      </c>
      <c r="J144" s="14" t="s">
        <v>187</v>
      </c>
      <c r="K144" s="14">
        <v>9.0</v>
      </c>
      <c r="L144" s="14" t="str">
        <f t="array" ref="L144">INDEX('School Rep'!$A$2:$A$21, MATCH(J144, 'School Rep'!$B$2:$B$21, 0))</f>
        <v>Frank Niles Thomas</v>
      </c>
      <c r="M144" s="15">
        <v>2.9</v>
      </c>
      <c r="N144" s="16" t="s">
        <v>523</v>
      </c>
      <c r="O144" s="8" t="str">
        <f t="shared" si="1"/>
        <v>8150 S Bishop St </v>
      </c>
      <c r="P144" s="12">
        <v>17.0</v>
      </c>
      <c r="Q144" s="13" t="s">
        <v>189</v>
      </c>
    </row>
    <row r="145">
      <c r="A145" s="7">
        <v>609866.0</v>
      </c>
      <c r="B145" s="12" t="s">
        <v>524</v>
      </c>
      <c r="C145" s="18" t="s">
        <v>525</v>
      </c>
      <c r="D145" s="19">
        <v>0.02</v>
      </c>
      <c r="E145" s="18" t="s">
        <v>80</v>
      </c>
      <c r="F145" s="18" t="s">
        <v>270</v>
      </c>
      <c r="G145" s="8" t="str">
        <f>VLOOKUP(F145, 'Network Chiefs'!A:B, 2, FALSE)
</f>
        <v>Marilou Rebolledo</v>
      </c>
      <c r="H145" s="12">
        <v>28.0</v>
      </c>
      <c r="I145" s="13" t="s">
        <v>41</v>
      </c>
      <c r="J145" s="14" t="s">
        <v>103</v>
      </c>
      <c r="K145" s="14">
        <v>4.0</v>
      </c>
      <c r="L145" s="14" t="str">
        <f t="array" ref="L145">INDEX('School Rep'!$A$2:$A$21, MATCH(J145, 'School Rep'!$B$2:$B$21, 0))</f>
        <v>Ellen Rosenfeld</v>
      </c>
      <c r="M145" s="12">
        <v>1.9</v>
      </c>
      <c r="N145" s="16" t="s">
        <v>526</v>
      </c>
      <c r="O145" s="8" t="str">
        <f t="shared" si="1"/>
        <v>4046 N Leavitt St </v>
      </c>
      <c r="P145" s="12">
        <v>47.0</v>
      </c>
      <c r="Q145" s="13" t="s">
        <v>228</v>
      </c>
    </row>
    <row r="146">
      <c r="A146" s="7">
        <v>609867.0</v>
      </c>
      <c r="B146" s="8" t="s">
        <v>527</v>
      </c>
      <c r="C146" s="18" t="s">
        <v>528</v>
      </c>
      <c r="D146" s="19">
        <v>0.046</v>
      </c>
      <c r="E146" s="18" t="s">
        <v>80</v>
      </c>
      <c r="F146" s="18" t="s">
        <v>529</v>
      </c>
      <c r="G146" s="8" t="str">
        <f>VLOOKUP(F146, 'Network Chiefs'!A:B, 2, FALSE)
</f>
        <v>Dr. Antonio Acevedo</v>
      </c>
      <c r="H146" s="12">
        <v>41.0</v>
      </c>
      <c r="I146" s="13" t="s">
        <v>20</v>
      </c>
      <c r="J146" s="14" t="s">
        <v>42</v>
      </c>
      <c r="K146" s="14">
        <v>7.0</v>
      </c>
      <c r="L146" s="14" t="str">
        <f t="array" ref="L146">INDEX('School Rep'!$A$2:$A$21, MATCH(J146, 'School Rep'!$B$2:$B$21, 0))</f>
        <v>Emma Lozano</v>
      </c>
      <c r="M146" s="15">
        <v>3.2</v>
      </c>
      <c r="N146" s="16" t="s">
        <v>530</v>
      </c>
      <c r="O146" s="8" t="str">
        <f t="shared" si="1"/>
        <v>1624 W 19th St </v>
      </c>
      <c r="P146" s="12">
        <v>25.0</v>
      </c>
      <c r="Q146" s="13" t="s">
        <v>44</v>
      </c>
    </row>
    <row r="147">
      <c r="A147" s="7">
        <v>609870.0</v>
      </c>
      <c r="B147" s="8" t="s">
        <v>531</v>
      </c>
      <c r="C147" s="18" t="s">
        <v>532</v>
      </c>
      <c r="D147" s="19">
        <v>0.145</v>
      </c>
      <c r="E147" s="18" t="s">
        <v>80</v>
      </c>
      <c r="F147" s="18" t="s">
        <v>529</v>
      </c>
      <c r="G147" s="8" t="str">
        <f>VLOOKUP(F147, 'Network Chiefs'!A:B, 2, FALSE)
</f>
        <v>Dr. Antonio Acevedo</v>
      </c>
      <c r="H147" s="12">
        <v>43.0</v>
      </c>
      <c r="I147" s="13" t="s">
        <v>20</v>
      </c>
      <c r="J147" s="14" t="s">
        <v>42</v>
      </c>
      <c r="K147" s="14">
        <v>7.0</v>
      </c>
      <c r="L147" s="14" t="str">
        <f t="array" ref="L147">INDEX('School Rep'!$A$2:$A$21, MATCH(J147, 'School Rep'!$B$2:$B$21, 0))</f>
        <v>Emma Lozano</v>
      </c>
      <c r="M147" s="15">
        <v>3.5</v>
      </c>
      <c r="N147" s="16" t="s">
        <v>533</v>
      </c>
      <c r="O147" s="8" t="str">
        <f t="shared" si="1"/>
        <v>2510 S Kildare Ave </v>
      </c>
      <c r="P147" s="12">
        <v>22.0</v>
      </c>
      <c r="Q147" s="13" t="s">
        <v>353</v>
      </c>
    </row>
    <row r="148">
      <c r="A148" s="7">
        <v>609761.0</v>
      </c>
      <c r="B148" s="13" t="s">
        <v>534</v>
      </c>
      <c r="C148" s="18" t="s">
        <v>535</v>
      </c>
      <c r="D148" s="19">
        <v>0.202</v>
      </c>
      <c r="E148" s="18" t="s">
        <v>80</v>
      </c>
      <c r="F148" s="18" t="s">
        <v>263</v>
      </c>
      <c r="G148" s="8" t="str">
        <f>VLOOKUP(F148, 'Network Chiefs'!A:B, 2, FALSE)
</f>
        <v>Myron Hester</v>
      </c>
      <c r="H148" s="12">
        <v>33.0</v>
      </c>
      <c r="I148" s="13" t="s">
        <v>41</v>
      </c>
      <c r="J148" s="14" t="s">
        <v>82</v>
      </c>
      <c r="K148" s="14">
        <v>10.0</v>
      </c>
      <c r="L148" s="14" t="str">
        <f t="array" ref="L148">INDEX('School Rep'!$A$2:$A$21, MATCH(J148, 'School Rep'!$B$2:$B$21, 0))</f>
        <v>Olga Bautista</v>
      </c>
      <c r="M148" s="12">
        <v>3.6</v>
      </c>
      <c r="N148" s="16" t="s">
        <v>536</v>
      </c>
      <c r="O148" s="8" t="str">
        <f t="shared" si="1"/>
        <v>821 E 103rd St </v>
      </c>
      <c r="P148" s="12">
        <v>9.0</v>
      </c>
      <c r="Q148" s="13" t="s">
        <v>237</v>
      </c>
    </row>
    <row r="149">
      <c r="A149" s="7">
        <v>610355.0</v>
      </c>
      <c r="B149" s="12" t="s">
        <v>537</v>
      </c>
      <c r="C149" s="18" t="s">
        <v>538</v>
      </c>
      <c r="D149" s="19">
        <v>0.357</v>
      </c>
      <c r="E149" s="18" t="s">
        <v>80</v>
      </c>
      <c r="F149" s="18" t="s">
        <v>270</v>
      </c>
      <c r="G149" s="8" t="str">
        <f>VLOOKUP(F149, 'Network Chiefs'!A:B, 2, FALSE)
</f>
        <v>Marilou Rebolledo</v>
      </c>
      <c r="H149" s="12">
        <v>56.0</v>
      </c>
      <c r="I149" s="13" t="s">
        <v>20</v>
      </c>
      <c r="J149" s="14" t="s">
        <v>243</v>
      </c>
      <c r="K149" s="14">
        <v>4.0</v>
      </c>
      <c r="L149" s="14" t="str">
        <f t="array" ref="L149">INDEX('School Rep'!$A$2:$A$21, MATCH(J149, 'School Rep'!$B$2:$B$21, 0))</f>
        <v>Karen Zaccor</v>
      </c>
      <c r="M149" s="12">
        <v>3.3</v>
      </c>
      <c r="N149" s="16" t="s">
        <v>539</v>
      </c>
      <c r="O149" s="8" t="str">
        <f t="shared" si="1"/>
        <v>4420 N Beacon St </v>
      </c>
      <c r="P149" s="12">
        <v>46.0</v>
      </c>
      <c r="Q149" s="13" t="s">
        <v>245</v>
      </c>
    </row>
    <row r="150">
      <c r="A150" s="7">
        <v>610561.0</v>
      </c>
      <c r="B150" s="12" t="s">
        <v>540</v>
      </c>
      <c r="C150" s="11" t="s">
        <v>541</v>
      </c>
      <c r="D150" s="10">
        <v>0.161</v>
      </c>
      <c r="E150" s="11" t="s">
        <v>80</v>
      </c>
      <c r="F150" s="11" t="s">
        <v>108</v>
      </c>
      <c r="G150" s="8" t="str">
        <f>VLOOKUP(F150, 'Network Chiefs'!A:B, 2, FALSE)
</f>
        <v>Michael Boraz</v>
      </c>
      <c r="H150" s="12">
        <v>60.0</v>
      </c>
      <c r="I150" s="13" t="s">
        <v>52</v>
      </c>
      <c r="J150" s="14" t="s">
        <v>217</v>
      </c>
      <c r="K150" s="14">
        <v>5.0</v>
      </c>
      <c r="L150" s="14" t="str">
        <f t="array" ref="L150">INDEX('School Rep'!$A$2:$A$21, MATCH(J150, 'School Rep'!$B$2:$B$21, 0))</f>
        <v>Michilla Blaise</v>
      </c>
      <c r="M150" s="12">
        <v>3.3</v>
      </c>
      <c r="N150" s="16" t="s">
        <v>542</v>
      </c>
      <c r="O150" s="8" t="str">
        <f t="shared" si="1"/>
        <v>2245 W Jackson Blvd </v>
      </c>
      <c r="P150" s="12">
        <v>27.0</v>
      </c>
      <c r="Q150" s="13" t="s">
        <v>219</v>
      </c>
    </row>
    <row r="151">
      <c r="A151" s="7">
        <v>609873.0</v>
      </c>
      <c r="B151" s="8" t="s">
        <v>543</v>
      </c>
      <c r="C151" s="18" t="s">
        <v>544</v>
      </c>
      <c r="D151" s="19">
        <v>0.181</v>
      </c>
      <c r="E151" s="18" t="s">
        <v>80</v>
      </c>
      <c r="F151" s="18" t="s">
        <v>216</v>
      </c>
      <c r="G151" s="8" t="str">
        <f>VLOOKUP(F151, 'Network Chiefs'!A:B, 2, FALSE)
</f>
        <v>Shontae Higginbottom</v>
      </c>
      <c r="H151" s="12">
        <v>23.0</v>
      </c>
      <c r="I151" s="13" t="s">
        <v>41</v>
      </c>
      <c r="J151" s="14" t="s">
        <v>217</v>
      </c>
      <c r="K151" s="14">
        <v>5.0</v>
      </c>
      <c r="L151" s="14" t="str">
        <f t="array" ref="L151">INDEX('School Rep'!$A$2:$A$21, MATCH(J151, 'School Rep'!$B$2:$B$21, 0))</f>
        <v>Michilla Blaise</v>
      </c>
      <c r="M151" s="15">
        <v>3.8</v>
      </c>
      <c r="N151" s="16" t="s">
        <v>545</v>
      </c>
      <c r="O151" s="8" t="str">
        <f t="shared" si="1"/>
        <v>2128 S Saint Louis Ave </v>
      </c>
      <c r="P151" s="12">
        <v>24.0</v>
      </c>
      <c r="Q151" s="13" t="s">
        <v>517</v>
      </c>
    </row>
    <row r="152">
      <c r="A152" s="7">
        <v>610003.0</v>
      </c>
      <c r="B152" s="8" t="s">
        <v>546</v>
      </c>
      <c r="C152" s="18" t="s">
        <v>547</v>
      </c>
      <c r="D152" s="19">
        <v>0.123</v>
      </c>
      <c r="E152" s="18" t="s">
        <v>80</v>
      </c>
      <c r="F152" s="18" t="s">
        <v>186</v>
      </c>
      <c r="G152" s="8" t="str">
        <f>VLOOKUP(F152, 'Network Chiefs'!A:B, 2, FALSE)
</f>
        <v>Latasha Geverola</v>
      </c>
      <c r="H152" s="12">
        <v>60.0</v>
      </c>
      <c r="I152" s="13" t="s">
        <v>52</v>
      </c>
      <c r="J152" s="14" t="s">
        <v>187</v>
      </c>
      <c r="K152" s="14">
        <v>9.0</v>
      </c>
      <c r="L152" s="14" t="str">
        <f t="array" ref="L152">INDEX('School Rep'!$A$2:$A$21, MATCH(J152, 'School Rep'!$B$2:$B$21, 0))</f>
        <v>Frank Niles Thomas</v>
      </c>
      <c r="M152" s="15">
        <v>2.8</v>
      </c>
      <c r="N152" s="16" t="s">
        <v>548</v>
      </c>
      <c r="O152" s="8" t="str">
        <f t="shared" si="1"/>
        <v>8324 S Racine Ave </v>
      </c>
      <c r="P152" s="12">
        <v>17.0</v>
      </c>
      <c r="Q152" s="13" t="s">
        <v>189</v>
      </c>
    </row>
    <row r="153">
      <c r="A153" s="7">
        <v>610004.0</v>
      </c>
      <c r="B153" s="8" t="s">
        <v>549</v>
      </c>
      <c r="C153" s="18" t="s">
        <v>550</v>
      </c>
      <c r="D153" s="19">
        <v>0.245</v>
      </c>
      <c r="E153" s="18" t="s">
        <v>80</v>
      </c>
      <c r="F153" s="18" t="s">
        <v>81</v>
      </c>
      <c r="G153" s="8" t="str">
        <f>VLOOKUP(F153, 'Network Chiefs'!A:B, 2, FALSE)
</f>
        <v>Dr. Terrycita D. Perry</v>
      </c>
      <c r="H153" s="12">
        <v>48.0</v>
      </c>
      <c r="I153" s="13" t="s">
        <v>20</v>
      </c>
      <c r="J153" s="14" t="s">
        <v>178</v>
      </c>
      <c r="K153" s="14">
        <v>9.0</v>
      </c>
      <c r="L153" s="14" t="str">
        <f t="array" ref="L153">INDEX('School Rep'!$A$2:$A$21, MATCH(J153, 'School Rep'!$B$2:$B$21, 0))</f>
        <v>Therese Boyle</v>
      </c>
      <c r="M153" s="15">
        <v>3.6</v>
      </c>
      <c r="N153" s="16" t="s">
        <v>551</v>
      </c>
      <c r="O153" s="8" t="str">
        <f t="shared" si="1"/>
        <v>10650 S Eberhart Ave </v>
      </c>
      <c r="P153" s="12">
        <v>9.0</v>
      </c>
      <c r="Q153" s="13" t="s">
        <v>237</v>
      </c>
    </row>
    <row r="154">
      <c r="A154" s="7">
        <v>609756.0</v>
      </c>
      <c r="B154" s="8" t="s">
        <v>552</v>
      </c>
      <c r="C154" s="9" t="s">
        <v>553</v>
      </c>
      <c r="D154" s="10">
        <v>0.104</v>
      </c>
      <c r="E154" s="11" t="s">
        <v>80</v>
      </c>
      <c r="F154" s="11" t="s">
        <v>108</v>
      </c>
      <c r="G154" s="8" t="str">
        <f>VLOOKUP(F154, 'Network Chiefs'!A:B, 2, FALSE)
</f>
        <v>Michael Boraz</v>
      </c>
      <c r="H154" s="12">
        <v>25.0</v>
      </c>
      <c r="I154" s="13" t="s">
        <v>41</v>
      </c>
      <c r="J154" s="14" t="s">
        <v>21</v>
      </c>
      <c r="K154" s="14">
        <v>7.0</v>
      </c>
      <c r="L154" s="14" t="str">
        <f t="array" ref="L154">INDEX('School Rep'!$A$2:$A$21, MATCH(J154, 'School Rep'!$B$2:$B$21, 0))</f>
        <v>Yesenia Lopez</v>
      </c>
      <c r="M154" s="15">
        <v>2.6</v>
      </c>
      <c r="N154" s="16" t="s">
        <v>554</v>
      </c>
      <c r="O154" s="8" t="str">
        <f t="shared" si="1"/>
        <v>4959 S Archer Ave </v>
      </c>
      <c r="P154" s="12">
        <v>14.0</v>
      </c>
      <c r="Q154" s="13" t="s">
        <v>54</v>
      </c>
    </row>
    <row r="155">
      <c r="A155" s="7">
        <v>609900.0</v>
      </c>
      <c r="B155" s="8" t="s">
        <v>555</v>
      </c>
      <c r="C155" s="9" t="s">
        <v>556</v>
      </c>
      <c r="D155" s="10">
        <v>0.311</v>
      </c>
      <c r="E155" s="11" t="s">
        <v>80</v>
      </c>
      <c r="F155" s="11" t="s">
        <v>81</v>
      </c>
      <c r="G155" s="8" t="str">
        <f>VLOOKUP(F155, 'Network Chiefs'!A:B, 2, FALSE)
</f>
        <v>Dr. Terrycita D. Perry</v>
      </c>
      <c r="H155" s="12">
        <v>35.0</v>
      </c>
      <c r="I155" s="13" t="s">
        <v>41</v>
      </c>
      <c r="J155" s="14" t="s">
        <v>178</v>
      </c>
      <c r="K155" s="14">
        <v>9.0</v>
      </c>
      <c r="L155" s="14" t="str">
        <f t="array" ref="L155">INDEX('School Rep'!$A$2:$A$21, MATCH(J155, 'School Rep'!$B$2:$B$21, 0))</f>
        <v>Therese Boyle</v>
      </c>
      <c r="M155" s="15">
        <v>3.6</v>
      </c>
      <c r="N155" s="16" t="s">
        <v>557</v>
      </c>
      <c r="O155" s="8" t="str">
        <f t="shared" si="1"/>
        <v>32 E 115th St </v>
      </c>
      <c r="P155" s="12">
        <v>9.0</v>
      </c>
      <c r="Q155" s="13" t="s">
        <v>237</v>
      </c>
    </row>
    <row r="156">
      <c r="A156" s="7">
        <v>609833.0</v>
      </c>
      <c r="B156" s="8" t="s">
        <v>558</v>
      </c>
      <c r="C156" s="20" t="s">
        <v>559</v>
      </c>
      <c r="D156" s="21">
        <v>0.19</v>
      </c>
      <c r="E156" s="20" t="s">
        <v>80</v>
      </c>
      <c r="F156" s="20" t="s">
        <v>126</v>
      </c>
      <c r="G156" s="8" t="str">
        <f>VLOOKUP(F156, 'Network Chiefs'!A:B, 2, FALSE)
</f>
        <v>#N/A</v>
      </c>
      <c r="H156" s="12">
        <v>54.0</v>
      </c>
      <c r="I156" s="13" t="s">
        <v>20</v>
      </c>
      <c r="J156" s="14"/>
      <c r="K156" s="14"/>
      <c r="L156" s="14" t="str">
        <f t="array" ref="L156">INDEX('School Rep'!$A$2:$A$21, MATCH(J156, 'School Rep'!$B$2:$B$21, 0))</f>
        <v>#N/A</v>
      </c>
      <c r="M156" s="15">
        <v>2.9</v>
      </c>
      <c r="N156" s="16" t="s">
        <v>560</v>
      </c>
      <c r="O156" s="8" t="str">
        <f t="shared" si="1"/>
        <v>8546 S Cregier Ave </v>
      </c>
      <c r="P156" s="12">
        <v>8.0</v>
      </c>
      <c r="Q156" s="13" t="s">
        <v>135</v>
      </c>
    </row>
    <row r="157">
      <c r="A157" s="7">
        <v>610239.0</v>
      </c>
      <c r="B157" s="8" t="s">
        <v>561</v>
      </c>
      <c r="C157" s="18" t="s">
        <v>562</v>
      </c>
      <c r="D157" s="19">
        <v>0.127</v>
      </c>
      <c r="E157" s="18" t="s">
        <v>80</v>
      </c>
      <c r="F157" s="18" t="s">
        <v>285</v>
      </c>
      <c r="G157" s="8" t="str">
        <f>VLOOKUP(F157, 'Network Chiefs'!A:B, 2, FALSE)
</f>
        <v>Gilberto Piedrahita</v>
      </c>
      <c r="H157" s="12">
        <v>25.0</v>
      </c>
      <c r="I157" s="13" t="s">
        <v>41</v>
      </c>
      <c r="J157" s="14" t="s">
        <v>26</v>
      </c>
      <c r="K157" s="14">
        <v>8.0</v>
      </c>
      <c r="L157" s="14" t="str">
        <f t="array" ref="L157">INDEX('School Rep'!$A$2:$A$21, MATCH(J157, 'School Rep'!$B$2:$B$21, 0))</f>
        <v>Cydney Wallace</v>
      </c>
      <c r="M157" s="15">
        <v>4.0</v>
      </c>
      <c r="N157" s="16" t="s">
        <v>563</v>
      </c>
      <c r="O157" s="8" t="str">
        <f t="shared" si="1"/>
        <v>5024 S Wolcott Ave </v>
      </c>
      <c r="P157" s="12">
        <v>20.0</v>
      </c>
      <c r="Q157" s="13" t="s">
        <v>368</v>
      </c>
    </row>
    <row r="158">
      <c r="A158" s="7">
        <v>609875.0</v>
      </c>
      <c r="B158" s="12" t="s">
        <v>564</v>
      </c>
      <c r="C158" s="18" t="s">
        <v>565</v>
      </c>
      <c r="D158" s="19">
        <v>0.087</v>
      </c>
      <c r="E158" s="18" t="s">
        <v>80</v>
      </c>
      <c r="F158" s="18" t="s">
        <v>102</v>
      </c>
      <c r="G158" s="8" t="str">
        <f>VLOOKUP(F158, 'Network Chiefs'!A:B, 2, FALSE)
</f>
        <v>Jerry Travlos</v>
      </c>
      <c r="H158" s="12">
        <v>57.0</v>
      </c>
      <c r="I158" s="13" t="s">
        <v>20</v>
      </c>
      <c r="J158" s="14" t="s">
        <v>232</v>
      </c>
      <c r="K158" s="14">
        <v>3.0</v>
      </c>
      <c r="L158" s="14" t="str">
        <f t="array" ref="L158">INDEX('School Rep'!$A$2:$A$21, MATCH(J158, 'School Rep'!$B$2:$B$21, 0))</f>
        <v>Carlos Rivas</v>
      </c>
      <c r="M158" s="12">
        <v>2.4</v>
      </c>
      <c r="N158" s="16" t="s">
        <v>566</v>
      </c>
      <c r="O158" s="8" t="str">
        <f t="shared" si="1"/>
        <v>3116 W Belden Ave </v>
      </c>
      <c r="P158" s="12">
        <v>35.0</v>
      </c>
      <c r="Q158" s="13" t="s">
        <v>49</v>
      </c>
    </row>
    <row r="159">
      <c r="A159" s="7">
        <v>610521.0</v>
      </c>
      <c r="B159" s="8" t="s">
        <v>567</v>
      </c>
      <c r="C159" s="18" t="s">
        <v>568</v>
      </c>
      <c r="D159" s="19">
        <v>0.0</v>
      </c>
      <c r="E159" s="18" t="s">
        <v>80</v>
      </c>
      <c r="F159" s="18" t="s">
        <v>126</v>
      </c>
      <c r="G159" s="8" t="str">
        <f>VLOOKUP(F159, 'Network Chiefs'!A:B, 2, FALSE)
</f>
        <v>#N/A</v>
      </c>
      <c r="H159" s="12">
        <v>56.0</v>
      </c>
      <c r="I159" s="13" t="s">
        <v>20</v>
      </c>
      <c r="J159" s="14" t="s">
        <v>187</v>
      </c>
      <c r="K159" s="14">
        <v>9.0</v>
      </c>
      <c r="L159" s="14" t="str">
        <f t="array" ref="L159">INDEX('School Rep'!$A$2:$A$21, MATCH(J159, 'School Rep'!$B$2:$B$21, 0))</f>
        <v>Frank Niles Thomas</v>
      </c>
      <c r="M159" s="15">
        <v>3.3</v>
      </c>
      <c r="N159" s="16" t="s">
        <v>569</v>
      </c>
      <c r="O159" s="8" t="str">
        <f t="shared" si="1"/>
        <v>6740 S Paulina St </v>
      </c>
      <c r="P159" s="12">
        <v>16.0</v>
      </c>
      <c r="Q159" s="13" t="s">
        <v>193</v>
      </c>
    </row>
    <row r="160">
      <c r="A160" s="7">
        <v>609876.0</v>
      </c>
      <c r="B160" s="8" t="s">
        <v>570</v>
      </c>
      <c r="C160" s="18" t="s">
        <v>571</v>
      </c>
      <c r="D160" s="19">
        <v>0.122</v>
      </c>
      <c r="E160" s="18" t="s">
        <v>80</v>
      </c>
      <c r="F160" s="18" t="s">
        <v>285</v>
      </c>
      <c r="G160" s="8" t="str">
        <f>VLOOKUP(F160, 'Network Chiefs'!A:B, 2, FALSE)
</f>
        <v>Gilberto Piedrahita</v>
      </c>
      <c r="H160" s="12">
        <v>17.0</v>
      </c>
      <c r="I160" s="13" t="s">
        <v>30</v>
      </c>
      <c r="J160" s="14" t="s">
        <v>21</v>
      </c>
      <c r="K160" s="14">
        <v>7.0</v>
      </c>
      <c r="L160" s="14" t="str">
        <f t="array" ref="L160">INDEX('School Rep'!$A$2:$A$21, MATCH(J160, 'School Rep'!$B$2:$B$21, 0))</f>
        <v>Yesenia Lopez</v>
      </c>
      <c r="M160" s="15">
        <v>3.4</v>
      </c>
      <c r="N160" s="16" t="s">
        <v>572</v>
      </c>
      <c r="O160" s="8" t="str">
        <f t="shared" si="1"/>
        <v>3014 W 39th Pl </v>
      </c>
      <c r="P160" s="12">
        <v>12.0</v>
      </c>
      <c r="Q160" s="13" t="s">
        <v>23</v>
      </c>
    </row>
    <row r="161">
      <c r="A161" s="7">
        <v>609879.0</v>
      </c>
      <c r="B161" s="8" t="s">
        <v>573</v>
      </c>
      <c r="C161" s="18" t="s">
        <v>574</v>
      </c>
      <c r="D161" s="19">
        <v>0.078</v>
      </c>
      <c r="E161" s="18" t="s">
        <v>80</v>
      </c>
      <c r="F161" s="18" t="s">
        <v>138</v>
      </c>
      <c r="G161" s="8" t="str">
        <f>VLOOKUP(F161, 'Network Chiefs'!A:B, 2, FALSE)
</f>
        <v>Mira Weber</v>
      </c>
      <c r="H161" s="12">
        <v>58.0</v>
      </c>
      <c r="I161" s="13" t="s">
        <v>20</v>
      </c>
      <c r="J161" s="14" t="s">
        <v>139</v>
      </c>
      <c r="K161" s="14">
        <v>8.0</v>
      </c>
      <c r="L161" s="14" t="str">
        <f t="array" ref="L161">INDEX('School Rep'!$A$2:$A$21, MATCH(J161, 'School Rep'!$B$2:$B$21, 0))</f>
        <v>Angel Gutierrez</v>
      </c>
      <c r="M161" s="15">
        <v>2.8</v>
      </c>
      <c r="N161" s="16" t="s">
        <v>575</v>
      </c>
      <c r="O161" s="8" t="str">
        <f t="shared" si="1"/>
        <v>3810 W 81st Pl </v>
      </c>
      <c r="P161" s="12">
        <v>18.0</v>
      </c>
      <c r="Q161" s="13" t="s">
        <v>141</v>
      </c>
    </row>
    <row r="162">
      <c r="A162" s="7">
        <v>610313.0</v>
      </c>
      <c r="B162" s="8" t="s">
        <v>576</v>
      </c>
      <c r="C162" s="18" t="s">
        <v>577</v>
      </c>
      <c r="D162" s="19">
        <v>0.087</v>
      </c>
      <c r="E162" s="18" t="s">
        <v>80</v>
      </c>
      <c r="F162" s="18" t="s">
        <v>216</v>
      </c>
      <c r="G162" s="8" t="str">
        <f>VLOOKUP(F162, 'Network Chiefs'!A:B, 2, FALSE)
</f>
        <v>Shontae Higginbottom</v>
      </c>
      <c r="H162" s="12">
        <v>47.0</v>
      </c>
      <c r="I162" s="13" t="s">
        <v>20</v>
      </c>
      <c r="J162" s="14" t="s">
        <v>462</v>
      </c>
      <c r="K162" s="14">
        <v>6.0</v>
      </c>
      <c r="L162" s="14" t="str">
        <f t="array" ref="L162">INDEX('School Rep'!$A$2:$A$21, MATCH(J162, 'School Rep'!$B$2:$B$21, 0))</f>
        <v>Anusha Thotakura</v>
      </c>
      <c r="M162" s="15">
        <v>2.9</v>
      </c>
      <c r="N162" s="16" t="s">
        <v>578</v>
      </c>
      <c r="O162" s="8" t="str">
        <f t="shared" si="1"/>
        <v>1313 N Claremont Ave </v>
      </c>
      <c r="P162" s="12">
        <v>1.0</v>
      </c>
      <c r="Q162" s="13" t="s">
        <v>275</v>
      </c>
    </row>
    <row r="163">
      <c r="A163" s="7">
        <v>609880.0</v>
      </c>
      <c r="B163" s="13" t="s">
        <v>579</v>
      </c>
      <c r="C163" s="18" t="s">
        <v>580</v>
      </c>
      <c r="D163" s="19">
        <v>0.0</v>
      </c>
      <c r="E163" s="18" t="s">
        <v>80</v>
      </c>
      <c r="F163" s="18" t="s">
        <v>270</v>
      </c>
      <c r="G163" s="8" t="str">
        <f>VLOOKUP(F163, 'Network Chiefs'!A:B, 2, FALSE)
</f>
        <v>Marilou Rebolledo</v>
      </c>
      <c r="H163" s="12">
        <v>82.0</v>
      </c>
      <c r="I163" s="13" t="s">
        <v>248</v>
      </c>
      <c r="J163" s="14" t="s">
        <v>36</v>
      </c>
      <c r="K163" s="14">
        <v>2.0</v>
      </c>
      <c r="L163" s="14" t="str">
        <f t="array" ref="L163">INDEX('School Rep'!$A$2:$A$21, MATCH(J163, 'School Rep'!$B$2:$B$21, 0))</f>
        <v>Ebony DeBerry</v>
      </c>
      <c r="M163" s="12">
        <v>1.7</v>
      </c>
      <c r="N163" s="16" t="s">
        <v>581</v>
      </c>
      <c r="O163" s="8" t="str">
        <f t="shared" si="1"/>
        <v>7030 N Sacramento Ave </v>
      </c>
      <c r="P163" s="12">
        <v>50.0</v>
      </c>
      <c r="Q163" s="13" t="s">
        <v>131</v>
      </c>
    </row>
    <row r="164">
      <c r="A164" s="7">
        <v>609883.0</v>
      </c>
      <c r="B164" s="8" t="s">
        <v>582</v>
      </c>
      <c r="C164" s="18" t="s">
        <v>583</v>
      </c>
      <c r="D164" s="19">
        <v>0.133</v>
      </c>
      <c r="E164" s="18" t="s">
        <v>80</v>
      </c>
      <c r="F164" s="18" t="s">
        <v>144</v>
      </c>
      <c r="G164" s="8" t="str">
        <f>VLOOKUP(F164, 'Network Chiefs'!A:B, 2, FALSE)
</f>
        <v>Shenethe Parks</v>
      </c>
      <c r="H164" s="12">
        <v>55.0</v>
      </c>
      <c r="I164" s="13" t="s">
        <v>20</v>
      </c>
      <c r="J164" s="14" t="s">
        <v>204</v>
      </c>
      <c r="K164" s="14">
        <v>6.0</v>
      </c>
      <c r="L164" s="14" t="str">
        <f t="array" ref="L164">INDEX('School Rep'!$A$2:$A$21, MATCH(J164, 'School Rep'!$B$2:$B$21, 0))</f>
        <v>Jessica Biggs</v>
      </c>
      <c r="M164" s="15">
        <v>3.3</v>
      </c>
      <c r="N164" s="16" t="s">
        <v>584</v>
      </c>
      <c r="O164" s="8" t="str">
        <f t="shared" si="1"/>
        <v>7240 S Wabash Ave </v>
      </c>
      <c r="P164" s="12">
        <v>6.0</v>
      </c>
      <c r="Q164" s="13" t="s">
        <v>306</v>
      </c>
    </row>
    <row r="165">
      <c r="A165" s="7">
        <v>610367.0</v>
      </c>
      <c r="B165" s="12" t="s">
        <v>585</v>
      </c>
      <c r="C165" s="18" t="s">
        <v>586</v>
      </c>
      <c r="D165" s="19">
        <v>0.15</v>
      </c>
      <c r="E165" s="18" t="s">
        <v>80</v>
      </c>
      <c r="F165" s="18" t="s">
        <v>231</v>
      </c>
      <c r="G165" s="8" t="str">
        <f>VLOOKUP(F165, 'Network Chiefs'!A:B, 2, FALSE)
</f>
        <v>Jennifer Farrell‐Rottman</v>
      </c>
      <c r="H165" s="12">
        <v>27.0</v>
      </c>
      <c r="I165" s="13" t="s">
        <v>41</v>
      </c>
      <c r="J165" s="14" t="s">
        <v>31</v>
      </c>
      <c r="K165" s="14">
        <v>5.0</v>
      </c>
      <c r="L165" s="14" t="str">
        <f t="array" ref="L165">INDEX('School Rep'!$A$2:$A$21, MATCH(J165, 'School Rep'!$B$2:$B$21, 0))</f>
        <v>Aaron "Jitu" Brown</v>
      </c>
      <c r="M165" s="12">
        <v>3.8</v>
      </c>
      <c r="N165" s="16" t="s">
        <v>587</v>
      </c>
      <c r="O165" s="8" t="str">
        <f t="shared" si="1"/>
        <v>139 S Parkside Ave </v>
      </c>
      <c r="P165" s="12">
        <v>29.0</v>
      </c>
      <c r="Q165" s="13" t="s">
        <v>33</v>
      </c>
    </row>
    <row r="166">
      <c r="A166" s="7">
        <v>610252.0</v>
      </c>
      <c r="B166" s="8" t="s">
        <v>588</v>
      </c>
      <c r="C166" s="18" t="s">
        <v>589</v>
      </c>
      <c r="D166" s="19">
        <v>0.283</v>
      </c>
      <c r="E166" s="18" t="s">
        <v>80</v>
      </c>
      <c r="F166" s="18" t="s">
        <v>301</v>
      </c>
      <c r="G166" s="8" t="str">
        <f>VLOOKUP(F166, 'Network Chiefs'!A:B, 2, FALSE)
</f>
        <v>Dr. Ethan Netterstrom</v>
      </c>
      <c r="H166" s="15"/>
      <c r="I166" s="8"/>
      <c r="J166" s="14" t="s">
        <v>217</v>
      </c>
      <c r="K166" s="14">
        <v>5.0</v>
      </c>
      <c r="L166" s="14" t="str">
        <f t="array" ref="L166">INDEX('School Rep'!$A$2:$A$21, MATCH(J166, 'School Rep'!$B$2:$B$21, 0))</f>
        <v>Michilla Blaise</v>
      </c>
      <c r="M166" s="15">
        <v>3.4</v>
      </c>
      <c r="N166" s="16" t="s">
        <v>590</v>
      </c>
      <c r="O166" s="8" t="str">
        <f t="shared" si="1"/>
        <v>2131 W Monroe St </v>
      </c>
      <c r="P166" s="12">
        <v>27.0</v>
      </c>
      <c r="Q166" s="13" t="s">
        <v>219</v>
      </c>
    </row>
    <row r="167">
      <c r="A167" s="7">
        <v>609884.0</v>
      </c>
      <c r="B167" s="13" t="s">
        <v>591</v>
      </c>
      <c r="C167" s="18" t="s">
        <v>592</v>
      </c>
      <c r="D167" s="19">
        <v>0.072</v>
      </c>
      <c r="E167" s="18" t="s">
        <v>80</v>
      </c>
      <c r="F167" s="18" t="s">
        <v>97</v>
      </c>
      <c r="G167" s="8" t="str">
        <f>VLOOKUP(F167, 'Network Chiefs'!A:B, 2, FALSE)
</f>
        <v>Julie McGlade</v>
      </c>
      <c r="H167" s="12">
        <v>54.0</v>
      </c>
      <c r="I167" s="13" t="s">
        <v>20</v>
      </c>
      <c r="J167" s="14" t="s">
        <v>199</v>
      </c>
      <c r="K167" s="14">
        <v>1.0</v>
      </c>
      <c r="L167" s="14" t="str">
        <f t="array" ref="L167">INDEX('School Rep'!$A$2:$A$21, MATCH(J167, 'School Rep'!$B$2:$B$21, 0))</f>
        <v>Ed Bannon</v>
      </c>
      <c r="M167" s="12">
        <v>1.9</v>
      </c>
      <c r="N167" s="16" t="s">
        <v>593</v>
      </c>
      <c r="O167" s="8" t="str">
        <f t="shared" si="1"/>
        <v>3436 N Osceola Ave </v>
      </c>
      <c r="P167" s="12">
        <v>38.0</v>
      </c>
      <c r="Q167" s="13" t="s">
        <v>279</v>
      </c>
    </row>
    <row r="168">
      <c r="A168" s="7">
        <v>610402.0</v>
      </c>
      <c r="B168" s="13" t="s">
        <v>594</v>
      </c>
      <c r="C168" s="9" t="s">
        <v>595</v>
      </c>
      <c r="D168" s="10">
        <v>0.0</v>
      </c>
      <c r="E168" s="11" t="s">
        <v>80</v>
      </c>
      <c r="F168" s="11" t="s">
        <v>116</v>
      </c>
      <c r="G168" s="8" t="str">
        <f>VLOOKUP(F168, 'Network Chiefs'!A:B, 2, FALSE)
</f>
        <v>Dr. Laura LeMone</v>
      </c>
      <c r="H168" s="12">
        <v>91.0</v>
      </c>
      <c r="I168" s="13" t="s">
        <v>248</v>
      </c>
      <c r="J168" s="14" t="s">
        <v>87</v>
      </c>
      <c r="K168" s="14">
        <v>2.0</v>
      </c>
      <c r="L168" s="14" t="str">
        <f t="array" ref="L168">INDEX('School Rep'!$A$2:$A$21, MATCH(J168, 'School Rep'!$B$2:$B$21, 0))</f>
        <v>Debby Pope</v>
      </c>
      <c r="M168" s="12">
        <v>2.4</v>
      </c>
      <c r="N168" s="16" t="s">
        <v>596</v>
      </c>
      <c r="O168" s="8" t="str">
        <f t="shared" si="1"/>
        <v>1900 W Lawrence Ave </v>
      </c>
      <c r="P168" s="12">
        <v>47.0</v>
      </c>
      <c r="Q168" s="13" t="s">
        <v>228</v>
      </c>
    </row>
    <row r="169">
      <c r="A169" s="7">
        <v>609885.0</v>
      </c>
      <c r="B169" s="8" t="s">
        <v>597</v>
      </c>
      <c r="C169" s="11" t="s">
        <v>598</v>
      </c>
      <c r="D169" s="10">
        <v>0.134</v>
      </c>
      <c r="E169" s="11" t="s">
        <v>80</v>
      </c>
      <c r="F169" s="11" t="s">
        <v>285</v>
      </c>
      <c r="G169" s="8" t="str">
        <f>VLOOKUP(F169, 'Network Chiefs'!A:B, 2, FALSE)
</f>
        <v>Gilberto Piedrahita</v>
      </c>
      <c r="H169" s="12">
        <v>58.0</v>
      </c>
      <c r="I169" s="13" t="s">
        <v>20</v>
      </c>
      <c r="J169" s="14" t="s">
        <v>187</v>
      </c>
      <c r="K169" s="14">
        <v>9.0</v>
      </c>
      <c r="L169" s="14" t="str">
        <f t="array" ref="L169">INDEX('School Rep'!$A$2:$A$21, MATCH(J169, 'School Rep'!$B$2:$B$21, 0))</f>
        <v>Frank Niles Thomas</v>
      </c>
      <c r="M169" s="15">
        <v>3.6</v>
      </c>
      <c r="N169" s="16" t="s">
        <v>599</v>
      </c>
      <c r="O169" s="8" t="str">
        <f t="shared" si="1"/>
        <v>5415 S Union Ave </v>
      </c>
      <c r="P169" s="12">
        <v>16.0</v>
      </c>
      <c r="Q169" s="13" t="s">
        <v>193</v>
      </c>
    </row>
    <row r="170">
      <c r="A170" s="7">
        <v>609874.0</v>
      </c>
      <c r="B170" s="12" t="s">
        <v>600</v>
      </c>
      <c r="C170" s="18" t="s">
        <v>601</v>
      </c>
      <c r="D170" s="19">
        <v>0.191</v>
      </c>
      <c r="E170" s="18" t="s">
        <v>80</v>
      </c>
      <c r="F170" s="18" t="s">
        <v>97</v>
      </c>
      <c r="G170" s="8" t="str">
        <f>VLOOKUP(F170, 'Network Chiefs'!A:B, 2, FALSE)
</f>
        <v>Julie McGlade</v>
      </c>
      <c r="H170" s="15"/>
      <c r="I170" s="8"/>
      <c r="J170" s="14" t="s">
        <v>199</v>
      </c>
      <c r="K170" s="14">
        <v>1.0</v>
      </c>
      <c r="L170" s="14" t="str">
        <f t="array" ref="L170">INDEX('School Rep'!$A$2:$A$21, MATCH(J170, 'School Rep'!$B$2:$B$21, 0))</f>
        <v>Ed Bannon</v>
      </c>
      <c r="M170" s="12">
        <v>2.0</v>
      </c>
      <c r="N170" s="16" t="s">
        <v>602</v>
      </c>
      <c r="O170" s="8" t="str">
        <f t="shared" si="1"/>
        <v>8601 W Foster Ave </v>
      </c>
      <c r="P170" s="12">
        <v>41.0</v>
      </c>
      <c r="Q170" s="13" t="s">
        <v>201</v>
      </c>
    </row>
    <row r="171">
      <c r="A171" s="7">
        <v>610363.0</v>
      </c>
      <c r="B171" s="12" t="s">
        <v>603</v>
      </c>
      <c r="C171" s="18" t="s">
        <v>604</v>
      </c>
      <c r="D171" s="19">
        <v>0.026</v>
      </c>
      <c r="E171" s="18" t="s">
        <v>80</v>
      </c>
      <c r="F171" s="18" t="s">
        <v>270</v>
      </c>
      <c r="G171" s="8" t="str">
        <f>VLOOKUP(F171, 'Network Chiefs'!A:B, 2, FALSE)
</f>
        <v>Marilou Rebolledo</v>
      </c>
      <c r="H171" s="12">
        <v>34.0</v>
      </c>
      <c r="I171" s="13" t="s">
        <v>41</v>
      </c>
      <c r="J171" s="14" t="s">
        <v>243</v>
      </c>
      <c r="K171" s="14">
        <v>4.0</v>
      </c>
      <c r="L171" s="14" t="str">
        <f t="array" ref="L171">INDEX('School Rep'!$A$2:$A$21, MATCH(J171, 'School Rep'!$B$2:$B$21, 0))</f>
        <v>Karen Zaccor</v>
      </c>
      <c r="M171" s="12">
        <v>2.3</v>
      </c>
      <c r="N171" s="16" t="s">
        <v>605</v>
      </c>
      <c r="O171" s="8" t="str">
        <f t="shared" si="1"/>
        <v>4140 N Marine Dr </v>
      </c>
      <c r="P171" s="12">
        <v>46.0</v>
      </c>
      <c r="Q171" s="13" t="s">
        <v>245</v>
      </c>
    </row>
    <row r="172">
      <c r="A172" s="7">
        <v>610515.0</v>
      </c>
      <c r="B172" s="13" t="s">
        <v>606</v>
      </c>
      <c r="C172" s="17" t="s">
        <v>607</v>
      </c>
      <c r="D172" s="10">
        <v>0.0</v>
      </c>
      <c r="E172" s="11" t="s">
        <v>80</v>
      </c>
      <c r="F172" s="11" t="s">
        <v>116</v>
      </c>
      <c r="G172" s="8" t="str">
        <f>VLOOKUP(F172, 'Network Chiefs'!A:B, 2, FALSE)
</f>
        <v>Dr. Laura LeMone</v>
      </c>
      <c r="H172" s="12">
        <v>70.0</v>
      </c>
      <c r="I172" s="13" t="s">
        <v>52</v>
      </c>
      <c r="J172" s="14" t="s">
        <v>222</v>
      </c>
      <c r="K172" s="14">
        <v>1.0</v>
      </c>
      <c r="L172" s="14" t="str">
        <f t="array" ref="L172">INDEX('School Rep'!$A$2:$A$21, MATCH(J172, 'School Rep'!$B$2:$B$21, 0))</f>
        <v>Jennifer Custer</v>
      </c>
      <c r="M172" s="12">
        <v>2.5</v>
      </c>
      <c r="N172" s="16" t="s">
        <v>608</v>
      </c>
      <c r="O172" s="8" t="str">
        <f t="shared" si="1"/>
        <v>3815 N Kedvale Ave </v>
      </c>
      <c r="P172" s="12">
        <v>30.0</v>
      </c>
      <c r="Q172" s="13" t="s">
        <v>346</v>
      </c>
    </row>
    <row r="173">
      <c r="A173" s="7">
        <v>610564.0</v>
      </c>
      <c r="B173" s="13" t="s">
        <v>609</v>
      </c>
      <c r="C173" s="11" t="s">
        <v>610</v>
      </c>
      <c r="D173" s="10">
        <v>0.031</v>
      </c>
      <c r="E173" s="11" t="s">
        <v>80</v>
      </c>
      <c r="F173" s="11" t="s">
        <v>116</v>
      </c>
      <c r="G173" s="8" t="str">
        <f>VLOOKUP(F173, 'Network Chiefs'!A:B, 2, FALSE)
</f>
        <v>Dr. Laura LeMone</v>
      </c>
      <c r="H173" s="12">
        <v>63.0</v>
      </c>
      <c r="I173" s="13" t="s">
        <v>52</v>
      </c>
      <c r="J173" s="14" t="s">
        <v>222</v>
      </c>
      <c r="K173" s="14">
        <v>1.0</v>
      </c>
      <c r="L173" s="14" t="str">
        <f t="array" ref="L173">INDEX('School Rep'!$A$2:$A$21, MATCH(J173, 'School Rep'!$B$2:$B$21, 0))</f>
        <v>Jennifer Custer</v>
      </c>
      <c r="M173" s="12">
        <v>2.6</v>
      </c>
      <c r="N173" s="16" t="s">
        <v>611</v>
      </c>
      <c r="O173" s="8" t="str">
        <f t="shared" si="1"/>
        <v>3900 N Lawndale Ave </v>
      </c>
      <c r="P173" s="12">
        <v>45.0</v>
      </c>
      <c r="Q173" s="13" t="s">
        <v>210</v>
      </c>
    </row>
    <row r="174">
      <c r="A174" s="7">
        <v>609887.0</v>
      </c>
      <c r="B174" s="13" t="s">
        <v>612</v>
      </c>
      <c r="C174" s="18" t="s">
        <v>613</v>
      </c>
      <c r="D174" s="19">
        <v>0.081</v>
      </c>
      <c r="E174" s="18" t="s">
        <v>80</v>
      </c>
      <c r="F174" s="18" t="s">
        <v>144</v>
      </c>
      <c r="G174" s="8" t="str">
        <f>VLOOKUP(F174, 'Network Chiefs'!A:B, 2, FALSE)
</f>
        <v>Shenethe Parks</v>
      </c>
      <c r="H174" s="12">
        <v>70.0</v>
      </c>
      <c r="I174" s="13" t="s">
        <v>52</v>
      </c>
      <c r="J174" s="14" t="s">
        <v>82</v>
      </c>
      <c r="K174" s="14">
        <v>10.0</v>
      </c>
      <c r="L174" s="14" t="str">
        <f t="array" ref="L174">INDEX('School Rep'!$A$2:$A$21, MATCH(J174, 'School Rep'!$B$2:$B$21, 0))</f>
        <v>Olga Bautista</v>
      </c>
      <c r="M174" s="12">
        <v>2.9</v>
      </c>
      <c r="N174" s="16" t="s">
        <v>614</v>
      </c>
      <c r="O174" s="8" t="str">
        <f t="shared" si="1"/>
        <v>8306 S Saint Lawrence Ave </v>
      </c>
      <c r="P174" s="12">
        <v>6.0</v>
      </c>
      <c r="Q174" s="13" t="s">
        <v>306</v>
      </c>
    </row>
    <row r="175">
      <c r="A175" s="7">
        <v>609891.0</v>
      </c>
      <c r="B175" s="13" t="s">
        <v>615</v>
      </c>
      <c r="C175" s="9" t="s">
        <v>616</v>
      </c>
      <c r="D175" s="10">
        <v>0.196</v>
      </c>
      <c r="E175" s="11" t="s">
        <v>80</v>
      </c>
      <c r="F175" s="11" t="s">
        <v>120</v>
      </c>
      <c r="G175" s="8" t="str">
        <f>VLOOKUP(F175, 'Network Chiefs'!A:B, 2, FALSE)
</f>
        <v>Alene Mason</v>
      </c>
      <c r="H175" s="12">
        <v>50.0</v>
      </c>
      <c r="I175" s="13" t="s">
        <v>20</v>
      </c>
      <c r="J175" s="14" t="s">
        <v>121</v>
      </c>
      <c r="K175" s="14">
        <v>10.0</v>
      </c>
      <c r="L175" s="14" t="str">
        <f t="array" ref="L175">INDEX('School Rep'!$A$2:$A$21, MATCH(J175, 'School Rep'!$B$2:$B$21, 0))</f>
        <v>Che "Rhymefest" Smith</v>
      </c>
      <c r="M175" s="12">
        <v>3.8</v>
      </c>
      <c r="N175" s="16" t="s">
        <v>617</v>
      </c>
      <c r="O175" s="8" t="str">
        <f t="shared" si="1"/>
        <v>535 E 35th St </v>
      </c>
      <c r="P175" s="12">
        <v>4.0</v>
      </c>
      <c r="Q175" s="13" t="s">
        <v>123</v>
      </c>
    </row>
    <row r="176">
      <c r="A176" s="7">
        <v>609893.0</v>
      </c>
      <c r="B176" s="8" t="s">
        <v>618</v>
      </c>
      <c r="C176" s="18" t="s">
        <v>619</v>
      </c>
      <c r="D176" s="19">
        <v>0.065</v>
      </c>
      <c r="E176" s="18" t="s">
        <v>80</v>
      </c>
      <c r="F176" s="18" t="s">
        <v>138</v>
      </c>
      <c r="G176" s="8" t="str">
        <f>VLOOKUP(F176, 'Network Chiefs'!A:B, 2, FALSE)
</f>
        <v>Mira Weber</v>
      </c>
      <c r="H176" s="15"/>
      <c r="I176" s="8"/>
      <c r="J176" s="14" t="s">
        <v>139</v>
      </c>
      <c r="K176" s="14">
        <v>8.0</v>
      </c>
      <c r="L176" s="14" t="str">
        <f t="array" ref="L176">INDEX('School Rep'!$A$2:$A$21, MATCH(J176, 'School Rep'!$B$2:$B$21, 0))</f>
        <v>Angel Gutierrez</v>
      </c>
      <c r="M176" s="15">
        <v>2.5</v>
      </c>
      <c r="N176" s="16" t="s">
        <v>620</v>
      </c>
      <c r="O176" s="8" t="str">
        <f t="shared" si="1"/>
        <v>7134 W 65th St </v>
      </c>
      <c r="P176" s="12">
        <v>13.0</v>
      </c>
      <c r="Q176" s="13" t="s">
        <v>250</v>
      </c>
    </row>
    <row r="177">
      <c r="A177" s="7">
        <v>610245.0</v>
      </c>
      <c r="B177" s="12" t="s">
        <v>621</v>
      </c>
      <c r="C177" s="9" t="s">
        <v>622</v>
      </c>
      <c r="D177" s="10">
        <v>0.0</v>
      </c>
      <c r="E177" s="11" t="s">
        <v>80</v>
      </c>
      <c r="F177" s="11" t="s">
        <v>108</v>
      </c>
      <c r="G177" s="8" t="str">
        <f>VLOOKUP(F177, 'Network Chiefs'!A:B, 2, FALSE)
</f>
        <v>Michael Boraz</v>
      </c>
      <c r="H177" s="12">
        <v>90.0</v>
      </c>
      <c r="I177" s="13" t="s">
        <v>248</v>
      </c>
      <c r="J177" s="14" t="s">
        <v>31</v>
      </c>
      <c r="K177" s="14">
        <v>5.0</v>
      </c>
      <c r="L177" s="14" t="str">
        <f t="array" ref="L177">INDEX('School Rep'!$A$2:$A$21, MATCH(J177, 'School Rep'!$B$2:$B$21, 0))</f>
        <v>Aaron "Jitu" Brown</v>
      </c>
      <c r="M177" s="12">
        <v>4.1</v>
      </c>
      <c r="N177" s="16" t="s">
        <v>623</v>
      </c>
      <c r="O177" s="8" t="str">
        <f t="shared" si="1"/>
        <v>543 N Waller Ave </v>
      </c>
      <c r="P177" s="12">
        <v>29.0</v>
      </c>
      <c r="Q177" s="13" t="s">
        <v>33</v>
      </c>
    </row>
    <row r="178">
      <c r="A178" s="7">
        <v>609894.0</v>
      </c>
      <c r="B178" s="8" t="s">
        <v>624</v>
      </c>
      <c r="C178" s="18" t="s">
        <v>625</v>
      </c>
      <c r="D178" s="19">
        <v>0.296</v>
      </c>
      <c r="E178" s="18" t="s">
        <v>80</v>
      </c>
      <c r="F178" s="18" t="s">
        <v>120</v>
      </c>
      <c r="G178" s="8" t="str">
        <f>VLOOKUP(F178, 'Network Chiefs'!A:B, 2, FALSE)
</f>
        <v>Alene Mason</v>
      </c>
      <c r="H178" s="12">
        <v>76.0</v>
      </c>
      <c r="I178" s="13" t="s">
        <v>52</v>
      </c>
      <c r="J178" s="14" t="s">
        <v>26</v>
      </c>
      <c r="K178" s="14">
        <v>8.0</v>
      </c>
      <c r="L178" s="14" t="str">
        <f t="array" ref="L178">INDEX('School Rep'!$A$2:$A$21, MATCH(J178, 'School Rep'!$B$2:$B$21, 0))</f>
        <v>Cydney Wallace</v>
      </c>
      <c r="M178" s="15">
        <v>3.0</v>
      </c>
      <c r="N178" s="16" t="s">
        <v>626</v>
      </c>
      <c r="O178" s="8" t="str">
        <f t="shared" si="1"/>
        <v>2710 S Dearborn St </v>
      </c>
      <c r="P178" s="12">
        <v>3.0</v>
      </c>
      <c r="Q178" s="13" t="s">
        <v>206</v>
      </c>
    </row>
    <row r="179">
      <c r="A179" s="7">
        <v>609896.0</v>
      </c>
      <c r="B179" s="12" t="s">
        <v>627</v>
      </c>
      <c r="C179" s="17" t="s">
        <v>628</v>
      </c>
      <c r="D179" s="10">
        <v>0.0</v>
      </c>
      <c r="E179" s="11" t="s">
        <v>80</v>
      </c>
      <c r="F179" s="11" t="s">
        <v>301</v>
      </c>
      <c r="G179" s="8" t="str">
        <f>VLOOKUP(F179, 'Network Chiefs'!A:B, 2, FALSE)
</f>
        <v>Dr. Ethan Netterstrom</v>
      </c>
      <c r="H179" s="12">
        <v>62.0</v>
      </c>
      <c r="I179" s="13" t="s">
        <v>52</v>
      </c>
      <c r="J179" s="14" t="s">
        <v>103</v>
      </c>
      <c r="K179" s="14">
        <v>4.0</v>
      </c>
      <c r="L179" s="14" t="str">
        <f t="array" ref="L179">INDEX('School Rep'!$A$2:$A$21, MATCH(J179, 'School Rep'!$B$2:$B$21, 0))</f>
        <v>Ellen Rosenfeld</v>
      </c>
      <c r="M179" s="12">
        <v>2.0</v>
      </c>
      <c r="N179" s="16" t="s">
        <v>629</v>
      </c>
      <c r="O179" s="8" t="str">
        <f t="shared" si="1"/>
        <v>1845 W Cortland St </v>
      </c>
      <c r="P179" s="12">
        <v>32.0</v>
      </c>
      <c r="Q179" s="13" t="s">
        <v>110</v>
      </c>
    </row>
    <row r="180">
      <c r="A180" s="7">
        <v>610364.0</v>
      </c>
      <c r="B180" s="13" t="s">
        <v>630</v>
      </c>
      <c r="C180" s="18" t="s">
        <v>631</v>
      </c>
      <c r="D180" s="19">
        <v>0.171</v>
      </c>
      <c r="E180" s="18" t="s">
        <v>80</v>
      </c>
      <c r="F180" s="18" t="s">
        <v>81</v>
      </c>
      <c r="G180" s="8" t="str">
        <f>VLOOKUP(F180, 'Network Chiefs'!A:B, 2, FALSE)
</f>
        <v>Dr. Terrycita D. Perry</v>
      </c>
      <c r="H180" s="12">
        <v>55.0</v>
      </c>
      <c r="I180" s="13" t="s">
        <v>20</v>
      </c>
      <c r="J180" s="14" t="s">
        <v>82</v>
      </c>
      <c r="K180" s="14">
        <v>10.0</v>
      </c>
      <c r="L180" s="14" t="str">
        <f t="array" ref="L180">INDEX('School Rep'!$A$2:$A$21, MATCH(J180, 'School Rep'!$B$2:$B$21, 0))</f>
        <v>Olga Bautista</v>
      </c>
      <c r="M180" s="12">
        <v>3.5</v>
      </c>
      <c r="N180" s="16" t="s">
        <v>632</v>
      </c>
      <c r="O180" s="8" t="str">
        <f t="shared" si="1"/>
        <v>330 E 133rd St </v>
      </c>
      <c r="P180" s="12">
        <v>9.0</v>
      </c>
      <c r="Q180" s="13" t="s">
        <v>237</v>
      </c>
    </row>
    <row r="181">
      <c r="A181" s="7">
        <v>610263.0</v>
      </c>
      <c r="B181" s="8" t="s">
        <v>633</v>
      </c>
      <c r="C181" s="18" t="s">
        <v>634</v>
      </c>
      <c r="D181" s="19">
        <v>0.202</v>
      </c>
      <c r="E181" s="18" t="s">
        <v>80</v>
      </c>
      <c r="F181" s="18" t="s">
        <v>120</v>
      </c>
      <c r="G181" s="8" t="str">
        <f>VLOOKUP(F181, 'Network Chiefs'!A:B, 2, FALSE)
</f>
        <v>Alene Mason</v>
      </c>
      <c r="H181" s="12">
        <v>59.0</v>
      </c>
      <c r="I181" s="13" t="s">
        <v>20</v>
      </c>
      <c r="J181" s="14" t="s">
        <v>204</v>
      </c>
      <c r="K181" s="14">
        <v>6.0</v>
      </c>
      <c r="L181" s="14" t="str">
        <f t="array" ref="L181">INDEX('School Rep'!$A$2:$A$21, MATCH(J181, 'School Rep'!$B$2:$B$21, 0))</f>
        <v>Jessica Biggs</v>
      </c>
      <c r="M181" s="15">
        <v>3.4</v>
      </c>
      <c r="N181" s="16" t="s">
        <v>635</v>
      </c>
      <c r="O181" s="8" t="str">
        <f t="shared" si="1"/>
        <v>6311 S Calumet Ave </v>
      </c>
      <c r="P181" s="12">
        <v>20.0</v>
      </c>
      <c r="Q181" s="13" t="s">
        <v>368</v>
      </c>
    </row>
    <row r="182">
      <c r="A182" s="7">
        <v>609676.0</v>
      </c>
      <c r="B182" s="8" t="s">
        <v>636</v>
      </c>
      <c r="C182" s="9" t="s">
        <v>637</v>
      </c>
      <c r="D182" s="10">
        <v>0.145</v>
      </c>
      <c r="E182" s="11" t="s">
        <v>80</v>
      </c>
      <c r="F182" s="11" t="s">
        <v>263</v>
      </c>
      <c r="G182" s="8" t="str">
        <f>VLOOKUP(F182, 'Network Chiefs'!A:B, 2, FALSE)
</f>
        <v>Myron Hester</v>
      </c>
      <c r="H182" s="12">
        <v>41.0</v>
      </c>
      <c r="I182" s="13" t="s">
        <v>20</v>
      </c>
      <c r="J182" s="14" t="s">
        <v>204</v>
      </c>
      <c r="K182" s="14">
        <v>6.0</v>
      </c>
      <c r="L182" s="14" t="str">
        <f t="array" ref="L182">INDEX('School Rep'!$A$2:$A$21, MATCH(J182, 'School Rep'!$B$2:$B$21, 0))</f>
        <v>Jessica Biggs</v>
      </c>
      <c r="M182" s="15">
        <v>3.3</v>
      </c>
      <c r="N182" s="16" t="s">
        <v>638</v>
      </c>
      <c r="O182" s="8" t="str">
        <f t="shared" si="1"/>
        <v>3000 S King Dr </v>
      </c>
      <c r="P182" s="12">
        <v>4.0</v>
      </c>
      <c r="Q182" s="13" t="s">
        <v>123</v>
      </c>
    </row>
    <row r="183">
      <c r="A183" s="7">
        <v>610188.0</v>
      </c>
      <c r="B183" s="8" t="s">
        <v>639</v>
      </c>
      <c r="C183" s="18" t="s">
        <v>640</v>
      </c>
      <c r="D183" s="19">
        <v>0.119</v>
      </c>
      <c r="E183" s="18" t="s">
        <v>80</v>
      </c>
      <c r="F183" s="18" t="s">
        <v>81</v>
      </c>
      <c r="G183" s="8" t="str">
        <f>VLOOKUP(F183, 'Network Chiefs'!A:B, 2, FALSE)
</f>
        <v>Dr. Terrycita D. Perry</v>
      </c>
      <c r="H183" s="12">
        <v>69.0</v>
      </c>
      <c r="I183" s="13" t="s">
        <v>52</v>
      </c>
      <c r="J183" s="14" t="s">
        <v>178</v>
      </c>
      <c r="K183" s="14">
        <v>9.0</v>
      </c>
      <c r="L183" s="14" t="str">
        <f t="array" ref="L183">INDEX('School Rep'!$A$2:$A$21, MATCH(J183, 'School Rep'!$B$2:$B$21, 0))</f>
        <v>Therese Boyle</v>
      </c>
      <c r="M183" s="15">
        <v>2.8</v>
      </c>
      <c r="N183" s="16" t="s">
        <v>641</v>
      </c>
      <c r="O183" s="8" t="str">
        <f t="shared" si="1"/>
        <v>10845 S Union Ave </v>
      </c>
      <c r="P183" s="12">
        <v>21.0</v>
      </c>
      <c r="Q183" s="13" t="s">
        <v>428</v>
      </c>
    </row>
    <row r="184">
      <c r="A184" s="7">
        <v>610352.0</v>
      </c>
      <c r="B184" s="8" t="s">
        <v>642</v>
      </c>
      <c r="C184" s="18" t="s">
        <v>643</v>
      </c>
      <c r="D184" s="19">
        <v>0.065</v>
      </c>
      <c r="E184" s="18" t="s">
        <v>80</v>
      </c>
      <c r="F184" s="18" t="s">
        <v>138</v>
      </c>
      <c r="G184" s="8" t="str">
        <f>VLOOKUP(F184, 'Network Chiefs'!A:B, 2, FALSE)
</f>
        <v>Mira Weber</v>
      </c>
      <c r="H184" s="12">
        <v>43.0</v>
      </c>
      <c r="I184" s="13" t="s">
        <v>20</v>
      </c>
      <c r="J184" s="14" t="s">
        <v>139</v>
      </c>
      <c r="K184" s="14">
        <v>8.0</v>
      </c>
      <c r="L184" s="14" t="str">
        <f t="array" ref="L184">INDEX('School Rep'!$A$2:$A$21, MATCH(J184, 'School Rep'!$B$2:$B$21, 0))</f>
        <v>Angel Gutierrez</v>
      </c>
      <c r="M184" s="15">
        <v>2.5</v>
      </c>
      <c r="N184" s="16" t="s">
        <v>644</v>
      </c>
      <c r="O184" s="8" t="str">
        <f t="shared" si="1"/>
        <v>8445 S Kolin Ave </v>
      </c>
      <c r="P184" s="12">
        <v>18.0</v>
      </c>
      <c r="Q184" s="13" t="s">
        <v>141</v>
      </c>
    </row>
    <row r="185">
      <c r="A185" s="7">
        <v>610254.0</v>
      </c>
      <c r="B185" s="8" t="s">
        <v>645</v>
      </c>
      <c r="C185" s="9" t="s">
        <v>646</v>
      </c>
      <c r="D185" s="10">
        <v>0.186</v>
      </c>
      <c r="E185" s="11" t="s">
        <v>80</v>
      </c>
      <c r="F185" s="11" t="s">
        <v>529</v>
      </c>
      <c r="G185" s="8" t="str">
        <f>VLOOKUP(F185, 'Network Chiefs'!A:B, 2, FALSE)
</f>
        <v>Dr. Antonio Acevedo</v>
      </c>
      <c r="H185" s="12">
        <v>22.0</v>
      </c>
      <c r="I185" s="13" t="s">
        <v>41</v>
      </c>
      <c r="J185" s="14" t="s">
        <v>217</v>
      </c>
      <c r="K185" s="14">
        <v>5.0</v>
      </c>
      <c r="L185" s="14" t="str">
        <f t="array" ref="L185">INDEX('School Rep'!$A$2:$A$21, MATCH(J185, 'School Rep'!$B$2:$B$21, 0))</f>
        <v>Michilla Blaise</v>
      </c>
      <c r="M185" s="15">
        <v>3.5</v>
      </c>
      <c r="N185" s="16" t="s">
        <v>647</v>
      </c>
      <c r="O185" s="8" t="str">
        <f t="shared" si="1"/>
        <v>3615 W 16th St </v>
      </c>
      <c r="P185" s="12">
        <v>24.0</v>
      </c>
      <c r="Q185" s="13" t="s">
        <v>517</v>
      </c>
    </row>
    <row r="186">
      <c r="A186" s="7">
        <v>610587.0</v>
      </c>
      <c r="B186" s="8" t="s">
        <v>648</v>
      </c>
      <c r="C186" s="17" t="s">
        <v>649</v>
      </c>
      <c r="D186" s="10">
        <v>0.104</v>
      </c>
      <c r="E186" s="11" t="s">
        <v>80</v>
      </c>
      <c r="F186" s="11" t="s">
        <v>263</v>
      </c>
      <c r="G186" s="8" t="str">
        <f>VLOOKUP(F186, 'Network Chiefs'!A:B, 2, FALSE)
</f>
        <v>Myron Hester</v>
      </c>
      <c r="H186" s="12">
        <v>43.0</v>
      </c>
      <c r="I186" s="13" t="s">
        <v>20</v>
      </c>
      <c r="J186" s="14" t="s">
        <v>204</v>
      </c>
      <c r="K186" s="14">
        <v>6.0</v>
      </c>
      <c r="L186" s="14" t="str">
        <f t="array" ref="L186">INDEX('School Rep'!$A$2:$A$21, MATCH(J186, 'School Rep'!$B$2:$B$21, 0))</f>
        <v>Jessica Biggs</v>
      </c>
      <c r="M186" s="15">
        <v>3.1</v>
      </c>
      <c r="N186" s="16" t="s">
        <v>650</v>
      </c>
      <c r="O186" s="8" t="str">
        <f t="shared" si="1"/>
        <v>555 E 51St </v>
      </c>
      <c r="P186" s="12">
        <v>20.0</v>
      </c>
      <c r="Q186" s="13" t="s">
        <v>368</v>
      </c>
    </row>
    <row r="187">
      <c r="A187" s="7">
        <v>610316.0</v>
      </c>
      <c r="B187" s="12" t="s">
        <v>651</v>
      </c>
      <c r="C187" s="18" t="s">
        <v>652</v>
      </c>
      <c r="D187" s="19">
        <v>0.0</v>
      </c>
      <c r="E187" s="18" t="s">
        <v>80</v>
      </c>
      <c r="F187" s="18" t="s">
        <v>144</v>
      </c>
      <c r="G187" s="8" t="str">
        <f>VLOOKUP(F187, 'Network Chiefs'!A:B, 2, FALSE)
</f>
        <v>Shenethe Parks</v>
      </c>
      <c r="H187" s="12">
        <v>30.0</v>
      </c>
      <c r="I187" s="13" t="s">
        <v>41</v>
      </c>
      <c r="J187" s="14" t="s">
        <v>82</v>
      </c>
      <c r="K187" s="14">
        <v>10.0</v>
      </c>
      <c r="L187" s="14" t="str">
        <f t="array" ref="L187">INDEX('School Rep'!$A$2:$A$21, MATCH(J187, 'School Rep'!$B$2:$B$21, 0))</f>
        <v>Olga Bautista</v>
      </c>
      <c r="M187" s="12">
        <v>3.0</v>
      </c>
      <c r="N187" s="16" t="s">
        <v>653</v>
      </c>
      <c r="O187" s="8" t="str">
        <f t="shared" si="1"/>
        <v>1710 E 93rd St </v>
      </c>
      <c r="P187" s="12">
        <v>8.0</v>
      </c>
      <c r="Q187" s="13" t="s">
        <v>135</v>
      </c>
    </row>
    <row r="188">
      <c r="A188" s="7">
        <v>609897.0</v>
      </c>
      <c r="B188" s="8" t="s">
        <v>654</v>
      </c>
      <c r="C188" s="18" t="s">
        <v>655</v>
      </c>
      <c r="D188" s="19">
        <v>0.086</v>
      </c>
      <c r="E188" s="18" t="s">
        <v>80</v>
      </c>
      <c r="F188" s="18" t="s">
        <v>186</v>
      </c>
      <c r="G188" s="8" t="str">
        <f>VLOOKUP(F188, 'Network Chiefs'!A:B, 2, FALSE)
</f>
        <v>Latasha Geverola</v>
      </c>
      <c r="H188" s="12">
        <v>85.0</v>
      </c>
      <c r="I188" s="13" t="s">
        <v>248</v>
      </c>
      <c r="J188" s="14" t="s">
        <v>187</v>
      </c>
      <c r="K188" s="14">
        <v>9.0</v>
      </c>
      <c r="L188" s="14" t="str">
        <f t="array" ref="L188">INDEX('School Rep'!$A$2:$A$21, MATCH(J188, 'School Rep'!$B$2:$B$21, 0))</f>
        <v>Frank Niles Thomas</v>
      </c>
      <c r="M188" s="15">
        <v>4.0</v>
      </c>
      <c r="N188" s="16" t="s">
        <v>656</v>
      </c>
      <c r="O188" s="8" t="str">
        <f t="shared" si="1"/>
        <v>2040 W 62Nd St </v>
      </c>
      <c r="P188" s="12">
        <v>16.0</v>
      </c>
      <c r="Q188" s="13" t="s">
        <v>193</v>
      </c>
    </row>
    <row r="189">
      <c r="A189" s="7">
        <v>609898.0</v>
      </c>
      <c r="B189" s="8" t="s">
        <v>657</v>
      </c>
      <c r="C189" s="18" t="s">
        <v>658</v>
      </c>
      <c r="D189" s="19">
        <v>0.087</v>
      </c>
      <c r="E189" s="18" t="s">
        <v>80</v>
      </c>
      <c r="F189" s="18" t="s">
        <v>138</v>
      </c>
      <c r="G189" s="8" t="str">
        <f>VLOOKUP(F189, 'Network Chiefs'!A:B, 2, FALSE)
</f>
        <v>Mira Weber</v>
      </c>
      <c r="H189" s="15"/>
      <c r="I189" s="8"/>
      <c r="J189" s="14" t="s">
        <v>26</v>
      </c>
      <c r="K189" s="14">
        <v>8.0</v>
      </c>
      <c r="L189" s="14" t="str">
        <f t="array" ref="L189">INDEX('School Rep'!$A$2:$A$21, MATCH(J189, 'School Rep'!$B$2:$B$21, 0))</f>
        <v>Cydney Wallace</v>
      </c>
      <c r="M189" s="15">
        <v>3.3</v>
      </c>
      <c r="N189" s="16" t="s">
        <v>659</v>
      </c>
      <c r="O189" s="8" t="str">
        <f t="shared" si="1"/>
        <v>3400 W 65th Pl </v>
      </c>
      <c r="P189" s="12">
        <v>14.0</v>
      </c>
      <c r="Q189" s="13" t="s">
        <v>54</v>
      </c>
    </row>
    <row r="190">
      <c r="A190" s="7">
        <v>609899.0</v>
      </c>
      <c r="B190" s="13" t="s">
        <v>660</v>
      </c>
      <c r="C190" s="18" t="s">
        <v>661</v>
      </c>
      <c r="D190" s="19">
        <v>0.041</v>
      </c>
      <c r="E190" s="18" t="s">
        <v>80</v>
      </c>
      <c r="F190" s="18" t="s">
        <v>97</v>
      </c>
      <c r="G190" s="8" t="str">
        <f>VLOOKUP(F190, 'Network Chiefs'!A:B, 2, FALSE)
</f>
        <v>Julie McGlade</v>
      </c>
      <c r="H190" s="12">
        <v>42.0</v>
      </c>
      <c r="I190" s="13" t="s">
        <v>20</v>
      </c>
      <c r="J190" s="14" t="s">
        <v>199</v>
      </c>
      <c r="K190" s="14">
        <v>1.0</v>
      </c>
      <c r="L190" s="14" t="str">
        <f t="array" ref="L190">INDEX('School Rep'!$A$2:$A$21, MATCH(J190, 'School Rep'!$B$2:$B$21, 0))</f>
        <v>Ed Bannon</v>
      </c>
      <c r="M190" s="12">
        <v>1.7</v>
      </c>
      <c r="N190" s="16" t="s">
        <v>662</v>
      </c>
      <c r="O190" s="8" t="str">
        <f t="shared" si="1"/>
        <v>7350 W Pratt Ave </v>
      </c>
      <c r="P190" s="12">
        <v>41.0</v>
      </c>
      <c r="Q190" s="13" t="s">
        <v>201</v>
      </c>
    </row>
    <row r="191">
      <c r="A191" s="7">
        <v>609901.0</v>
      </c>
      <c r="B191" s="13" t="s">
        <v>663</v>
      </c>
      <c r="C191" s="18" t="s">
        <v>664</v>
      </c>
      <c r="D191" s="19">
        <v>0.0</v>
      </c>
      <c r="E191" s="18" t="s">
        <v>80</v>
      </c>
      <c r="F191" s="18" t="s">
        <v>97</v>
      </c>
      <c r="G191" s="8" t="str">
        <f>VLOOKUP(F191, 'Network Chiefs'!A:B, 2, FALSE)
</f>
        <v>Julie McGlade</v>
      </c>
      <c r="H191" s="12">
        <v>48.0</v>
      </c>
      <c r="I191" s="13" t="s">
        <v>20</v>
      </c>
      <c r="J191" s="14" t="s">
        <v>199</v>
      </c>
      <c r="K191" s="14">
        <v>1.0</v>
      </c>
      <c r="L191" s="14" t="str">
        <f t="array" ref="L191">INDEX('School Rep'!$A$2:$A$21, MATCH(J191, 'School Rep'!$B$2:$B$21, 0))</f>
        <v>Ed Bannon</v>
      </c>
      <c r="M191" s="12">
        <v>1.7</v>
      </c>
      <c r="N191" s="16" t="s">
        <v>665</v>
      </c>
      <c r="O191" s="8" t="str">
        <f t="shared" si="1"/>
        <v>6525 N Hiawatha Ave </v>
      </c>
      <c r="P191" s="12">
        <v>45.0</v>
      </c>
      <c r="Q191" s="13" t="s">
        <v>210</v>
      </c>
    </row>
    <row r="192">
      <c r="A192" s="7">
        <v>609794.0</v>
      </c>
      <c r="B192" s="13" t="s">
        <v>666</v>
      </c>
      <c r="C192" s="17" t="s">
        <v>667</v>
      </c>
      <c r="D192" s="10">
        <v>0.0</v>
      </c>
      <c r="E192" s="11" t="s">
        <v>80</v>
      </c>
      <c r="F192" s="11" t="s">
        <v>97</v>
      </c>
      <c r="G192" s="8" t="str">
        <f>VLOOKUP(F192, 'Network Chiefs'!A:B, 2, FALSE)
</f>
        <v>Julie McGlade</v>
      </c>
      <c r="H192" s="12">
        <v>71.0</v>
      </c>
      <c r="I192" s="13" t="s">
        <v>52</v>
      </c>
      <c r="J192" s="14" t="s">
        <v>87</v>
      </c>
      <c r="K192" s="14">
        <v>2.0</v>
      </c>
      <c r="L192" s="14" t="str">
        <f t="array" ref="L192">INDEX('School Rep'!$A$2:$A$21, MATCH(J192, 'School Rep'!$B$2:$B$21, 0))</f>
        <v>Debby Pope</v>
      </c>
      <c r="M192" s="12">
        <v>1.5</v>
      </c>
      <c r="N192" s="16" t="s">
        <v>98</v>
      </c>
      <c r="O192" s="8" t="str">
        <f t="shared" si="1"/>
        <v>4929 N Sawyer Ave </v>
      </c>
      <c r="P192" s="12">
        <v>33.0</v>
      </c>
      <c r="Q192" s="13" t="s">
        <v>99</v>
      </c>
    </row>
    <row r="193">
      <c r="A193" s="7">
        <v>610523.0</v>
      </c>
      <c r="B193" s="13" t="s">
        <v>668</v>
      </c>
      <c r="C193" s="9" t="s">
        <v>669</v>
      </c>
      <c r="D193" s="10">
        <v>0.027</v>
      </c>
      <c r="E193" s="11" t="s">
        <v>80</v>
      </c>
      <c r="F193" s="11" t="s">
        <v>97</v>
      </c>
      <c r="G193" s="8" t="str">
        <f>VLOOKUP(F193, 'Network Chiefs'!A:B, 2, FALSE)
</f>
        <v>Julie McGlade</v>
      </c>
      <c r="H193" s="12">
        <v>38.0</v>
      </c>
      <c r="I193" s="13" t="s">
        <v>41</v>
      </c>
      <c r="J193" s="14" t="s">
        <v>199</v>
      </c>
      <c r="K193" s="14">
        <v>1.0</v>
      </c>
      <c r="L193" s="14" t="str">
        <f t="array" ref="L193">INDEX('School Rep'!$A$2:$A$21, MATCH(J193, 'School Rep'!$B$2:$B$21, 0))</f>
        <v>Ed Bannon</v>
      </c>
      <c r="M193" s="12">
        <v>2.1</v>
      </c>
      <c r="N193" s="16" t="s">
        <v>670</v>
      </c>
      <c r="O193" s="8" t="str">
        <f t="shared" si="1"/>
        <v>6220 N Olcott Ave </v>
      </c>
      <c r="P193" s="12">
        <v>41.0</v>
      </c>
      <c r="Q193" s="13" t="s">
        <v>201</v>
      </c>
    </row>
    <row r="194">
      <c r="A194" s="7">
        <v>609903.0</v>
      </c>
      <c r="B194" s="8" t="s">
        <v>671</v>
      </c>
      <c r="C194" s="18" t="s">
        <v>672</v>
      </c>
      <c r="D194" s="19">
        <v>0.08</v>
      </c>
      <c r="E194" s="18" t="s">
        <v>80</v>
      </c>
      <c r="F194" s="18" t="s">
        <v>285</v>
      </c>
      <c r="G194" s="8" t="str">
        <f>VLOOKUP(F194, 'Network Chiefs'!A:B, 2, FALSE)
</f>
        <v>Gilberto Piedrahita</v>
      </c>
      <c r="H194" s="12">
        <v>52.0</v>
      </c>
      <c r="I194" s="13" t="s">
        <v>20</v>
      </c>
      <c r="J194" s="14" t="s">
        <v>21</v>
      </c>
      <c r="K194" s="14">
        <v>7.0</v>
      </c>
      <c r="L194" s="14" t="str">
        <f t="array" ref="L194">INDEX('School Rep'!$A$2:$A$21, MATCH(J194, 'School Rep'!$B$2:$B$21, 0))</f>
        <v>Yesenia Lopez</v>
      </c>
      <c r="M194" s="15">
        <v>3.3</v>
      </c>
      <c r="N194" s="16" t="s">
        <v>673</v>
      </c>
      <c r="O194" s="8" t="str">
        <f t="shared" si="1"/>
        <v>4815 S Karlov Ave </v>
      </c>
      <c r="P194" s="12">
        <v>14.0</v>
      </c>
      <c r="Q194" s="13" t="s">
        <v>54</v>
      </c>
    </row>
    <row r="195">
      <c r="A195" s="7">
        <v>609904.0</v>
      </c>
      <c r="B195" s="12" t="s">
        <v>674</v>
      </c>
      <c r="C195" s="18" t="s">
        <v>675</v>
      </c>
      <c r="D195" s="19">
        <v>0.236</v>
      </c>
      <c r="E195" s="18" t="s">
        <v>80</v>
      </c>
      <c r="F195" s="18" t="s">
        <v>231</v>
      </c>
      <c r="G195" s="8" t="str">
        <f>VLOOKUP(F195, 'Network Chiefs'!A:B, 2, FALSE)
</f>
        <v>Jennifer Farrell‐Rottman</v>
      </c>
      <c r="H195" s="12">
        <v>54.0</v>
      </c>
      <c r="I195" s="13" t="s">
        <v>20</v>
      </c>
      <c r="J195" s="14" t="s">
        <v>31</v>
      </c>
      <c r="K195" s="14">
        <v>5.0</v>
      </c>
      <c r="L195" s="14" t="str">
        <f t="array" ref="L195">INDEX('School Rep'!$A$2:$A$21, MATCH(J195, 'School Rep'!$B$2:$B$21, 0))</f>
        <v>Aaron "Jitu" Brown</v>
      </c>
      <c r="M195" s="12">
        <v>3.1</v>
      </c>
      <c r="N195" s="16" t="s">
        <v>676</v>
      </c>
      <c r="O195" s="8" t="str">
        <f t="shared" si="1"/>
        <v>243 N Parkside Ave </v>
      </c>
      <c r="P195" s="12">
        <v>29.0</v>
      </c>
      <c r="Q195" s="13" t="s">
        <v>33</v>
      </c>
    </row>
    <row r="196">
      <c r="A196" s="7">
        <v>610592.0</v>
      </c>
      <c r="B196" s="8" t="s">
        <v>677</v>
      </c>
      <c r="C196" s="18" t="s">
        <v>678</v>
      </c>
      <c r="D196" s="19">
        <v>0.251</v>
      </c>
      <c r="E196" s="18" t="s">
        <v>80</v>
      </c>
      <c r="F196" s="18" t="s">
        <v>92</v>
      </c>
      <c r="G196" s="8" t="str">
        <f>VLOOKUP(F196, 'Network Chiefs'!A:B, 2, FALSE)
</f>
        <v>Devon LaRosa</v>
      </c>
      <c r="H196" s="12">
        <v>22.0</v>
      </c>
      <c r="I196" s="13" t="s">
        <v>41</v>
      </c>
      <c r="J196" s="14" t="s">
        <v>204</v>
      </c>
      <c r="K196" s="14">
        <v>6.0</v>
      </c>
      <c r="L196" s="14" t="str">
        <f t="array" ref="L196">INDEX('School Rep'!$A$2:$A$21, MATCH(J196, 'School Rep'!$B$2:$B$21, 0))</f>
        <v>Jessica Biggs</v>
      </c>
      <c r="M196" s="15">
        <v>3.9</v>
      </c>
      <c r="N196" s="16" t="s">
        <v>679</v>
      </c>
      <c r="O196" s="8" t="str">
        <f t="shared" si="1"/>
        <v>6835 S Normal </v>
      </c>
      <c r="P196" s="12">
        <v>6.0</v>
      </c>
      <c r="Q196" s="13" t="s">
        <v>306</v>
      </c>
    </row>
    <row r="197">
      <c r="A197" s="7">
        <v>400094.0</v>
      </c>
      <c r="B197" s="13" t="s">
        <v>680</v>
      </c>
      <c r="C197" s="9" t="s">
        <v>681</v>
      </c>
      <c r="D197" s="10">
        <v>0.099</v>
      </c>
      <c r="E197" s="11" t="s">
        <v>19</v>
      </c>
      <c r="F197" s="11" t="s">
        <v>19</v>
      </c>
      <c r="G197" s="8" t="str">
        <f>VLOOKUP(F197, 'Network Chiefs'!A:B, 2, FALSE)
</f>
        <v>#N/A</v>
      </c>
      <c r="H197" s="12">
        <v>39.0</v>
      </c>
      <c r="I197" s="13" t="s">
        <v>41</v>
      </c>
      <c r="J197" s="14" t="s">
        <v>121</v>
      </c>
      <c r="K197" s="14">
        <v>10.0</v>
      </c>
      <c r="L197" s="14" t="str">
        <f t="array" ref="L197">INDEX('School Rep'!$A$2:$A$21, MATCH(J197, 'School Rep'!$B$2:$B$21, 0))</f>
        <v>Che "Rhymefest" Smith</v>
      </c>
      <c r="M197" s="12">
        <v>3.8</v>
      </c>
      <c r="N197" s="16" t="s">
        <v>682</v>
      </c>
      <c r="O197" s="8" t="str">
        <f t="shared" si="1"/>
        <v>8255 S Houston Ave </v>
      </c>
      <c r="P197" s="12">
        <v>7.0</v>
      </c>
      <c r="Q197" s="13" t="s">
        <v>260</v>
      </c>
    </row>
    <row r="198">
      <c r="A198" s="7">
        <v>609907.0</v>
      </c>
      <c r="B198" s="8" t="s">
        <v>683</v>
      </c>
      <c r="C198" s="18" t="s">
        <v>684</v>
      </c>
      <c r="D198" s="19">
        <v>0.11</v>
      </c>
      <c r="E198" s="18" t="s">
        <v>80</v>
      </c>
      <c r="F198" s="18" t="s">
        <v>216</v>
      </c>
      <c r="G198" s="8" t="str">
        <f>VLOOKUP(F198, 'Network Chiefs'!A:B, 2, FALSE)
</f>
        <v>Shontae Higginbottom</v>
      </c>
      <c r="H198" s="12">
        <v>32.0</v>
      </c>
      <c r="I198" s="13" t="s">
        <v>41</v>
      </c>
      <c r="J198" s="14" t="s">
        <v>217</v>
      </c>
      <c r="K198" s="14">
        <v>5.0</v>
      </c>
      <c r="L198" s="14" t="str">
        <f t="array" ref="L198">INDEX('School Rep'!$A$2:$A$21, MATCH(J198, 'School Rep'!$B$2:$B$21, 0))</f>
        <v>Michilla Blaise</v>
      </c>
      <c r="M198" s="15">
        <v>3.3</v>
      </c>
      <c r="N198" s="16" t="s">
        <v>685</v>
      </c>
      <c r="O198" s="8" t="str">
        <f t="shared" si="1"/>
        <v>3600 W 5th Ave </v>
      </c>
      <c r="P198" s="12">
        <v>28.0</v>
      </c>
      <c r="Q198" s="13" t="s">
        <v>399</v>
      </c>
    </row>
    <row r="199">
      <c r="A199" s="7">
        <v>400039.0</v>
      </c>
      <c r="B199" s="12" t="s">
        <v>686</v>
      </c>
      <c r="C199" s="9" t="s">
        <v>687</v>
      </c>
      <c r="D199" s="10">
        <v>0.052</v>
      </c>
      <c r="E199" s="11" t="s">
        <v>19</v>
      </c>
      <c r="F199" s="11" t="s">
        <v>19</v>
      </c>
      <c r="G199" s="8" t="str">
        <f>VLOOKUP(F199, 'Network Chiefs'!A:B, 2, FALSE)
</f>
        <v>#N/A</v>
      </c>
      <c r="H199" s="12">
        <v>36.0</v>
      </c>
      <c r="I199" s="13" t="s">
        <v>41</v>
      </c>
      <c r="J199" s="14" t="s">
        <v>232</v>
      </c>
      <c r="K199" s="14">
        <v>3.0</v>
      </c>
      <c r="L199" s="14" t="str">
        <f t="array" ref="L199">INDEX('School Rep'!$A$2:$A$21, MATCH(J199, 'School Rep'!$B$2:$B$21, 0))</f>
        <v>Carlos Rivas</v>
      </c>
      <c r="M199" s="12">
        <v>3.2</v>
      </c>
      <c r="N199" s="16" t="s">
        <v>688</v>
      </c>
      <c r="O199" s="8" t="str">
        <f t="shared" si="1"/>
        <v>1405 N Washtenaw Ave </v>
      </c>
      <c r="P199" s="12">
        <v>26.0</v>
      </c>
      <c r="Q199" s="13" t="s">
        <v>378</v>
      </c>
    </row>
    <row r="200">
      <c r="A200" s="7">
        <v>609908.0</v>
      </c>
      <c r="B200" s="8" t="s">
        <v>689</v>
      </c>
      <c r="C200" s="9" t="s">
        <v>690</v>
      </c>
      <c r="D200" s="10">
        <v>0.126</v>
      </c>
      <c r="E200" s="11" t="s">
        <v>80</v>
      </c>
      <c r="F200" s="11" t="s">
        <v>138</v>
      </c>
      <c r="G200" s="8" t="str">
        <f>VLOOKUP(F200, 'Network Chiefs'!A:B, 2, FALSE)
</f>
        <v>Mira Weber</v>
      </c>
      <c r="H200" s="12">
        <v>50.0</v>
      </c>
      <c r="I200" s="13" t="s">
        <v>20</v>
      </c>
      <c r="J200" s="14" t="s">
        <v>178</v>
      </c>
      <c r="K200" s="14">
        <v>9.0</v>
      </c>
      <c r="L200" s="14" t="str">
        <f t="array" ref="L200">INDEX('School Rep'!$A$2:$A$21, MATCH(J200, 'School Rep'!$B$2:$B$21, 0))</f>
        <v>Therese Boyle</v>
      </c>
      <c r="M200" s="15">
        <v>3.4</v>
      </c>
      <c r="N200" s="16" t="s">
        <v>691</v>
      </c>
      <c r="O200" s="8" t="str">
        <f t="shared" si="1"/>
        <v>1865 W Montvale Ave </v>
      </c>
      <c r="P200" s="12">
        <v>19.0</v>
      </c>
      <c r="Q200" s="13" t="s">
        <v>180</v>
      </c>
    </row>
    <row r="201">
      <c r="A201" s="7">
        <v>609909.0</v>
      </c>
      <c r="B201" s="8" t="s">
        <v>692</v>
      </c>
      <c r="C201" s="9" t="s">
        <v>693</v>
      </c>
      <c r="D201" s="10">
        <v>0.158</v>
      </c>
      <c r="E201" s="11" t="s">
        <v>80</v>
      </c>
      <c r="F201" s="11" t="s">
        <v>126</v>
      </c>
      <c r="G201" s="8" t="str">
        <f>VLOOKUP(F201, 'Network Chiefs'!A:B, 2, FALSE)
</f>
        <v>#N/A</v>
      </c>
      <c r="H201" s="12">
        <v>71.0</v>
      </c>
      <c r="I201" s="13" t="s">
        <v>52</v>
      </c>
      <c r="J201" s="14" t="s">
        <v>21</v>
      </c>
      <c r="K201" s="14">
        <v>7.0</v>
      </c>
      <c r="L201" s="14" t="str">
        <f t="array" ref="L201">INDEX('School Rep'!$A$2:$A$21, MATCH(J201, 'School Rep'!$B$2:$B$21, 0))</f>
        <v>Yesenia Lopez</v>
      </c>
      <c r="M201" s="15">
        <v>3.1</v>
      </c>
      <c r="N201" s="16" t="s">
        <v>694</v>
      </c>
      <c r="O201" s="8" t="str">
        <f t="shared" si="1"/>
        <v>3419 S Bell Ave </v>
      </c>
      <c r="P201" s="12">
        <v>12.0</v>
      </c>
      <c r="Q201" s="13" t="s">
        <v>23</v>
      </c>
    </row>
    <row r="202">
      <c r="A202" s="7">
        <v>610319.0</v>
      </c>
      <c r="B202" s="8" t="s">
        <v>695</v>
      </c>
      <c r="C202" s="18" t="s">
        <v>696</v>
      </c>
      <c r="D202" s="19">
        <v>0.076</v>
      </c>
      <c r="E202" s="18" t="s">
        <v>80</v>
      </c>
      <c r="F202" s="18" t="s">
        <v>285</v>
      </c>
      <c r="G202" s="8" t="str">
        <f>VLOOKUP(F202, 'Network Chiefs'!A:B, 2, FALSE)
</f>
        <v>Gilberto Piedrahita</v>
      </c>
      <c r="H202" s="12">
        <v>81.0</v>
      </c>
      <c r="I202" s="13" t="s">
        <v>248</v>
      </c>
      <c r="J202" s="14" t="s">
        <v>26</v>
      </c>
      <c r="K202" s="14">
        <v>8.0</v>
      </c>
      <c r="L202" s="14" t="str">
        <f t="array" ref="L202">INDEX('School Rep'!$A$2:$A$21, MATCH(J202, 'School Rep'!$B$2:$B$21, 0))</f>
        <v>Cydney Wallace</v>
      </c>
      <c r="M202" s="15">
        <v>3.1</v>
      </c>
      <c r="N202" s="16" t="s">
        <v>697</v>
      </c>
      <c r="O202" s="8" t="str">
        <f t="shared" si="1"/>
        <v>3537 S Paulina St </v>
      </c>
      <c r="P202" s="12">
        <v>11.0</v>
      </c>
      <c r="Q202" s="13" t="s">
        <v>94</v>
      </c>
    </row>
    <row r="203">
      <c r="A203" s="7">
        <v>610362.0</v>
      </c>
      <c r="B203" s="8" t="s">
        <v>698</v>
      </c>
      <c r="C203" s="18" t="s">
        <v>699</v>
      </c>
      <c r="D203" s="19">
        <v>0.146</v>
      </c>
      <c r="E203" s="18" t="s">
        <v>80</v>
      </c>
      <c r="F203" s="18" t="s">
        <v>186</v>
      </c>
      <c r="G203" s="8" t="str">
        <f>VLOOKUP(F203, 'Network Chiefs'!A:B, 2, FALSE)
</f>
        <v>Latasha Geverola</v>
      </c>
      <c r="H203" s="12">
        <v>47.0</v>
      </c>
      <c r="I203" s="13" t="s">
        <v>20</v>
      </c>
      <c r="J203" s="14" t="s">
        <v>178</v>
      </c>
      <c r="K203" s="14">
        <v>9.0</v>
      </c>
      <c r="L203" s="14" t="str">
        <f t="array" ref="L203">INDEX('School Rep'!$A$2:$A$21, MATCH(J203, 'School Rep'!$B$2:$B$21, 0))</f>
        <v>Therese Boyle</v>
      </c>
      <c r="M203" s="15">
        <v>3.3</v>
      </c>
      <c r="N203" s="16" t="s">
        <v>700</v>
      </c>
      <c r="O203" s="8" t="str">
        <f t="shared" si="1"/>
        <v>9811 S Lowe Ave </v>
      </c>
      <c r="P203" s="12">
        <v>9.0</v>
      </c>
      <c r="Q203" s="13" t="s">
        <v>237</v>
      </c>
    </row>
    <row r="204">
      <c r="A204" s="7">
        <v>610565.0</v>
      </c>
      <c r="B204" s="8" t="s">
        <v>701</v>
      </c>
      <c r="C204" s="18" t="s">
        <v>702</v>
      </c>
      <c r="D204" s="19">
        <v>0.0</v>
      </c>
      <c r="E204" s="18" t="s">
        <v>411</v>
      </c>
      <c r="F204" s="18" t="s">
        <v>426</v>
      </c>
      <c r="G204" s="8" t="str">
        <f>VLOOKUP(F204, 'Network Chiefs'!A:B, 2, FALSE)
</f>
        <v>Richard Smith</v>
      </c>
      <c r="H204" s="12">
        <v>50.0</v>
      </c>
      <c r="I204" s="13" t="s">
        <v>20</v>
      </c>
      <c r="J204" s="14"/>
      <c r="K204" s="14">
        <v>8.0</v>
      </c>
      <c r="L204" s="15" t="s">
        <v>384</v>
      </c>
      <c r="M204" s="15" t="s">
        <v>384</v>
      </c>
      <c r="N204" s="16" t="s">
        <v>703</v>
      </c>
      <c r="O204" s="8" t="str">
        <f t="shared" si="1"/>
        <v>7141 S Morgan </v>
      </c>
      <c r="P204" s="12">
        <v>17.0</v>
      </c>
      <c r="Q204" s="13" t="s">
        <v>189</v>
      </c>
    </row>
    <row r="205">
      <c r="A205" s="7">
        <v>400175.0</v>
      </c>
      <c r="B205" s="8" t="s">
        <v>704</v>
      </c>
      <c r="C205" s="18" t="s">
        <v>705</v>
      </c>
      <c r="D205" s="19">
        <v>0.0</v>
      </c>
      <c r="E205" s="18" t="s">
        <v>411</v>
      </c>
      <c r="F205" s="18" t="s">
        <v>426</v>
      </c>
      <c r="G205" s="8" t="str">
        <f>VLOOKUP(F205, 'Network Chiefs'!A:B, 2, FALSE)
</f>
        <v>Richard Smith</v>
      </c>
      <c r="H205" s="12">
        <v>54.0</v>
      </c>
      <c r="I205" s="13" t="s">
        <v>20</v>
      </c>
      <c r="J205" s="14"/>
      <c r="K205" s="14">
        <v>3.0</v>
      </c>
      <c r="L205" s="15" t="s">
        <v>384</v>
      </c>
      <c r="M205" s="15" t="s">
        <v>384</v>
      </c>
      <c r="N205" s="16" t="s">
        <v>706</v>
      </c>
      <c r="O205" s="8" t="str">
        <f t="shared" si="1"/>
        <v>7530 S South Shore Dr </v>
      </c>
      <c r="P205" s="12">
        <v>7.0</v>
      </c>
      <c r="Q205" s="13" t="s">
        <v>260</v>
      </c>
    </row>
    <row r="206">
      <c r="A206" s="7">
        <v>400176.0</v>
      </c>
      <c r="B206" s="8" t="s">
        <v>707</v>
      </c>
      <c r="C206" s="18" t="s">
        <v>708</v>
      </c>
      <c r="D206" s="19">
        <v>0.0</v>
      </c>
      <c r="E206" s="18" t="s">
        <v>411</v>
      </c>
      <c r="F206" s="18" t="s">
        <v>426</v>
      </c>
      <c r="G206" s="8" t="str">
        <f>VLOOKUP(F206, 'Network Chiefs'!A:B, 2, FALSE)
</f>
        <v>Richard Smith</v>
      </c>
      <c r="H206" s="15"/>
      <c r="I206" s="8"/>
      <c r="J206" s="14"/>
      <c r="K206" s="14">
        <v>5.0</v>
      </c>
      <c r="L206" s="15" t="s">
        <v>384</v>
      </c>
      <c r="M206" s="15" t="s">
        <v>384</v>
      </c>
      <c r="N206" s="16" t="s">
        <v>709</v>
      </c>
      <c r="O206" s="8" t="str">
        <f t="shared" si="1"/>
        <v>7050 S Washtenaw Ave </v>
      </c>
      <c r="P206" s="12">
        <v>17.0</v>
      </c>
      <c r="Q206" s="13" t="s">
        <v>189</v>
      </c>
    </row>
    <row r="207">
      <c r="A207" s="7">
        <v>610057.0</v>
      </c>
      <c r="B207" s="8" t="s">
        <v>710</v>
      </c>
      <c r="C207" s="18" t="s">
        <v>711</v>
      </c>
      <c r="D207" s="19">
        <v>0.111</v>
      </c>
      <c r="E207" s="18" t="s">
        <v>80</v>
      </c>
      <c r="F207" s="18" t="s">
        <v>138</v>
      </c>
      <c r="G207" s="8" t="str">
        <f>VLOOKUP(F207, 'Network Chiefs'!A:B, 2, FALSE)
</f>
        <v>Mira Weber</v>
      </c>
      <c r="H207" s="12">
        <v>35.0</v>
      </c>
      <c r="I207" s="13" t="s">
        <v>41</v>
      </c>
      <c r="J207" s="14" t="s">
        <v>26</v>
      </c>
      <c r="K207" s="14">
        <v>8.0</v>
      </c>
      <c r="L207" s="14" t="str">
        <f t="array" ref="L207">INDEX('School Rep'!$A$2:$A$21, MATCH(J207, 'School Rep'!$B$2:$B$21, 0))</f>
        <v>Cydney Wallace</v>
      </c>
      <c r="M207" s="15">
        <v>3.4</v>
      </c>
      <c r="N207" s="16" t="s">
        <v>712</v>
      </c>
      <c r="O207" s="8" t="str">
        <f t="shared" si="1"/>
        <v>6201 S Fairfield Ave </v>
      </c>
      <c r="P207" s="12">
        <v>16.0</v>
      </c>
      <c r="Q207" s="13" t="s">
        <v>193</v>
      </c>
    </row>
    <row r="208">
      <c r="A208" s="7">
        <v>609910.0</v>
      </c>
      <c r="B208" s="12" t="s">
        <v>713</v>
      </c>
      <c r="C208" s="18" t="s">
        <v>714</v>
      </c>
      <c r="D208" s="19">
        <v>0.095</v>
      </c>
      <c r="E208" s="18" t="s">
        <v>80</v>
      </c>
      <c r="F208" s="18" t="s">
        <v>231</v>
      </c>
      <c r="G208" s="8" t="str">
        <f>VLOOKUP(F208, 'Network Chiefs'!A:B, 2, FALSE)
</f>
        <v>Jennifer Farrell‐Rottman</v>
      </c>
      <c r="H208" s="12">
        <v>65.0</v>
      </c>
      <c r="I208" s="13" t="s">
        <v>52</v>
      </c>
      <c r="J208" s="14" t="s">
        <v>47</v>
      </c>
      <c r="K208" s="14">
        <v>3.0</v>
      </c>
      <c r="L208" s="14" t="str">
        <f t="array" ref="L208">INDEX('School Rep'!$A$2:$A$21, MATCH(J208, 'School Rep'!$B$2:$B$21, 0))</f>
        <v>Norma Rios-Sierra</v>
      </c>
      <c r="M208" s="12">
        <v>3.0</v>
      </c>
      <c r="N208" s="16" t="s">
        <v>715</v>
      </c>
      <c r="O208" s="8" t="str">
        <f t="shared" si="1"/>
        <v>3020 N Lamon Ave </v>
      </c>
      <c r="P208" s="12">
        <v>31.0</v>
      </c>
      <c r="Q208" s="13" t="s">
        <v>152</v>
      </c>
    </row>
    <row r="209">
      <c r="A209" s="7">
        <v>610055.0</v>
      </c>
      <c r="B209" s="8" t="s">
        <v>716</v>
      </c>
      <c r="C209" s="9" t="s">
        <v>717</v>
      </c>
      <c r="D209" s="10">
        <v>0.269</v>
      </c>
      <c r="E209" s="11" t="s">
        <v>80</v>
      </c>
      <c r="F209" s="11" t="s">
        <v>216</v>
      </c>
      <c r="G209" s="8" t="str">
        <f>VLOOKUP(F209, 'Network Chiefs'!A:B, 2, FALSE)
</f>
        <v>Shontae Higginbottom</v>
      </c>
      <c r="H209" s="12">
        <v>72.0</v>
      </c>
      <c r="I209" s="13" t="s">
        <v>52</v>
      </c>
      <c r="J209" s="14" t="s">
        <v>217</v>
      </c>
      <c r="K209" s="14">
        <v>5.0</v>
      </c>
      <c r="L209" s="14" t="str">
        <f t="array" ref="L209">INDEX('School Rep'!$A$2:$A$21, MATCH(J209, 'School Rep'!$B$2:$B$21, 0))</f>
        <v>Michilla Blaise</v>
      </c>
      <c r="M209" s="15">
        <v>3.7</v>
      </c>
      <c r="N209" s="16" t="s">
        <v>718</v>
      </c>
      <c r="O209" s="8" t="str">
        <f t="shared" si="1"/>
        <v>3250 W Monroe St </v>
      </c>
      <c r="P209" s="12">
        <v>28.0</v>
      </c>
      <c r="Q209" s="13" t="s">
        <v>399</v>
      </c>
    </row>
    <row r="210">
      <c r="A210" s="7">
        <v>609928.0</v>
      </c>
      <c r="B210" s="8" t="s">
        <v>719</v>
      </c>
      <c r="C210" s="20" t="s">
        <v>720</v>
      </c>
      <c r="D210" s="21">
        <v>0.147</v>
      </c>
      <c r="E210" s="20" t="s">
        <v>80</v>
      </c>
      <c r="F210" s="20" t="s">
        <v>120</v>
      </c>
      <c r="G210" s="8" t="str">
        <f>VLOOKUP(F210, 'Network Chiefs'!A:B, 2, FALSE)
</f>
        <v>Alene Mason</v>
      </c>
      <c r="H210" s="12">
        <v>34.0</v>
      </c>
      <c r="I210" s="13" t="s">
        <v>41</v>
      </c>
      <c r="J210" s="15" t="s">
        <v>384</v>
      </c>
      <c r="K210" s="15" t="s">
        <v>384</v>
      </c>
      <c r="L210" s="15" t="s">
        <v>384</v>
      </c>
      <c r="M210" s="15" t="s">
        <v>384</v>
      </c>
      <c r="N210" s="16" t="s">
        <v>721</v>
      </c>
      <c r="O210" s="8" t="str">
        <f t="shared" si="1"/>
        <v>4214 S St Lawrence Ave </v>
      </c>
      <c r="P210" s="12">
        <v>4.0</v>
      </c>
      <c r="Q210" s="13" t="s">
        <v>123</v>
      </c>
    </row>
    <row r="211">
      <c r="A211" s="7">
        <v>609912.0</v>
      </c>
      <c r="B211" s="13" t="s">
        <v>722</v>
      </c>
      <c r="C211" s="11" t="s">
        <v>723</v>
      </c>
      <c r="D211" s="10">
        <v>0.079</v>
      </c>
      <c r="E211" s="11" t="s">
        <v>80</v>
      </c>
      <c r="F211" s="11" t="s">
        <v>97</v>
      </c>
      <c r="G211" s="8" t="str">
        <f>VLOOKUP(F211, 'Network Chiefs'!A:B, 2, FALSE)
</f>
        <v>Julie McGlade</v>
      </c>
      <c r="H211" s="15"/>
      <c r="I211" s="8"/>
      <c r="J211" s="14" t="s">
        <v>199</v>
      </c>
      <c r="K211" s="14">
        <v>1.0</v>
      </c>
      <c r="L211" s="14" t="str">
        <f t="array" ref="L211">INDEX('School Rep'!$A$2:$A$21, MATCH(J211, 'School Rep'!$B$2:$B$21, 0))</f>
        <v>Ed Bannon</v>
      </c>
      <c r="M211" s="12">
        <v>2.3</v>
      </c>
      <c r="N211" s="16" t="s">
        <v>724</v>
      </c>
      <c r="O211" s="8" t="str">
        <f t="shared" si="1"/>
        <v>5414 N Linder Ave </v>
      </c>
      <c r="P211" s="12">
        <v>45.0</v>
      </c>
      <c r="Q211" s="13" t="s">
        <v>210</v>
      </c>
    </row>
    <row r="212">
      <c r="A212" s="7">
        <v>609704.0</v>
      </c>
      <c r="B212" s="8" t="s">
        <v>725</v>
      </c>
      <c r="C212" s="9" t="s">
        <v>726</v>
      </c>
      <c r="D212" s="10">
        <v>0.191</v>
      </c>
      <c r="E212" s="11" t="s">
        <v>80</v>
      </c>
      <c r="F212" s="11" t="s">
        <v>92</v>
      </c>
      <c r="G212" s="8" t="str">
        <f>VLOOKUP(F212, 'Network Chiefs'!A:B, 2, FALSE)
</f>
        <v>Devon LaRosa</v>
      </c>
      <c r="H212" s="12">
        <v>39.0</v>
      </c>
      <c r="I212" s="13" t="s">
        <v>41</v>
      </c>
      <c r="J212" s="14" t="s">
        <v>42</v>
      </c>
      <c r="K212" s="14">
        <v>7.0</v>
      </c>
      <c r="L212" s="14" t="str">
        <f t="array" ref="L212">INDEX('School Rep'!$A$2:$A$21, MATCH(J212, 'School Rep'!$B$2:$B$21, 0))</f>
        <v>Emma Lozano</v>
      </c>
      <c r="M212" s="15">
        <v>3.5</v>
      </c>
      <c r="N212" s="16" t="s">
        <v>727</v>
      </c>
      <c r="O212" s="8" t="str">
        <f t="shared" si="1"/>
        <v>2345 S Christiana Ave </v>
      </c>
      <c r="P212" s="12">
        <v>22.0</v>
      </c>
      <c r="Q212" s="13" t="s">
        <v>353</v>
      </c>
    </row>
    <row r="213">
      <c r="A213" s="7">
        <v>609705.0</v>
      </c>
      <c r="B213" s="8" t="s">
        <v>728</v>
      </c>
      <c r="C213" s="9" t="s">
        <v>729</v>
      </c>
      <c r="D213" s="10">
        <v>0.292</v>
      </c>
      <c r="E213" s="11" t="s">
        <v>80</v>
      </c>
      <c r="F213" s="11" t="s">
        <v>263</v>
      </c>
      <c r="G213" s="8" t="str">
        <f>VLOOKUP(F213, 'Network Chiefs'!A:B, 2, FALSE)
</f>
        <v>Myron Hester</v>
      </c>
      <c r="H213" s="12">
        <v>36.0</v>
      </c>
      <c r="I213" s="13" t="s">
        <v>41</v>
      </c>
      <c r="J213" s="14" t="s">
        <v>178</v>
      </c>
      <c r="K213" s="14">
        <v>9.0</v>
      </c>
      <c r="L213" s="14" t="str">
        <f t="array" ref="L213">INDEX('School Rep'!$A$2:$A$21, MATCH(J213, 'School Rep'!$B$2:$B$21, 0))</f>
        <v>Therese Boyle</v>
      </c>
      <c r="M213" s="15">
        <v>4.0</v>
      </c>
      <c r="N213" s="16" t="s">
        <v>730</v>
      </c>
      <c r="O213" s="8" t="str">
        <f t="shared" si="1"/>
        <v>11220 S Wallace St </v>
      </c>
      <c r="P213" s="12">
        <v>21.0</v>
      </c>
      <c r="Q213" s="13" t="s">
        <v>428</v>
      </c>
    </row>
    <row r="214">
      <c r="A214" s="7">
        <v>609917.0</v>
      </c>
      <c r="B214" s="8" t="s">
        <v>731</v>
      </c>
      <c r="C214" s="18" t="s">
        <v>732</v>
      </c>
      <c r="D214" s="19">
        <v>0.094</v>
      </c>
      <c r="E214" s="18" t="s">
        <v>80</v>
      </c>
      <c r="F214" s="18" t="s">
        <v>81</v>
      </c>
      <c r="G214" s="8" t="str">
        <f>VLOOKUP(F214, 'Network Chiefs'!A:B, 2, FALSE)
</f>
        <v>Dr. Terrycita D. Perry</v>
      </c>
      <c r="H214" s="12">
        <v>51.0</v>
      </c>
      <c r="I214" s="13" t="s">
        <v>20</v>
      </c>
      <c r="J214" s="14" t="s">
        <v>178</v>
      </c>
      <c r="K214" s="14">
        <v>9.0</v>
      </c>
      <c r="L214" s="14" t="str">
        <f t="array" ref="L214">INDEX('School Rep'!$A$2:$A$21, MATCH(J214, 'School Rep'!$B$2:$B$21, 0))</f>
        <v>Therese Boyle</v>
      </c>
      <c r="M214" s="15">
        <v>2.7</v>
      </c>
      <c r="N214" s="16" t="s">
        <v>733</v>
      </c>
      <c r="O214" s="8" t="str">
        <f t="shared" si="1"/>
        <v>10041 S Union Ave </v>
      </c>
      <c r="P214" s="12">
        <v>21.0</v>
      </c>
      <c r="Q214" s="13" t="s">
        <v>428</v>
      </c>
    </row>
    <row r="215">
      <c r="A215" s="7">
        <v>609918.0</v>
      </c>
      <c r="B215" s="13" t="s">
        <v>734</v>
      </c>
      <c r="C215" s="18" t="s">
        <v>735</v>
      </c>
      <c r="D215" s="19">
        <v>0.158</v>
      </c>
      <c r="E215" s="18" t="s">
        <v>80</v>
      </c>
      <c r="F215" s="18" t="s">
        <v>270</v>
      </c>
      <c r="G215" s="8" t="str">
        <f>VLOOKUP(F215, 'Network Chiefs'!A:B, 2, FALSE)
</f>
        <v>Marilou Rebolledo</v>
      </c>
      <c r="H215" s="15"/>
      <c r="I215" s="8"/>
      <c r="J215" s="14" t="s">
        <v>36</v>
      </c>
      <c r="K215" s="14">
        <v>2.0</v>
      </c>
      <c r="L215" s="14" t="str">
        <f t="array" ref="L215">INDEX('School Rep'!$A$2:$A$21, MATCH(J215, 'School Rep'!$B$2:$B$21, 0))</f>
        <v>Ebony DeBerry</v>
      </c>
      <c r="M215" s="12">
        <v>3.2</v>
      </c>
      <c r="N215" s="16" t="s">
        <v>736</v>
      </c>
      <c r="O215" s="8" t="str">
        <f t="shared" si="1"/>
        <v>7019 N Ashland Ave </v>
      </c>
      <c r="P215" s="12">
        <v>49.0</v>
      </c>
      <c r="Q215" s="13" t="s">
        <v>38</v>
      </c>
    </row>
    <row r="216">
      <c r="A216" s="7">
        <v>609967.0</v>
      </c>
      <c r="B216" s="8" t="s">
        <v>737</v>
      </c>
      <c r="C216" s="18" t="s">
        <v>738</v>
      </c>
      <c r="D216" s="19">
        <v>0.197</v>
      </c>
      <c r="E216" s="18" t="s">
        <v>80</v>
      </c>
      <c r="F216" s="18" t="s">
        <v>529</v>
      </c>
      <c r="G216" s="8" t="str">
        <f>VLOOKUP(F216, 'Network Chiefs'!A:B, 2, FALSE)
</f>
        <v>Dr. Antonio Acevedo</v>
      </c>
      <c r="H216" s="12">
        <v>58.0</v>
      </c>
      <c r="I216" s="13" t="s">
        <v>20</v>
      </c>
      <c r="J216" s="14" t="s">
        <v>42</v>
      </c>
      <c r="K216" s="14">
        <v>7.0</v>
      </c>
      <c r="L216" s="14" t="str">
        <f t="array" ref="L216">INDEX('School Rep'!$A$2:$A$21, MATCH(J216, 'School Rep'!$B$2:$B$21, 0))</f>
        <v>Emma Lozano</v>
      </c>
      <c r="M216" s="15">
        <v>3.8</v>
      </c>
      <c r="N216" s="16" t="s">
        <v>739</v>
      </c>
      <c r="O216" s="8" t="str">
        <f t="shared" si="1"/>
        <v>2332 S Western Ave </v>
      </c>
      <c r="P216" s="12">
        <v>25.0</v>
      </c>
      <c r="Q216" s="13" t="s">
        <v>44</v>
      </c>
    </row>
    <row r="217">
      <c r="A217" s="7">
        <v>610595.0</v>
      </c>
      <c r="B217" s="8" t="s">
        <v>740</v>
      </c>
      <c r="C217" s="20" t="s">
        <v>741</v>
      </c>
      <c r="D217" s="21">
        <v>0.0</v>
      </c>
      <c r="E217" s="20" t="s">
        <v>80</v>
      </c>
      <c r="F217" s="20" t="s">
        <v>102</v>
      </c>
      <c r="G217" s="8" t="str">
        <f>VLOOKUP(F217, 'Network Chiefs'!A:B, 2, FALSE)
</f>
        <v>Jerry Travlos</v>
      </c>
      <c r="H217" s="15"/>
      <c r="I217" s="8"/>
      <c r="J217" s="15" t="s">
        <v>384</v>
      </c>
      <c r="K217" s="15" t="s">
        <v>384</v>
      </c>
      <c r="L217" s="15" t="s">
        <v>384</v>
      </c>
      <c r="M217" s="15">
        <v>2.2</v>
      </c>
      <c r="N217" s="16" t="s">
        <v>742</v>
      </c>
      <c r="O217" s="8" t="str">
        <f t="shared" si="1"/>
        <v>1840 N Clark St </v>
      </c>
      <c r="P217" s="12">
        <v>43.0</v>
      </c>
      <c r="Q217" s="13" t="s">
        <v>105</v>
      </c>
    </row>
    <row r="218">
      <c r="A218" s="7">
        <v>609919.0</v>
      </c>
      <c r="B218" s="8" t="s">
        <v>743</v>
      </c>
      <c r="C218" s="18" t="s">
        <v>744</v>
      </c>
      <c r="D218" s="19">
        <v>0.203</v>
      </c>
      <c r="E218" s="18" t="s">
        <v>80</v>
      </c>
      <c r="F218" s="18" t="s">
        <v>120</v>
      </c>
      <c r="G218" s="8" t="str">
        <f>VLOOKUP(F218, 'Network Chiefs'!A:B, 2, FALSE)
</f>
        <v>Alene Mason</v>
      </c>
      <c r="H218" s="12">
        <v>47.0</v>
      </c>
      <c r="I218" s="13" t="s">
        <v>20</v>
      </c>
      <c r="J218" s="14" t="s">
        <v>204</v>
      </c>
      <c r="K218" s="14">
        <v>6.0</v>
      </c>
      <c r="L218" s="14" t="str">
        <f t="array" ref="L218">INDEX('School Rep'!$A$2:$A$21, MATCH(J218, 'School Rep'!$B$2:$B$21, 0))</f>
        <v>Jessica Biggs</v>
      </c>
      <c r="M218" s="15">
        <v>2.8</v>
      </c>
      <c r="N218" s="16" t="s">
        <v>745</v>
      </c>
      <c r="O218" s="8" t="str">
        <f t="shared" si="1"/>
        <v>6020 S Langley Ave </v>
      </c>
      <c r="P218" s="12">
        <v>20.0</v>
      </c>
      <c r="Q218" s="13" t="s">
        <v>368</v>
      </c>
    </row>
    <row r="219">
      <c r="A219" s="7">
        <v>609708.0</v>
      </c>
      <c r="B219" s="13" t="s">
        <v>746</v>
      </c>
      <c r="C219" s="9" t="s">
        <v>747</v>
      </c>
      <c r="D219" s="10">
        <v>0.215</v>
      </c>
      <c r="E219" s="11" t="s">
        <v>80</v>
      </c>
      <c r="F219" s="11" t="s">
        <v>116</v>
      </c>
      <c r="G219" s="8" t="str">
        <f>VLOOKUP(F219, 'Network Chiefs'!A:B, 2, FALSE)
</f>
        <v>Dr. Laura LeMone</v>
      </c>
      <c r="H219" s="12">
        <v>23.0</v>
      </c>
      <c r="I219" s="13" t="s">
        <v>41</v>
      </c>
      <c r="J219" s="14" t="s">
        <v>222</v>
      </c>
      <c r="K219" s="14">
        <v>1.0</v>
      </c>
      <c r="L219" s="14" t="str">
        <f t="array" ref="L219">INDEX('School Rep'!$A$2:$A$21, MATCH(J219, 'School Rep'!$B$2:$B$21, 0))</f>
        <v>Jennifer Custer</v>
      </c>
      <c r="M219" s="12">
        <v>2.9</v>
      </c>
      <c r="N219" s="16" t="s">
        <v>748</v>
      </c>
      <c r="O219" s="8" t="str">
        <f t="shared" si="1"/>
        <v>3235 N Leclaire Ave </v>
      </c>
      <c r="P219" s="12">
        <v>31.0</v>
      </c>
      <c r="Q219" s="13" t="s">
        <v>152</v>
      </c>
    </row>
    <row r="220">
      <c r="A220" s="7">
        <v>609924.0</v>
      </c>
      <c r="B220" s="8" t="s">
        <v>749</v>
      </c>
      <c r="C220" s="17" t="s">
        <v>750</v>
      </c>
      <c r="D220" s="10">
        <v>0.137</v>
      </c>
      <c r="E220" s="11" t="s">
        <v>80</v>
      </c>
      <c r="F220" s="11" t="s">
        <v>186</v>
      </c>
      <c r="G220" s="8" t="str">
        <f>VLOOKUP(F220, 'Network Chiefs'!A:B, 2, FALSE)
</f>
        <v>Latasha Geverola</v>
      </c>
      <c r="H220" s="12">
        <v>56.0</v>
      </c>
      <c r="I220" s="13" t="s">
        <v>20</v>
      </c>
      <c r="J220" s="14" t="s">
        <v>187</v>
      </c>
      <c r="K220" s="14">
        <v>9.0</v>
      </c>
      <c r="L220" s="14" t="str">
        <f t="array" ref="L220">INDEX('School Rep'!$A$2:$A$21, MATCH(J220, 'School Rep'!$B$2:$B$21, 0))</f>
        <v>Frank Niles Thomas</v>
      </c>
      <c r="M220" s="15">
        <v>3.0</v>
      </c>
      <c r="N220" s="16" t="s">
        <v>751</v>
      </c>
      <c r="O220" s="8" t="str">
        <f t="shared" si="1"/>
        <v>9025 S Throop St </v>
      </c>
      <c r="P220" s="12">
        <v>21.0</v>
      </c>
      <c r="Q220" s="13" t="s">
        <v>428</v>
      </c>
    </row>
    <row r="221">
      <c r="A221" s="7">
        <v>609927.0</v>
      </c>
      <c r="B221" s="8" t="s">
        <v>752</v>
      </c>
      <c r="C221" s="18" t="s">
        <v>753</v>
      </c>
      <c r="D221" s="19">
        <v>0.131</v>
      </c>
      <c r="E221" s="18" t="s">
        <v>80</v>
      </c>
      <c r="F221" s="18" t="s">
        <v>186</v>
      </c>
      <c r="G221" s="8" t="str">
        <f>VLOOKUP(F221, 'Network Chiefs'!A:B, 2, FALSE)
</f>
        <v>Latasha Geverola</v>
      </c>
      <c r="H221" s="12">
        <v>49.0</v>
      </c>
      <c r="I221" s="13" t="s">
        <v>20</v>
      </c>
      <c r="J221" s="14" t="s">
        <v>187</v>
      </c>
      <c r="K221" s="14">
        <v>9.0</v>
      </c>
      <c r="L221" s="14" t="str">
        <f t="array" ref="L221">INDEX('School Rep'!$A$2:$A$21, MATCH(J221, 'School Rep'!$B$2:$B$21, 0))</f>
        <v>Frank Niles Thomas</v>
      </c>
      <c r="M221" s="15">
        <v>3.4</v>
      </c>
      <c r="N221" s="16" t="s">
        <v>754</v>
      </c>
      <c r="O221" s="8" t="str">
        <f t="shared" si="1"/>
        <v>8530 S Wood St </v>
      </c>
      <c r="P221" s="12">
        <v>18.0</v>
      </c>
      <c r="Q221" s="13" t="s">
        <v>141</v>
      </c>
    </row>
    <row r="222">
      <c r="A222" s="7">
        <v>609926.0</v>
      </c>
      <c r="B222" s="8" t="s">
        <v>755</v>
      </c>
      <c r="C222" s="18" t="s">
        <v>756</v>
      </c>
      <c r="D222" s="19">
        <v>0.0</v>
      </c>
      <c r="E222" s="18" t="s">
        <v>80</v>
      </c>
      <c r="F222" s="18" t="s">
        <v>102</v>
      </c>
      <c r="G222" s="8" t="str">
        <f>VLOOKUP(F222, 'Network Chiefs'!A:B, 2, FALSE)
</f>
        <v>Jerry Travlos</v>
      </c>
      <c r="H222" s="12">
        <v>40.0</v>
      </c>
      <c r="I222" s="13" t="s">
        <v>20</v>
      </c>
      <c r="J222" s="14" t="s">
        <v>462</v>
      </c>
      <c r="K222" s="14">
        <v>6.0</v>
      </c>
      <c r="L222" s="14" t="str">
        <f t="array" ref="L222">INDEX('School Rep'!$A$2:$A$21, MATCH(J222, 'School Rep'!$B$2:$B$21, 0))</f>
        <v>Anusha Thotakura</v>
      </c>
      <c r="M222" s="15">
        <v>2.3</v>
      </c>
      <c r="N222" s="16" t="s">
        <v>757</v>
      </c>
      <c r="O222" s="8" t="str">
        <f t="shared" si="1"/>
        <v>225 W Evergreen Ave </v>
      </c>
      <c r="P222" s="12">
        <v>2.0</v>
      </c>
      <c r="Q222" s="13" t="s">
        <v>758</v>
      </c>
    </row>
    <row r="223">
      <c r="A223" s="7">
        <v>610503.0</v>
      </c>
      <c r="B223" s="12" t="s">
        <v>759</v>
      </c>
      <c r="C223" s="18" t="s">
        <v>760</v>
      </c>
      <c r="D223" s="19">
        <v>0.096</v>
      </c>
      <c r="E223" s="18" t="s">
        <v>80</v>
      </c>
      <c r="F223" s="18" t="s">
        <v>126</v>
      </c>
      <c r="G223" s="8" t="str">
        <f>VLOOKUP(F223, 'Network Chiefs'!A:B, 2, FALSE)
</f>
        <v>#N/A</v>
      </c>
      <c r="H223" s="12">
        <v>41.0</v>
      </c>
      <c r="I223" s="13" t="s">
        <v>20</v>
      </c>
      <c r="J223" s="14" t="s">
        <v>217</v>
      </c>
      <c r="K223" s="14">
        <v>5.0</v>
      </c>
      <c r="L223" s="14" t="str">
        <f t="array" ref="L223">INDEX('School Rep'!$A$2:$A$21, MATCH(J223, 'School Rep'!$B$2:$B$21, 0))</f>
        <v>Michilla Blaise</v>
      </c>
      <c r="M223" s="12">
        <v>3.9</v>
      </c>
      <c r="N223" s="16" t="s">
        <v>761</v>
      </c>
      <c r="O223" s="8" t="str">
        <f t="shared" si="1"/>
        <v>4027 W Grenshaw St </v>
      </c>
      <c r="P223" s="12">
        <v>24.0</v>
      </c>
      <c r="Q223" s="13" t="s">
        <v>517</v>
      </c>
    </row>
    <row r="224">
      <c r="A224" s="7">
        <v>609929.0</v>
      </c>
      <c r="B224" s="8" t="s">
        <v>762</v>
      </c>
      <c r="C224" s="18" t="s">
        <v>763</v>
      </c>
      <c r="D224" s="19">
        <v>0.274</v>
      </c>
      <c r="E224" s="18" t="s">
        <v>80</v>
      </c>
      <c r="F224" s="18" t="s">
        <v>285</v>
      </c>
      <c r="G224" s="8" t="str">
        <f>VLOOKUP(F224, 'Network Chiefs'!A:B, 2, FALSE)
</f>
        <v>Gilberto Piedrahita</v>
      </c>
      <c r="H224" s="12">
        <v>29.0</v>
      </c>
      <c r="I224" s="13" t="s">
        <v>41</v>
      </c>
      <c r="J224" s="14" t="s">
        <v>187</v>
      </c>
      <c r="K224" s="14">
        <v>9.0</v>
      </c>
      <c r="L224" s="14" t="str">
        <f t="array" ref="L224">INDEX('School Rep'!$A$2:$A$21, MATCH(J224, 'School Rep'!$B$2:$B$21, 0))</f>
        <v>Frank Niles Thomas</v>
      </c>
      <c r="M224" s="15">
        <v>3.6</v>
      </c>
      <c r="N224" s="16" t="s">
        <v>764</v>
      </c>
      <c r="O224" s="8" t="str">
        <f t="shared" si="1"/>
        <v>5300 S Hermitage Ave </v>
      </c>
      <c r="P224" s="12">
        <v>16.0</v>
      </c>
      <c r="Q224" s="13" t="s">
        <v>193</v>
      </c>
    </row>
    <row r="225">
      <c r="A225" s="7">
        <v>609930.0</v>
      </c>
      <c r="B225" s="12" t="s">
        <v>765</v>
      </c>
      <c r="C225" s="18" t="s">
        <v>766</v>
      </c>
      <c r="D225" s="19">
        <v>0.103</v>
      </c>
      <c r="E225" s="18" t="s">
        <v>80</v>
      </c>
      <c r="F225" s="18" t="s">
        <v>102</v>
      </c>
      <c r="G225" s="8" t="str">
        <f>VLOOKUP(F225, 'Network Chiefs'!A:B, 2, FALSE)
</f>
        <v>Jerry Travlos</v>
      </c>
      <c r="H225" s="12">
        <v>47.0</v>
      </c>
      <c r="I225" s="13" t="s">
        <v>20</v>
      </c>
      <c r="J225" s="14" t="s">
        <v>232</v>
      </c>
      <c r="K225" s="14">
        <v>3.0</v>
      </c>
      <c r="L225" s="14" t="str">
        <f t="array" ref="L225">INDEX('School Rep'!$A$2:$A$21, MATCH(J225, 'School Rep'!$B$2:$B$21, 0))</f>
        <v>Carlos Rivas</v>
      </c>
      <c r="M225" s="12">
        <v>3.5</v>
      </c>
      <c r="N225" s="16" t="s">
        <v>767</v>
      </c>
      <c r="O225" s="8" t="str">
        <f t="shared" si="1"/>
        <v>2010 N Central Park Ave </v>
      </c>
      <c r="P225" s="12">
        <v>26.0</v>
      </c>
      <c r="Q225" s="13" t="s">
        <v>378</v>
      </c>
    </row>
    <row r="226">
      <c r="A226" s="7">
        <v>609709.0</v>
      </c>
      <c r="B226" s="8" t="s">
        <v>768</v>
      </c>
      <c r="C226" s="9" t="s">
        <v>769</v>
      </c>
      <c r="D226" s="10">
        <v>0.279</v>
      </c>
      <c r="E226" s="11" t="s">
        <v>80</v>
      </c>
      <c r="F226" s="11" t="s">
        <v>92</v>
      </c>
      <c r="G226" s="8" t="str">
        <f>VLOOKUP(F226, 'Network Chiefs'!A:B, 2, FALSE)
</f>
        <v>Devon LaRosa</v>
      </c>
      <c r="H226" s="12">
        <v>45.0</v>
      </c>
      <c r="I226" s="13" t="s">
        <v>20</v>
      </c>
      <c r="J226" s="14" t="s">
        <v>26</v>
      </c>
      <c r="K226" s="14">
        <v>8.0</v>
      </c>
      <c r="L226" s="14" t="str">
        <f t="array" ref="L226">INDEX('School Rep'!$A$2:$A$21, MATCH(J226, 'School Rep'!$B$2:$B$21, 0))</f>
        <v>Cydney Wallace</v>
      </c>
      <c r="M226" s="15">
        <v>3.8</v>
      </c>
      <c r="N226" s="16" t="s">
        <v>770</v>
      </c>
      <c r="O226" s="8" t="str">
        <f t="shared" si="1"/>
        <v>5630 S Rockwell St </v>
      </c>
      <c r="P226" s="12">
        <v>15.0</v>
      </c>
      <c r="Q226" s="13" t="s">
        <v>364</v>
      </c>
    </row>
    <row r="227">
      <c r="A227" s="7">
        <v>609933.0</v>
      </c>
      <c r="B227" s="13" t="s">
        <v>771</v>
      </c>
      <c r="C227" s="18" t="s">
        <v>772</v>
      </c>
      <c r="D227" s="19">
        <v>0.311</v>
      </c>
      <c r="E227" s="18" t="s">
        <v>80</v>
      </c>
      <c r="F227" s="18" t="s">
        <v>270</v>
      </c>
      <c r="G227" s="8" t="str">
        <f>VLOOKUP(F227, 'Network Chiefs'!A:B, 2, FALSE)
</f>
        <v>Marilou Rebolledo</v>
      </c>
      <c r="H227" s="12">
        <v>34.0</v>
      </c>
      <c r="I227" s="13" t="s">
        <v>41</v>
      </c>
      <c r="J227" s="14" t="s">
        <v>36</v>
      </c>
      <c r="K227" s="14">
        <v>2.0</v>
      </c>
      <c r="L227" s="14" t="str">
        <f t="array" ref="L227">INDEX('School Rep'!$A$2:$A$21, MATCH(J227, 'School Rep'!$B$2:$B$21, 0))</f>
        <v>Ebony DeBerry</v>
      </c>
      <c r="M227" s="12">
        <v>2.9</v>
      </c>
      <c r="N227" s="16" t="s">
        <v>773</v>
      </c>
      <c r="O227" s="8" t="str">
        <f t="shared" si="1"/>
        <v>1631 W Jonquil Ter </v>
      </c>
      <c r="P227" s="12">
        <v>49.0</v>
      </c>
      <c r="Q227" s="13" t="s">
        <v>38</v>
      </c>
    </row>
    <row r="228">
      <c r="A228" s="7">
        <v>610009.0</v>
      </c>
      <c r="B228" s="8" t="s">
        <v>774</v>
      </c>
      <c r="C228" s="18" t="s">
        <v>775</v>
      </c>
      <c r="D228" s="19">
        <v>0.022</v>
      </c>
      <c r="E228" s="18" t="s">
        <v>80</v>
      </c>
      <c r="F228" s="18" t="s">
        <v>301</v>
      </c>
      <c r="G228" s="8" t="str">
        <f>VLOOKUP(F228, 'Network Chiefs'!A:B, 2, FALSE)
</f>
        <v>Dr. Ethan Netterstrom</v>
      </c>
      <c r="H228" s="12">
        <v>69.0</v>
      </c>
      <c r="I228" s="13" t="s">
        <v>52</v>
      </c>
      <c r="J228" s="14" t="s">
        <v>42</v>
      </c>
      <c r="K228" s="14">
        <v>7.0</v>
      </c>
      <c r="L228" s="14" t="str">
        <f t="array" ref="L228">INDEX('School Rep'!$A$2:$A$21, MATCH(J228, 'School Rep'!$B$2:$B$21, 0))</f>
        <v>Emma Lozano</v>
      </c>
      <c r="M228" s="15">
        <v>2.4</v>
      </c>
      <c r="N228" s="16" t="s">
        <v>776</v>
      </c>
      <c r="O228" s="8" t="str">
        <f t="shared" si="1"/>
        <v>820 S Carpenter St </v>
      </c>
      <c r="P228" s="12">
        <v>34.0</v>
      </c>
      <c r="Q228" s="13" t="s">
        <v>444</v>
      </c>
    </row>
    <row r="229">
      <c r="A229" s="7">
        <v>609935.0</v>
      </c>
      <c r="B229" s="13" t="s">
        <v>777</v>
      </c>
      <c r="C229" s="18" t="s">
        <v>778</v>
      </c>
      <c r="D229" s="19">
        <v>0.083</v>
      </c>
      <c r="E229" s="18" t="s">
        <v>80</v>
      </c>
      <c r="F229" s="18" t="s">
        <v>81</v>
      </c>
      <c r="G229" s="8" t="str">
        <f>VLOOKUP(F229, 'Network Chiefs'!A:B, 2, FALSE)
</f>
        <v>Dr. Terrycita D. Perry</v>
      </c>
      <c r="H229" s="12">
        <v>62.0</v>
      </c>
      <c r="I229" s="13" t="s">
        <v>52</v>
      </c>
      <c r="J229" s="14" t="s">
        <v>82</v>
      </c>
      <c r="K229" s="14">
        <v>10.0</v>
      </c>
      <c r="L229" s="14" t="str">
        <f t="array" ref="L229">INDEX('School Rep'!$A$2:$A$21, MATCH(J229, 'School Rep'!$B$2:$B$21, 0))</f>
        <v>Olga Bautista</v>
      </c>
      <c r="M229" s="12">
        <v>2.6</v>
      </c>
      <c r="N229" s="16" t="s">
        <v>779</v>
      </c>
      <c r="O229" s="8" t="str">
        <f t="shared" si="1"/>
        <v>10347 S Ewing Ave </v>
      </c>
      <c r="P229" s="12">
        <v>10.0</v>
      </c>
      <c r="Q229" s="13" t="s">
        <v>84</v>
      </c>
    </row>
    <row r="230">
      <c r="A230" s="7">
        <v>610128.0</v>
      </c>
      <c r="B230" s="8" t="s">
        <v>780</v>
      </c>
      <c r="C230" s="18" t="s">
        <v>781</v>
      </c>
      <c r="D230" s="19">
        <v>0.128</v>
      </c>
      <c r="E230" s="18" t="s">
        <v>80</v>
      </c>
      <c r="F230" s="18" t="s">
        <v>81</v>
      </c>
      <c r="G230" s="8" t="str">
        <f>VLOOKUP(F230, 'Network Chiefs'!A:B, 2, FALSE)
</f>
        <v>Dr. Terrycita D. Perry</v>
      </c>
      <c r="H230" s="12">
        <v>60.0</v>
      </c>
      <c r="I230" s="13" t="s">
        <v>52</v>
      </c>
      <c r="J230" s="14" t="s">
        <v>178</v>
      </c>
      <c r="K230" s="14">
        <v>9.0</v>
      </c>
      <c r="L230" s="14" t="str">
        <f t="array" ref="L230">INDEX('School Rep'!$A$2:$A$21, MATCH(J230, 'School Rep'!$B$2:$B$21, 0))</f>
        <v>Therese Boyle</v>
      </c>
      <c r="M230" s="15">
        <v>2.4</v>
      </c>
      <c r="N230" s="16" t="s">
        <v>782</v>
      </c>
      <c r="O230" s="8" t="str">
        <f t="shared" si="1"/>
        <v>10309 S Morgan St </v>
      </c>
      <c r="P230" s="12">
        <v>21.0</v>
      </c>
      <c r="Q230" s="13" t="s">
        <v>428</v>
      </c>
    </row>
    <row r="231">
      <c r="A231" s="7">
        <v>609937.0</v>
      </c>
      <c r="B231" s="13" t="s">
        <v>783</v>
      </c>
      <c r="C231" s="18" t="s">
        <v>784</v>
      </c>
      <c r="D231" s="19">
        <v>0.038</v>
      </c>
      <c r="E231" s="18" t="s">
        <v>80</v>
      </c>
      <c r="F231" s="18" t="s">
        <v>97</v>
      </c>
      <c r="G231" s="8" t="str">
        <f>VLOOKUP(F231, 'Network Chiefs'!A:B, 2, FALSE)
</f>
        <v>Julie McGlade</v>
      </c>
      <c r="H231" s="12">
        <v>64.0</v>
      </c>
      <c r="I231" s="13" t="s">
        <v>52</v>
      </c>
      <c r="J231" s="14" t="s">
        <v>199</v>
      </c>
      <c r="K231" s="14">
        <v>1.0</v>
      </c>
      <c r="L231" s="14" t="str">
        <f t="array" ref="L231">INDEX('School Rep'!$A$2:$A$21, MATCH(J231, 'School Rep'!$B$2:$B$21, 0))</f>
        <v>Ed Bannon</v>
      </c>
      <c r="M231" s="12">
        <v>1.6</v>
      </c>
      <c r="N231" s="16" t="s">
        <v>785</v>
      </c>
      <c r="O231" s="8" t="str">
        <f t="shared" si="1"/>
        <v>5225 N Oak Park Ave </v>
      </c>
      <c r="P231" s="12">
        <v>41.0</v>
      </c>
      <c r="Q231" s="13" t="s">
        <v>201</v>
      </c>
    </row>
    <row r="232">
      <c r="A232" s="7">
        <v>609938.0</v>
      </c>
      <c r="B232" s="8" t="s">
        <v>786</v>
      </c>
      <c r="C232" s="18" t="s">
        <v>787</v>
      </c>
      <c r="D232" s="19">
        <v>0.056</v>
      </c>
      <c r="E232" s="18" t="s">
        <v>80</v>
      </c>
      <c r="F232" s="18" t="s">
        <v>529</v>
      </c>
      <c r="G232" s="8" t="str">
        <f>VLOOKUP(F232, 'Network Chiefs'!A:B, 2, FALSE)
</f>
        <v>Dr. Antonio Acevedo</v>
      </c>
      <c r="H232" s="12">
        <v>43.0</v>
      </c>
      <c r="I232" s="13" t="s">
        <v>20</v>
      </c>
      <c r="J232" s="14" t="s">
        <v>42</v>
      </c>
      <c r="K232" s="14">
        <v>7.0</v>
      </c>
      <c r="L232" s="14" t="str">
        <f t="array" ref="L232">INDEX('School Rep'!$A$2:$A$21, MATCH(J232, 'School Rep'!$B$2:$B$21, 0))</f>
        <v>Emma Lozano</v>
      </c>
      <c r="M232" s="15">
        <v>3.4</v>
      </c>
      <c r="N232" s="16" t="s">
        <v>788</v>
      </c>
      <c r="O232" s="8" t="str">
        <f t="shared" si="1"/>
        <v>3740 W 31st St </v>
      </c>
      <c r="P232" s="12">
        <v>22.0</v>
      </c>
      <c r="Q232" s="13" t="s">
        <v>353</v>
      </c>
    </row>
    <row r="233">
      <c r="A233" s="7">
        <v>609939.0</v>
      </c>
      <c r="B233" s="8" t="s">
        <v>789</v>
      </c>
      <c r="C233" s="18" t="s">
        <v>790</v>
      </c>
      <c r="D233" s="19">
        <v>0.231</v>
      </c>
      <c r="E233" s="18" t="s">
        <v>80</v>
      </c>
      <c r="F233" s="18" t="s">
        <v>144</v>
      </c>
      <c r="G233" s="8" t="str">
        <f>VLOOKUP(F233, 'Network Chiefs'!A:B, 2, FALSE)
</f>
        <v>Shenethe Parks</v>
      </c>
      <c r="H233" s="12">
        <v>36.0</v>
      </c>
      <c r="I233" s="13" t="s">
        <v>41</v>
      </c>
      <c r="J233" s="14" t="s">
        <v>178</v>
      </c>
      <c r="K233" s="14">
        <v>9.0</v>
      </c>
      <c r="L233" s="14" t="str">
        <f t="array" ref="L233">INDEX('School Rep'!$A$2:$A$21, MATCH(J233, 'School Rep'!$B$2:$B$21, 0))</f>
        <v>Therese Boyle</v>
      </c>
      <c r="M233" s="15">
        <v>3.5</v>
      </c>
      <c r="N233" s="16" t="s">
        <v>791</v>
      </c>
      <c r="O233" s="8" t="str">
        <f t="shared" si="1"/>
        <v>9301 S State St </v>
      </c>
      <c r="P233" s="12">
        <v>6.0</v>
      </c>
      <c r="Q233" s="13" t="s">
        <v>306</v>
      </c>
    </row>
    <row r="234">
      <c r="A234" s="7">
        <v>609863.0</v>
      </c>
      <c r="B234" s="8" t="s">
        <v>792</v>
      </c>
      <c r="C234" s="20" t="s">
        <v>793</v>
      </c>
      <c r="D234" s="21">
        <v>0.139</v>
      </c>
      <c r="E234" s="20" t="s">
        <v>80</v>
      </c>
      <c r="F234" s="20" t="s">
        <v>126</v>
      </c>
      <c r="G234" s="8" t="str">
        <f>VLOOKUP(F234, 'Network Chiefs'!A:B, 2, FALSE)
</f>
        <v>#N/A</v>
      </c>
      <c r="H234" s="12">
        <v>30.0</v>
      </c>
      <c r="I234" s="13" t="s">
        <v>41</v>
      </c>
      <c r="J234" s="15" t="s">
        <v>384</v>
      </c>
      <c r="K234" s="15" t="s">
        <v>384</v>
      </c>
      <c r="L234" s="15" t="s">
        <v>384</v>
      </c>
      <c r="M234" s="15" t="s">
        <v>384</v>
      </c>
      <c r="N234" s="16" t="s">
        <v>794</v>
      </c>
      <c r="O234" s="8" t="str">
        <f t="shared" si="1"/>
        <v>1003 N Leavitt St </v>
      </c>
      <c r="P234" s="12">
        <v>1.0</v>
      </c>
      <c r="Q234" s="13" t="s">
        <v>275</v>
      </c>
    </row>
    <row r="235">
      <c r="A235" s="7">
        <v>400009.0</v>
      </c>
      <c r="B235" s="8" t="s">
        <v>795</v>
      </c>
      <c r="C235" s="9" t="s">
        <v>796</v>
      </c>
      <c r="D235" s="10">
        <v>0.0</v>
      </c>
      <c r="E235" s="11" t="s">
        <v>19</v>
      </c>
      <c r="F235" s="11" t="s">
        <v>19</v>
      </c>
      <c r="G235" s="8" t="str">
        <f>VLOOKUP(F235, 'Network Chiefs'!A:B, 2, FALSE)
</f>
        <v>#N/A</v>
      </c>
      <c r="H235" s="12">
        <v>61.0</v>
      </c>
      <c r="I235" s="13" t="s">
        <v>52</v>
      </c>
      <c r="J235" s="14" t="s">
        <v>42</v>
      </c>
      <c r="K235" s="14">
        <v>7.0</v>
      </c>
      <c r="L235" s="14" t="str">
        <f t="array" ref="L235">INDEX('School Rep'!$A$2:$A$21, MATCH(J235, 'School Rep'!$B$2:$B$21, 0))</f>
        <v>Emma Lozano</v>
      </c>
      <c r="M235" s="15">
        <v>3.0</v>
      </c>
      <c r="N235" s="16" t="s">
        <v>797</v>
      </c>
      <c r="O235" s="8" t="str">
        <f t="shared" si="1"/>
        <v>4647 W 47th St </v>
      </c>
      <c r="P235" s="12">
        <v>22.0</v>
      </c>
      <c r="Q235" s="13" t="s">
        <v>353</v>
      </c>
    </row>
    <row r="236">
      <c r="A236" s="7">
        <v>609942.0</v>
      </c>
      <c r="B236" s="12" t="s">
        <v>798</v>
      </c>
      <c r="C236" s="18" t="s">
        <v>799</v>
      </c>
      <c r="D236" s="19">
        <v>0.047</v>
      </c>
      <c r="E236" s="18" t="s">
        <v>80</v>
      </c>
      <c r="F236" s="18" t="s">
        <v>102</v>
      </c>
      <c r="G236" s="8" t="str">
        <f>VLOOKUP(F236, 'Network Chiefs'!A:B, 2, FALSE)
</f>
        <v>Jerry Travlos</v>
      </c>
      <c r="H236" s="12">
        <v>49.0</v>
      </c>
      <c r="I236" s="13" t="s">
        <v>20</v>
      </c>
      <c r="J236" s="14" t="s">
        <v>232</v>
      </c>
      <c r="K236" s="14">
        <v>3.0</v>
      </c>
      <c r="L236" s="14" t="str">
        <f t="array" ref="L236">INDEX('School Rep'!$A$2:$A$21, MATCH(J236, 'School Rep'!$B$2:$B$21, 0))</f>
        <v>Carlos Rivas</v>
      </c>
      <c r="M236" s="12">
        <v>2.4</v>
      </c>
      <c r="N236" s="16" t="s">
        <v>800</v>
      </c>
      <c r="O236" s="8" t="str">
        <f t="shared" si="1"/>
        <v>2236 N Rockwell St </v>
      </c>
      <c r="P236" s="12">
        <v>1.0</v>
      </c>
      <c r="Q236" s="13" t="s">
        <v>275</v>
      </c>
    </row>
    <row r="237">
      <c r="A237" s="7">
        <v>610558.0</v>
      </c>
      <c r="B237" s="8" t="s">
        <v>801</v>
      </c>
      <c r="C237" s="17" t="s">
        <v>802</v>
      </c>
      <c r="D237" s="10">
        <v>0.047</v>
      </c>
      <c r="E237" s="11" t="s">
        <v>80</v>
      </c>
      <c r="F237" s="11" t="s">
        <v>92</v>
      </c>
      <c r="G237" s="8" t="str">
        <f>VLOOKUP(F237, 'Network Chiefs'!A:B, 2, FALSE)
</f>
        <v>Devon LaRosa</v>
      </c>
      <c r="H237" s="12">
        <v>52.0</v>
      </c>
      <c r="I237" s="13" t="s">
        <v>20</v>
      </c>
      <c r="J237" s="14" t="s">
        <v>139</v>
      </c>
      <c r="K237" s="14">
        <v>8.0</v>
      </c>
      <c r="L237" s="14" t="str">
        <f t="array" ref="L237">INDEX('School Rep'!$A$2:$A$21, MATCH(J237, 'School Rep'!$B$2:$B$21, 0))</f>
        <v>Angel Gutierrez</v>
      </c>
      <c r="M237" s="15">
        <v>3.0</v>
      </c>
      <c r="N237" s="16" t="s">
        <v>803</v>
      </c>
      <c r="O237" s="8" t="str">
        <f t="shared" si="1"/>
        <v>7651 S Homan Ave </v>
      </c>
      <c r="P237" s="12">
        <v>18.0</v>
      </c>
      <c r="Q237" s="13" t="s">
        <v>141</v>
      </c>
    </row>
    <row r="238">
      <c r="A238" s="7">
        <v>609945.0</v>
      </c>
      <c r="B238" s="12" t="s">
        <v>804</v>
      </c>
      <c r="C238" s="18" t="s">
        <v>805</v>
      </c>
      <c r="D238" s="19">
        <v>0.118</v>
      </c>
      <c r="E238" s="18" t="s">
        <v>80</v>
      </c>
      <c r="F238" s="18" t="s">
        <v>270</v>
      </c>
      <c r="G238" s="8" t="str">
        <f>VLOOKUP(F238, 'Network Chiefs'!A:B, 2, FALSE)
</f>
        <v>Marilou Rebolledo</v>
      </c>
      <c r="H238" s="12">
        <v>70.0</v>
      </c>
      <c r="I238" s="13" t="s">
        <v>52</v>
      </c>
      <c r="J238" s="14" t="s">
        <v>243</v>
      </c>
      <c r="K238" s="14">
        <v>4.0</v>
      </c>
      <c r="L238" s="14" t="str">
        <f t="array" ref="L238">INDEX('School Rep'!$A$2:$A$21, MATCH(J238, 'School Rep'!$B$2:$B$21, 0))</f>
        <v>Karen Zaccor</v>
      </c>
      <c r="M238" s="12">
        <v>2.7</v>
      </c>
      <c r="N238" s="16" t="s">
        <v>806</v>
      </c>
      <c r="O238" s="8" t="str">
        <f t="shared" si="1"/>
        <v>5120 N Winthrop Ave </v>
      </c>
      <c r="P238" s="12">
        <v>48.0</v>
      </c>
      <c r="Q238" s="13" t="s">
        <v>807</v>
      </c>
    </row>
    <row r="239">
      <c r="A239" s="7">
        <v>609947.0</v>
      </c>
      <c r="B239" s="8" t="s">
        <v>808</v>
      </c>
      <c r="C239" s="18" t="s">
        <v>809</v>
      </c>
      <c r="D239" s="19">
        <v>0.121</v>
      </c>
      <c r="E239" s="18" t="s">
        <v>80</v>
      </c>
      <c r="F239" s="18" t="s">
        <v>301</v>
      </c>
      <c r="G239" s="8" t="str">
        <f>VLOOKUP(F239, 'Network Chiefs'!A:B, 2, FALSE)
</f>
        <v>Dr. Ethan Netterstrom</v>
      </c>
      <c r="H239" s="12">
        <v>51.0</v>
      </c>
      <c r="I239" s="13" t="s">
        <v>20</v>
      </c>
      <c r="J239" s="14" t="s">
        <v>187</v>
      </c>
      <c r="K239" s="14">
        <v>9.0</v>
      </c>
      <c r="L239" s="14" t="str">
        <f t="array" ref="L239">INDEX('School Rep'!$A$2:$A$21, MATCH(J239, 'School Rep'!$B$2:$B$21, 0))</f>
        <v>Frank Niles Thomas</v>
      </c>
      <c r="M239" s="15">
        <v>3.3</v>
      </c>
      <c r="N239" s="16" t="s">
        <v>810</v>
      </c>
      <c r="O239" s="8" t="str">
        <f t="shared" si="1"/>
        <v>4436 S Union Ave </v>
      </c>
      <c r="P239" s="12">
        <v>15.0</v>
      </c>
      <c r="Q239" s="13" t="s">
        <v>364</v>
      </c>
    </row>
    <row r="240">
      <c r="A240" s="7">
        <v>609769.0</v>
      </c>
      <c r="B240" s="8" t="s">
        <v>811</v>
      </c>
      <c r="C240" s="9" t="s">
        <v>812</v>
      </c>
      <c r="D240" s="10">
        <v>0.0</v>
      </c>
      <c r="E240" s="11" t="s">
        <v>80</v>
      </c>
      <c r="F240" s="11" t="s">
        <v>116</v>
      </c>
      <c r="G240" s="8" t="str">
        <f>VLOOKUP(F240, 'Network Chiefs'!A:B, 2, FALSE)
</f>
        <v>Dr. Laura LeMone</v>
      </c>
      <c r="H240" s="12">
        <v>65.0</v>
      </c>
      <c r="I240" s="13" t="s">
        <v>52</v>
      </c>
      <c r="J240" s="15" t="s">
        <v>384</v>
      </c>
      <c r="K240" s="15" t="s">
        <v>384</v>
      </c>
      <c r="L240" s="15" t="s">
        <v>384</v>
      </c>
      <c r="M240" s="15" t="s">
        <v>384</v>
      </c>
      <c r="N240" s="16" t="s">
        <v>813</v>
      </c>
      <c r="O240" s="8" t="str">
        <f t="shared" si="1"/>
        <v>2347 S Wabash Ave </v>
      </c>
      <c r="P240" s="12">
        <v>3.0</v>
      </c>
      <c r="Q240" s="13" t="s">
        <v>206</v>
      </c>
    </row>
    <row r="241">
      <c r="A241" s="7">
        <v>609949.0</v>
      </c>
      <c r="B241" s="13" t="s">
        <v>814</v>
      </c>
      <c r="C241" s="18" t="s">
        <v>815</v>
      </c>
      <c r="D241" s="19">
        <v>0.093</v>
      </c>
      <c r="E241" s="18" t="s">
        <v>80</v>
      </c>
      <c r="F241" s="18" t="s">
        <v>97</v>
      </c>
      <c r="G241" s="8" t="str">
        <f>VLOOKUP(F241, 'Network Chiefs'!A:B, 2, FALSE)
</f>
        <v>Julie McGlade</v>
      </c>
      <c r="H241" s="12">
        <v>81.0</v>
      </c>
      <c r="I241" s="13" t="s">
        <v>248</v>
      </c>
      <c r="J241" s="14" t="s">
        <v>222</v>
      </c>
      <c r="K241" s="14">
        <v>1.0</v>
      </c>
      <c r="L241" s="14" t="str">
        <f t="array" ref="L241">INDEX('School Rep'!$A$2:$A$21, MATCH(J241, 'School Rep'!$B$2:$B$21, 0))</f>
        <v>Jennifer Custer</v>
      </c>
      <c r="M241" s="12">
        <v>2.4</v>
      </c>
      <c r="N241" s="16" t="s">
        <v>816</v>
      </c>
      <c r="O241" s="8" t="str">
        <f t="shared" si="1"/>
        <v>3730 N Laramie Ave </v>
      </c>
      <c r="P241" s="12">
        <v>30.0</v>
      </c>
      <c r="Q241" s="13" t="s">
        <v>346</v>
      </c>
    </row>
    <row r="242">
      <c r="A242" s="7">
        <v>400168.0</v>
      </c>
      <c r="B242" s="13" t="s">
        <v>817</v>
      </c>
      <c r="C242" s="17" t="s">
        <v>818</v>
      </c>
      <c r="D242" s="10">
        <v>0.064</v>
      </c>
      <c r="E242" s="11" t="s">
        <v>19</v>
      </c>
      <c r="F242" s="11" t="s">
        <v>19</v>
      </c>
      <c r="G242" s="8" t="str">
        <f>VLOOKUP(F242, 'Network Chiefs'!A:B, 2, FALSE)
</f>
        <v>#N/A</v>
      </c>
      <c r="H242" s="12">
        <v>35.0</v>
      </c>
      <c r="I242" s="13" t="s">
        <v>41</v>
      </c>
      <c r="J242" s="14" t="s">
        <v>82</v>
      </c>
      <c r="K242" s="14">
        <v>10.0</v>
      </c>
      <c r="L242" s="14" t="str">
        <f t="array" ref="L242">INDEX('School Rep'!$A$2:$A$21, MATCH(J242, 'School Rep'!$B$2:$B$21, 0))</f>
        <v>Olga Bautista</v>
      </c>
      <c r="M242" s="12">
        <v>3.3</v>
      </c>
      <c r="N242" s="16" t="s">
        <v>819</v>
      </c>
      <c r="O242" s="8" t="str">
        <f t="shared" si="1"/>
        <v>8401 S Saginaw Ave </v>
      </c>
      <c r="P242" s="12">
        <v>7.0</v>
      </c>
      <c r="Q242" s="13" t="s">
        <v>260</v>
      </c>
    </row>
    <row r="243">
      <c r="A243" s="7">
        <v>609850.0</v>
      </c>
      <c r="B243" s="12" t="s">
        <v>820</v>
      </c>
      <c r="C243" s="18" t="s">
        <v>821</v>
      </c>
      <c r="D243" s="19">
        <v>0.077</v>
      </c>
      <c r="E243" s="18" t="s">
        <v>80</v>
      </c>
      <c r="F243" s="18" t="s">
        <v>102</v>
      </c>
      <c r="G243" s="8" t="str">
        <f>VLOOKUP(F243, 'Network Chiefs'!A:B, 2, FALSE)
</f>
        <v>Jerry Travlos</v>
      </c>
      <c r="H243" s="12">
        <v>62.0</v>
      </c>
      <c r="I243" s="13" t="s">
        <v>52</v>
      </c>
      <c r="J243" s="14" t="s">
        <v>243</v>
      </c>
      <c r="K243" s="14">
        <v>4.0</v>
      </c>
      <c r="L243" s="14" t="str">
        <f t="array" ref="L243">INDEX('School Rep'!$A$2:$A$21, MATCH(J243, 'School Rep'!$B$2:$B$21, 0))</f>
        <v>Karen Zaccor</v>
      </c>
      <c r="M243" s="12">
        <v>2.4</v>
      </c>
      <c r="N243" s="16" t="s">
        <v>822</v>
      </c>
      <c r="O243" s="8" t="str">
        <f t="shared" si="1"/>
        <v>832 W Sheridan Rd </v>
      </c>
      <c r="P243" s="12">
        <v>46.0</v>
      </c>
      <c r="Q243" s="13" t="s">
        <v>245</v>
      </c>
    </row>
    <row r="244">
      <c r="A244" s="7">
        <v>610032.0</v>
      </c>
      <c r="B244" s="8" t="s">
        <v>823</v>
      </c>
      <c r="C244" s="18" t="s">
        <v>824</v>
      </c>
      <c r="D244" s="19">
        <v>0.085</v>
      </c>
      <c r="E244" s="18" t="s">
        <v>80</v>
      </c>
      <c r="F244" s="18" t="s">
        <v>186</v>
      </c>
      <c r="G244" s="8" t="str">
        <f>VLOOKUP(F244, 'Network Chiefs'!A:B, 2, FALSE)
</f>
        <v>Latasha Geverola</v>
      </c>
      <c r="H244" s="12">
        <v>60.0</v>
      </c>
      <c r="I244" s="13" t="s">
        <v>52</v>
      </c>
      <c r="J244" s="14" t="s">
        <v>178</v>
      </c>
      <c r="K244" s="14">
        <v>9.0</v>
      </c>
      <c r="L244" s="14" t="str">
        <f t="array" ref="L244">INDEX('School Rep'!$A$2:$A$21, MATCH(J244, 'School Rep'!$B$2:$B$21, 0))</f>
        <v>Therese Boyle</v>
      </c>
      <c r="M244" s="15">
        <v>3.4</v>
      </c>
      <c r="N244" s="16" t="s">
        <v>825</v>
      </c>
      <c r="O244" s="8" t="str">
        <f t="shared" si="1"/>
        <v>1150 W 96th St </v>
      </c>
      <c r="P244" s="12">
        <v>21.0</v>
      </c>
      <c r="Q244" s="13" t="s">
        <v>428</v>
      </c>
    </row>
    <row r="245">
      <c r="A245" s="7">
        <v>609952.0</v>
      </c>
      <c r="B245" s="8" t="s">
        <v>826</v>
      </c>
      <c r="C245" s="18" t="s">
        <v>827</v>
      </c>
      <c r="D245" s="19">
        <v>0.065</v>
      </c>
      <c r="E245" s="18" t="s">
        <v>80</v>
      </c>
      <c r="F245" s="18" t="s">
        <v>285</v>
      </c>
      <c r="G245" s="8" t="str">
        <f>VLOOKUP(F245, 'Network Chiefs'!A:B, 2, FALSE)
</f>
        <v>Gilberto Piedrahita</v>
      </c>
      <c r="H245" s="12">
        <v>76.0</v>
      </c>
      <c r="I245" s="13" t="s">
        <v>52</v>
      </c>
      <c r="J245" s="14" t="s">
        <v>26</v>
      </c>
      <c r="K245" s="14">
        <v>8.0</v>
      </c>
      <c r="L245" s="14" t="str">
        <f t="array" ref="L245">INDEX('School Rep'!$A$2:$A$21, MATCH(J245, 'School Rep'!$B$2:$B$21, 0))</f>
        <v>Cydney Wallace</v>
      </c>
      <c r="M245" s="15">
        <v>2.8</v>
      </c>
      <c r="N245" s="16" t="s">
        <v>828</v>
      </c>
      <c r="O245" s="8" t="str">
        <f t="shared" si="1"/>
        <v>3525 S Honore St </v>
      </c>
      <c r="P245" s="12">
        <v>12.0</v>
      </c>
      <c r="Q245" s="13" t="s">
        <v>23</v>
      </c>
    </row>
    <row r="246">
      <c r="A246" s="7">
        <v>609954.0</v>
      </c>
      <c r="B246" s="8" t="s">
        <v>829</v>
      </c>
      <c r="C246" s="18" t="s">
        <v>830</v>
      </c>
      <c r="D246" s="19">
        <v>0.249</v>
      </c>
      <c r="E246" s="18" t="s">
        <v>80</v>
      </c>
      <c r="F246" s="18" t="s">
        <v>216</v>
      </c>
      <c r="G246" s="8" t="str">
        <f>VLOOKUP(F246, 'Network Chiefs'!A:B, 2, FALSE)
</f>
        <v>Shontae Higginbottom</v>
      </c>
      <c r="H246" s="12">
        <v>57.0</v>
      </c>
      <c r="I246" s="13" t="s">
        <v>20</v>
      </c>
      <c r="J246" s="14" t="s">
        <v>217</v>
      </c>
      <c r="K246" s="14">
        <v>5.0</v>
      </c>
      <c r="L246" s="14" t="str">
        <f t="array" ref="L246">INDEX('School Rep'!$A$2:$A$21, MATCH(J246, 'School Rep'!$B$2:$B$21, 0))</f>
        <v>Michilla Blaise</v>
      </c>
      <c r="M246" s="15">
        <v>3.5</v>
      </c>
      <c r="N246" s="16" t="s">
        <v>831</v>
      </c>
      <c r="O246" s="8" t="str">
        <f t="shared" si="1"/>
        <v>3715 W Polk St </v>
      </c>
      <c r="P246" s="12">
        <v>24.0</v>
      </c>
      <c r="Q246" s="13" t="s">
        <v>517</v>
      </c>
    </row>
    <row r="247">
      <c r="A247" s="7">
        <v>609955.0</v>
      </c>
      <c r="B247" s="8" t="s">
        <v>832</v>
      </c>
      <c r="C247" s="9" t="s">
        <v>833</v>
      </c>
      <c r="D247" s="10">
        <v>0.173</v>
      </c>
      <c r="E247" s="11" t="s">
        <v>80</v>
      </c>
      <c r="F247" s="11" t="s">
        <v>186</v>
      </c>
      <c r="G247" s="8" t="str">
        <f>VLOOKUP(F247, 'Network Chiefs'!A:B, 2, FALSE)
</f>
        <v>Latasha Geverola</v>
      </c>
      <c r="H247" s="12">
        <v>66.0</v>
      </c>
      <c r="I247" s="13" t="s">
        <v>52</v>
      </c>
      <c r="J247" s="14" t="s">
        <v>187</v>
      </c>
      <c r="K247" s="14">
        <v>9.0</v>
      </c>
      <c r="L247" s="14" t="str">
        <f t="array" ref="L247">INDEX('School Rep'!$A$2:$A$21, MATCH(J247, 'School Rep'!$B$2:$B$21, 0))</f>
        <v>Frank Niles Thomas</v>
      </c>
      <c r="M247" s="15">
        <v>3.6</v>
      </c>
      <c r="N247" s="16" t="s">
        <v>834</v>
      </c>
      <c r="O247" s="8" t="str">
        <f t="shared" si="1"/>
        <v>8524 S Green St </v>
      </c>
      <c r="P247" s="12">
        <v>17.0</v>
      </c>
      <c r="Q247" s="13" t="s">
        <v>189</v>
      </c>
    </row>
    <row r="248">
      <c r="A248" s="7">
        <v>609956.0</v>
      </c>
      <c r="B248" s="8" t="s">
        <v>835</v>
      </c>
      <c r="C248" s="18" t="s">
        <v>836</v>
      </c>
      <c r="D248" s="19">
        <v>0.073</v>
      </c>
      <c r="E248" s="18" t="s">
        <v>80</v>
      </c>
      <c r="F248" s="18" t="s">
        <v>138</v>
      </c>
      <c r="G248" s="8" t="str">
        <f>VLOOKUP(F248, 'Network Chiefs'!A:B, 2, FALSE)
</f>
        <v>Mira Weber</v>
      </c>
      <c r="H248" s="12">
        <v>57.0</v>
      </c>
      <c r="I248" s="13" t="s">
        <v>20</v>
      </c>
      <c r="J248" s="14" t="s">
        <v>139</v>
      </c>
      <c r="K248" s="14">
        <v>8.0</v>
      </c>
      <c r="L248" s="14" t="str">
        <f t="array" ref="L248">INDEX('School Rep'!$A$2:$A$21, MATCH(J248, 'School Rep'!$B$2:$B$21, 0))</f>
        <v>Angel Gutierrez</v>
      </c>
      <c r="M248" s="15">
        <v>2.8</v>
      </c>
      <c r="N248" s="16" t="s">
        <v>837</v>
      </c>
      <c r="O248" s="8" t="str">
        <f t="shared" si="1"/>
        <v>5450 W 64th Pl </v>
      </c>
      <c r="P248" s="12">
        <v>13.0</v>
      </c>
      <c r="Q248" s="13" t="s">
        <v>250</v>
      </c>
    </row>
    <row r="249">
      <c r="A249" s="7">
        <v>609944.0</v>
      </c>
      <c r="B249" s="13" t="s">
        <v>838</v>
      </c>
      <c r="C249" s="18" t="s">
        <v>839</v>
      </c>
      <c r="D249" s="19">
        <v>0.1</v>
      </c>
      <c r="E249" s="18" t="s">
        <v>80</v>
      </c>
      <c r="F249" s="18" t="s">
        <v>81</v>
      </c>
      <c r="G249" s="8" t="str">
        <f>VLOOKUP(F249, 'Network Chiefs'!A:B, 2, FALSE)
</f>
        <v>Dr. Terrycita D. Perry</v>
      </c>
      <c r="H249" s="12">
        <v>53.0</v>
      </c>
      <c r="I249" s="13" t="s">
        <v>20</v>
      </c>
      <c r="J249" s="14" t="s">
        <v>82</v>
      </c>
      <c r="K249" s="14">
        <v>10.0</v>
      </c>
      <c r="L249" s="14" t="str">
        <f t="array" ref="L249">INDEX('School Rep'!$A$2:$A$21, MATCH(J249, 'School Rep'!$B$2:$B$21, 0))</f>
        <v>Olga Bautista</v>
      </c>
      <c r="M249" s="12">
        <v>2.4</v>
      </c>
      <c r="N249" s="16" t="s">
        <v>840</v>
      </c>
      <c r="O249" s="8" t="str">
        <f t="shared" si="1"/>
        <v>12810 S Escanaba Ave </v>
      </c>
      <c r="P249" s="12">
        <v>10.0</v>
      </c>
      <c r="Q249" s="13" t="s">
        <v>84</v>
      </c>
    </row>
    <row r="250">
      <c r="A250" s="7">
        <v>609958.0</v>
      </c>
      <c r="B250" s="8" t="s">
        <v>841</v>
      </c>
      <c r="C250" s="18" t="s">
        <v>842</v>
      </c>
      <c r="D250" s="19">
        <v>0.019</v>
      </c>
      <c r="E250" s="18" t="s">
        <v>80</v>
      </c>
      <c r="F250" s="18" t="s">
        <v>285</v>
      </c>
      <c r="G250" s="8" t="str">
        <f>VLOOKUP(F250, 'Network Chiefs'!A:B, 2, FALSE)
</f>
        <v>Gilberto Piedrahita</v>
      </c>
      <c r="H250" s="12">
        <v>44.0</v>
      </c>
      <c r="I250" s="13" t="s">
        <v>20</v>
      </c>
      <c r="J250" s="14" t="s">
        <v>21</v>
      </c>
      <c r="K250" s="14">
        <v>7.0</v>
      </c>
      <c r="L250" s="14" t="str">
        <f t="array" ref="L250">INDEX('School Rep'!$A$2:$A$21, MATCH(J250, 'School Rep'!$B$2:$B$21, 0))</f>
        <v>Yesenia Lopez</v>
      </c>
      <c r="M250" s="15">
        <v>3.0</v>
      </c>
      <c r="N250" s="16" t="s">
        <v>843</v>
      </c>
      <c r="O250" s="8" t="str">
        <f t="shared" si="1"/>
        <v>4420 S Sacramento Ave </v>
      </c>
      <c r="P250" s="12">
        <v>12.0</v>
      </c>
      <c r="Q250" s="13" t="s">
        <v>23</v>
      </c>
    </row>
    <row r="251">
      <c r="A251" s="7">
        <v>609959.0</v>
      </c>
      <c r="B251" s="8" t="s">
        <v>844</v>
      </c>
      <c r="C251" s="18" t="s">
        <v>845</v>
      </c>
      <c r="D251" s="19">
        <v>0.042</v>
      </c>
      <c r="E251" s="18" t="s">
        <v>80</v>
      </c>
      <c r="F251" s="18" t="s">
        <v>301</v>
      </c>
      <c r="G251" s="8" t="str">
        <f>VLOOKUP(F251, 'Network Chiefs'!A:B, 2, FALSE)
</f>
        <v>Dr. Ethan Netterstrom</v>
      </c>
      <c r="H251" s="12">
        <v>60.0</v>
      </c>
      <c r="I251" s="13" t="s">
        <v>52</v>
      </c>
      <c r="J251" s="14" t="s">
        <v>21</v>
      </c>
      <c r="K251" s="14">
        <v>7.0</v>
      </c>
      <c r="L251" s="14" t="str">
        <f t="array" ref="L251">INDEX('School Rep'!$A$2:$A$21, MATCH(J251, 'School Rep'!$B$2:$B$21, 0))</f>
        <v>Yesenia Lopez</v>
      </c>
      <c r="M251" s="15">
        <v>2.3</v>
      </c>
      <c r="N251" s="16" t="s">
        <v>846</v>
      </c>
      <c r="O251" s="8" t="str">
        <f t="shared" si="1"/>
        <v>247 W 23rd Pl </v>
      </c>
      <c r="P251" s="12">
        <v>11.0</v>
      </c>
      <c r="Q251" s="13" t="s">
        <v>94</v>
      </c>
    </row>
    <row r="252">
      <c r="A252" s="7">
        <v>609960.0</v>
      </c>
      <c r="B252" s="8" t="s">
        <v>847</v>
      </c>
      <c r="C252" s="18" t="s">
        <v>848</v>
      </c>
      <c r="D252" s="19">
        <v>0.066</v>
      </c>
      <c r="E252" s="18" t="s">
        <v>80</v>
      </c>
      <c r="F252" s="18" t="s">
        <v>138</v>
      </c>
      <c r="G252" s="8" t="str">
        <f>VLOOKUP(F252, 'Network Chiefs'!A:B, 2, FALSE)
</f>
        <v>Mira Weber</v>
      </c>
      <c r="H252" s="12">
        <v>62.0</v>
      </c>
      <c r="I252" s="13" t="s">
        <v>52</v>
      </c>
      <c r="J252" s="14" t="s">
        <v>139</v>
      </c>
      <c r="K252" s="14">
        <v>8.0</v>
      </c>
      <c r="L252" s="14" t="str">
        <f t="array" ref="L252">INDEX('School Rep'!$A$2:$A$21, MATCH(J252, 'School Rep'!$B$2:$B$21, 0))</f>
        <v>Angel Gutierrez</v>
      </c>
      <c r="M252" s="15">
        <v>2.2</v>
      </c>
      <c r="N252" s="16" t="s">
        <v>849</v>
      </c>
      <c r="O252" s="8" t="str">
        <f t="shared" si="1"/>
        <v>6140 S Melvina Ave </v>
      </c>
      <c r="P252" s="12">
        <v>13.0</v>
      </c>
      <c r="Q252" s="13" t="s">
        <v>250</v>
      </c>
    </row>
    <row r="253">
      <c r="A253" s="7">
        <v>609808.0</v>
      </c>
      <c r="B253" s="8" t="s">
        <v>850</v>
      </c>
      <c r="C253" s="18" t="s">
        <v>851</v>
      </c>
      <c r="D253" s="19">
        <v>0.175</v>
      </c>
      <c r="E253" s="18" t="s">
        <v>80</v>
      </c>
      <c r="F253" s="18" t="s">
        <v>81</v>
      </c>
      <c r="G253" s="8" t="str">
        <f>VLOOKUP(F253, 'Network Chiefs'!A:B, 2, FALSE)
</f>
        <v>Dr. Terrycita D. Perry</v>
      </c>
      <c r="H253" s="12">
        <v>63.0</v>
      </c>
      <c r="I253" s="13" t="s">
        <v>52</v>
      </c>
      <c r="J253" s="14" t="s">
        <v>178</v>
      </c>
      <c r="K253" s="14">
        <v>9.0</v>
      </c>
      <c r="L253" s="14" t="str">
        <f t="array" ref="L253">INDEX('School Rep'!$A$2:$A$21, MATCH(J253, 'School Rep'!$B$2:$B$21, 0))</f>
        <v>Therese Boyle</v>
      </c>
      <c r="M253" s="15">
        <v>3.2</v>
      </c>
      <c r="N253" s="16" t="s">
        <v>852</v>
      </c>
      <c r="O253" s="8" t="str">
        <f t="shared" si="1"/>
        <v>11411 S Eggleston Ave </v>
      </c>
      <c r="P253" s="12">
        <v>21.0</v>
      </c>
      <c r="Q253" s="13" t="s">
        <v>428</v>
      </c>
    </row>
    <row r="254">
      <c r="A254" s="7">
        <v>609963.0</v>
      </c>
      <c r="B254" s="12" t="s">
        <v>853</v>
      </c>
      <c r="C254" s="18" t="s">
        <v>854</v>
      </c>
      <c r="D254" s="19">
        <v>0.039</v>
      </c>
      <c r="E254" s="18" t="s">
        <v>80</v>
      </c>
      <c r="F254" s="18" t="s">
        <v>102</v>
      </c>
      <c r="G254" s="8" t="str">
        <f>VLOOKUP(F254, 'Network Chiefs'!A:B, 2, FALSE)
</f>
        <v>Jerry Travlos</v>
      </c>
      <c r="H254" s="12">
        <v>49.0</v>
      </c>
      <c r="I254" s="13" t="s">
        <v>20</v>
      </c>
      <c r="J254" s="14" t="s">
        <v>243</v>
      </c>
      <c r="K254" s="14">
        <v>4.0</v>
      </c>
      <c r="L254" s="14" t="str">
        <f t="array" ref="L254">INDEX('School Rep'!$A$2:$A$21, MATCH(J254, 'School Rep'!$B$2:$B$21, 0))</f>
        <v>Karen Zaccor</v>
      </c>
      <c r="M254" s="12">
        <v>1.8</v>
      </c>
      <c r="N254" s="16" t="s">
        <v>855</v>
      </c>
      <c r="O254" s="8" t="str">
        <f t="shared" si="1"/>
        <v>1650 W Cornelia Ave </v>
      </c>
      <c r="P254" s="12">
        <v>47.0</v>
      </c>
      <c r="Q254" s="13" t="s">
        <v>228</v>
      </c>
    </row>
    <row r="255">
      <c r="A255" s="7">
        <v>609964.0</v>
      </c>
      <c r="B255" s="8" t="s">
        <v>856</v>
      </c>
      <c r="C255" s="17" t="s">
        <v>857</v>
      </c>
      <c r="D255" s="10">
        <v>0.089</v>
      </c>
      <c r="E255" s="11" t="s">
        <v>80</v>
      </c>
      <c r="F255" s="11" t="s">
        <v>285</v>
      </c>
      <c r="G255" s="8" t="str">
        <f>VLOOKUP(F255, 'Network Chiefs'!A:B, 2, FALSE)
</f>
        <v>Gilberto Piedrahita</v>
      </c>
      <c r="H255" s="12">
        <v>56.0</v>
      </c>
      <c r="I255" s="13" t="s">
        <v>20</v>
      </c>
      <c r="J255" s="14" t="s">
        <v>26</v>
      </c>
      <c r="K255" s="14">
        <v>8.0</v>
      </c>
      <c r="L255" s="14" t="str">
        <f t="array" ref="L255">INDEX('School Rep'!$A$2:$A$21, MATCH(J255, 'School Rep'!$B$2:$B$21, 0))</f>
        <v>Cydney Wallace</v>
      </c>
      <c r="M255" s="15">
        <v>4.3</v>
      </c>
      <c r="N255" s="16" t="s">
        <v>858</v>
      </c>
      <c r="O255" s="8" t="str">
        <f t="shared" si="1"/>
        <v>4747 S Bishop St </v>
      </c>
      <c r="P255" s="12">
        <v>20.0</v>
      </c>
      <c r="Q255" s="13" t="s">
        <v>368</v>
      </c>
    </row>
    <row r="256">
      <c r="A256" s="7">
        <v>609966.0</v>
      </c>
      <c r="B256" s="8" t="s">
        <v>859</v>
      </c>
      <c r="C256" s="18" t="s">
        <v>860</v>
      </c>
      <c r="D256" s="19">
        <v>0.136</v>
      </c>
      <c r="E256" s="18" t="s">
        <v>80</v>
      </c>
      <c r="F256" s="18" t="s">
        <v>529</v>
      </c>
      <c r="G256" s="8" t="str">
        <f>VLOOKUP(F256, 'Network Chiefs'!A:B, 2, FALSE)
</f>
        <v>Dr. Antonio Acevedo</v>
      </c>
      <c r="H256" s="12">
        <v>61.0</v>
      </c>
      <c r="I256" s="13" t="s">
        <v>52</v>
      </c>
      <c r="J256" s="14" t="s">
        <v>42</v>
      </c>
      <c r="K256" s="14">
        <v>7.0</v>
      </c>
      <c r="L256" s="14" t="str">
        <f t="array" ref="L256">INDEX('School Rep'!$A$2:$A$21, MATCH(J256, 'School Rep'!$B$2:$B$21, 0))</f>
        <v>Emma Lozano</v>
      </c>
      <c r="M256" s="15">
        <v>3.6</v>
      </c>
      <c r="N256" s="16" t="s">
        <v>861</v>
      </c>
      <c r="O256" s="8" t="str">
        <f t="shared" si="1"/>
        <v>2819 W 21st Pl </v>
      </c>
      <c r="P256" s="12">
        <v>25.0</v>
      </c>
      <c r="Q256" s="13" t="s">
        <v>44</v>
      </c>
    </row>
    <row r="257">
      <c r="A257" s="7">
        <v>609807.0</v>
      </c>
      <c r="B257" s="8" t="s">
        <v>862</v>
      </c>
      <c r="C257" s="18" t="s">
        <v>863</v>
      </c>
      <c r="D257" s="19">
        <v>0.104</v>
      </c>
      <c r="E257" s="18" t="s">
        <v>80</v>
      </c>
      <c r="F257" s="18" t="s">
        <v>138</v>
      </c>
      <c r="G257" s="8" t="str">
        <f>VLOOKUP(F257, 'Network Chiefs'!A:B, 2, FALSE)
</f>
        <v>Mira Weber</v>
      </c>
      <c r="H257" s="15"/>
      <c r="I257" s="8"/>
      <c r="J257" s="14" t="s">
        <v>139</v>
      </c>
      <c r="K257" s="14">
        <v>8.0</v>
      </c>
      <c r="L257" s="14" t="str">
        <f t="array" ref="L257">INDEX('School Rep'!$A$2:$A$21, MATCH(J257, 'School Rep'!$B$2:$B$21, 0))</f>
        <v>Angel Gutierrez</v>
      </c>
      <c r="M257" s="15">
        <v>3.5</v>
      </c>
      <c r="N257" s="16" t="s">
        <v>864</v>
      </c>
      <c r="O257" s="8" t="str">
        <f t="shared" si="1"/>
        <v>3434 W 77th St </v>
      </c>
      <c r="P257" s="12">
        <v>18.0</v>
      </c>
      <c r="Q257" s="13" t="s">
        <v>141</v>
      </c>
    </row>
    <row r="258">
      <c r="A258" s="7">
        <v>609694.0</v>
      </c>
      <c r="B258" s="8" t="s">
        <v>865</v>
      </c>
      <c r="C258" s="18" t="s">
        <v>866</v>
      </c>
      <c r="D258" s="19">
        <v>0.0</v>
      </c>
      <c r="E258" s="18" t="s">
        <v>80</v>
      </c>
      <c r="F258" s="18" t="s">
        <v>108</v>
      </c>
      <c r="G258" s="8" t="str">
        <f>VLOOKUP(F258, 'Network Chiefs'!A:B, 2, FALSE)
</f>
        <v>Michael Boraz</v>
      </c>
      <c r="H258" s="15"/>
      <c r="I258" s="8"/>
      <c r="J258" s="14" t="s">
        <v>139</v>
      </c>
      <c r="K258" s="14">
        <v>8.0</v>
      </c>
      <c r="L258" s="14" t="str">
        <f t="array" ref="L258">INDEX('School Rep'!$A$2:$A$21, MATCH(J258, 'School Rep'!$B$2:$B$21, 0))</f>
        <v>Angel Gutierrez</v>
      </c>
      <c r="M258" s="15">
        <v>2.3</v>
      </c>
      <c r="N258" s="16" t="s">
        <v>867</v>
      </c>
      <c r="O258" s="8" t="str">
        <f t="shared" si="1"/>
        <v>5437 W 64th Pl </v>
      </c>
      <c r="P258" s="12">
        <v>13.0</v>
      </c>
      <c r="Q258" s="13" t="s">
        <v>250</v>
      </c>
    </row>
    <row r="259">
      <c r="A259" s="7">
        <v>610068.0</v>
      </c>
      <c r="B259" s="12" t="s">
        <v>868</v>
      </c>
      <c r="C259" s="18" t="s">
        <v>869</v>
      </c>
      <c r="D259" s="19">
        <v>0.107</v>
      </c>
      <c r="E259" s="18" t="s">
        <v>80</v>
      </c>
      <c r="F259" s="18" t="s">
        <v>231</v>
      </c>
      <c r="G259" s="8" t="str">
        <f>VLOOKUP(F259, 'Network Chiefs'!A:B, 2, FALSE)
</f>
        <v>Jennifer Farrell‐Rottman</v>
      </c>
      <c r="H259" s="12">
        <v>52.0</v>
      </c>
      <c r="I259" s="13" t="s">
        <v>20</v>
      </c>
      <c r="J259" s="14" t="s">
        <v>232</v>
      </c>
      <c r="K259" s="14">
        <v>3.0</v>
      </c>
      <c r="L259" s="14" t="str">
        <f t="array" ref="L259">INDEX('School Rep'!$A$2:$A$21, MATCH(J259, 'School Rep'!$B$2:$B$21, 0))</f>
        <v>Carlos Rivas</v>
      </c>
      <c r="M259" s="12">
        <v>3.7</v>
      </c>
      <c r="N259" s="16" t="s">
        <v>870</v>
      </c>
      <c r="O259" s="8" t="str">
        <f t="shared" si="1"/>
        <v>5411 W Fullerton Ave </v>
      </c>
      <c r="P259" s="12">
        <v>36.0</v>
      </c>
      <c r="Q259" s="13" t="s">
        <v>67</v>
      </c>
    </row>
    <row r="260">
      <c r="A260" s="7">
        <v>609710.0</v>
      </c>
      <c r="B260" s="8" t="s">
        <v>871</v>
      </c>
      <c r="C260" s="17" t="s">
        <v>872</v>
      </c>
      <c r="D260" s="10">
        <v>0.328</v>
      </c>
      <c r="E260" s="11" t="s">
        <v>80</v>
      </c>
      <c r="F260" s="11" t="s">
        <v>263</v>
      </c>
      <c r="G260" s="8" t="str">
        <f>VLOOKUP(F260, 'Network Chiefs'!A:B, 2, FALSE)
</f>
        <v>Myron Hester</v>
      </c>
      <c r="H260" s="12">
        <v>24.0</v>
      </c>
      <c r="I260" s="13" t="s">
        <v>41</v>
      </c>
      <c r="J260" s="14" t="s">
        <v>178</v>
      </c>
      <c r="K260" s="14">
        <v>9.0</v>
      </c>
      <c r="L260" s="14" t="str">
        <f t="array" ref="L260">INDEX('School Rep'!$A$2:$A$21, MATCH(J260, 'School Rep'!$B$2:$B$21, 0))</f>
        <v>Therese Boyle</v>
      </c>
      <c r="M260" s="15">
        <v>3.7</v>
      </c>
      <c r="N260" s="16" t="s">
        <v>873</v>
      </c>
      <c r="O260" s="8" t="str">
        <f t="shared" si="1"/>
        <v>9652 S Michigan Ave </v>
      </c>
      <c r="P260" s="12">
        <v>9.0</v>
      </c>
      <c r="Q260" s="13" t="s">
        <v>237</v>
      </c>
    </row>
    <row r="261">
      <c r="A261" s="7">
        <v>609969.0</v>
      </c>
      <c r="B261" s="13" t="s">
        <v>874</v>
      </c>
      <c r="C261" s="9" t="s">
        <v>875</v>
      </c>
      <c r="D261" s="10">
        <v>0.061</v>
      </c>
      <c r="E261" s="11" t="s">
        <v>80</v>
      </c>
      <c r="F261" s="11" t="s">
        <v>120</v>
      </c>
      <c r="G261" s="8" t="str">
        <f>VLOOKUP(F261, 'Network Chiefs'!A:B, 2, FALSE)
</f>
        <v>Alene Mason</v>
      </c>
      <c r="H261" s="12">
        <v>49.0</v>
      </c>
      <c r="I261" s="13" t="s">
        <v>20</v>
      </c>
      <c r="J261" s="14" t="s">
        <v>121</v>
      </c>
      <c r="K261" s="14">
        <v>10.0</v>
      </c>
      <c r="L261" s="14" t="str">
        <f t="array" ref="L261">INDEX('School Rep'!$A$2:$A$21, MATCH(J261, 'School Rep'!$B$2:$B$21, 0))</f>
        <v>Che "Rhymefest" Smith</v>
      </c>
      <c r="M261" s="12">
        <v>2.7</v>
      </c>
      <c r="N261" s="16" t="s">
        <v>876</v>
      </c>
      <c r="O261" s="8" t="str">
        <f t="shared" si="1"/>
        <v>1556 E 56th St </v>
      </c>
      <c r="P261" s="12">
        <v>5.0</v>
      </c>
      <c r="Q261" s="13" t="s">
        <v>357</v>
      </c>
    </row>
    <row r="262">
      <c r="A262" s="7">
        <v>609971.0</v>
      </c>
      <c r="B262" s="8" t="s">
        <v>877</v>
      </c>
      <c r="C262" s="17" t="s">
        <v>878</v>
      </c>
      <c r="D262" s="10">
        <v>0.266</v>
      </c>
      <c r="E262" s="11" t="s">
        <v>80</v>
      </c>
      <c r="F262" s="11" t="s">
        <v>186</v>
      </c>
      <c r="G262" s="8" t="str">
        <f>VLOOKUP(F262, 'Network Chiefs'!A:B, 2, FALSE)
</f>
        <v>Latasha Geverola</v>
      </c>
      <c r="H262" s="12">
        <v>57.0</v>
      </c>
      <c r="I262" s="13" t="s">
        <v>20</v>
      </c>
      <c r="J262" s="14" t="s">
        <v>187</v>
      </c>
      <c r="K262" s="14">
        <v>9.0</v>
      </c>
      <c r="L262" s="14" t="str">
        <f t="array" ref="L262">INDEX('School Rep'!$A$2:$A$21, MATCH(J262, 'School Rep'!$B$2:$B$21, 0))</f>
        <v>Frank Niles Thomas</v>
      </c>
      <c r="M262" s="15">
        <v>3.8</v>
      </c>
      <c r="N262" s="16" t="s">
        <v>879</v>
      </c>
      <c r="O262" s="8" t="str">
        <f t="shared" si="1"/>
        <v>7525 S Harvard </v>
      </c>
      <c r="P262" s="12">
        <v>6.0</v>
      </c>
      <c r="Q262" s="13" t="s">
        <v>306</v>
      </c>
    </row>
    <row r="263">
      <c r="A263" s="7">
        <v>609972.0</v>
      </c>
      <c r="B263" s="12" t="s">
        <v>880</v>
      </c>
      <c r="C263" s="18" t="s">
        <v>881</v>
      </c>
      <c r="D263" s="19">
        <v>0.137</v>
      </c>
      <c r="E263" s="18" t="s">
        <v>80</v>
      </c>
      <c r="F263" s="18" t="s">
        <v>126</v>
      </c>
      <c r="G263" s="8" t="str">
        <f>VLOOKUP(F263, 'Network Chiefs'!A:B, 2, FALSE)
</f>
        <v>#N/A</v>
      </c>
      <c r="H263" s="12">
        <v>44.0</v>
      </c>
      <c r="I263" s="13" t="s">
        <v>20</v>
      </c>
      <c r="J263" s="14" t="s">
        <v>47</v>
      </c>
      <c r="K263" s="14">
        <v>3.0</v>
      </c>
      <c r="L263" s="14" t="str">
        <f t="array" ref="L263">INDEX('School Rep'!$A$2:$A$21, MATCH(J263, 'School Rep'!$B$2:$B$21, 0))</f>
        <v>Norma Rios-Sierra</v>
      </c>
      <c r="M263" s="12">
        <v>3.0</v>
      </c>
      <c r="N263" s="16" t="s">
        <v>882</v>
      </c>
      <c r="O263" s="8" t="str">
        <f t="shared" si="1"/>
        <v>4540 N Hamlin Ave </v>
      </c>
      <c r="P263" s="12">
        <v>33.0</v>
      </c>
      <c r="Q263" s="13" t="s">
        <v>99</v>
      </c>
    </row>
    <row r="264">
      <c r="A264" s="7">
        <v>609974.0</v>
      </c>
      <c r="B264" s="12" t="s">
        <v>883</v>
      </c>
      <c r="C264" s="18" t="s">
        <v>884</v>
      </c>
      <c r="D264" s="19">
        <v>0.0</v>
      </c>
      <c r="E264" s="18" t="s">
        <v>80</v>
      </c>
      <c r="F264" s="18" t="s">
        <v>102</v>
      </c>
      <c r="G264" s="8" t="str">
        <f>VLOOKUP(F264, 'Network Chiefs'!A:B, 2, FALSE)
</f>
        <v>Jerry Travlos</v>
      </c>
      <c r="H264" s="12">
        <v>80.0</v>
      </c>
      <c r="I264" s="13" t="s">
        <v>248</v>
      </c>
      <c r="J264" s="14" t="s">
        <v>243</v>
      </c>
      <c r="K264" s="14">
        <v>4.0</v>
      </c>
      <c r="L264" s="14" t="str">
        <f t="array" ref="L264">INDEX('School Rep'!$A$2:$A$21, MATCH(J264, 'School Rep'!$B$2:$B$21, 0))</f>
        <v>Karen Zaccor</v>
      </c>
      <c r="M264" s="12">
        <v>1.8</v>
      </c>
      <c r="N264" s="16" t="s">
        <v>885</v>
      </c>
      <c r="O264" s="8" t="str">
        <f t="shared" si="1"/>
        <v>3319 N Clifton Ave </v>
      </c>
      <c r="P264" s="12">
        <v>44.0</v>
      </c>
      <c r="Q264" s="13" t="s">
        <v>886</v>
      </c>
    </row>
    <row r="265">
      <c r="A265" s="7">
        <v>609975.0</v>
      </c>
      <c r="B265" s="12" t="s">
        <v>887</v>
      </c>
      <c r="C265" s="18" t="s">
        <v>888</v>
      </c>
      <c r="D265" s="19">
        <v>0.136</v>
      </c>
      <c r="E265" s="18" t="s">
        <v>80</v>
      </c>
      <c r="F265" s="18" t="s">
        <v>231</v>
      </c>
      <c r="G265" s="8" t="str">
        <f>VLOOKUP(F265, 'Network Chiefs'!A:B, 2, FALSE)
</f>
        <v>Jennifer Farrell‐Rottman</v>
      </c>
      <c r="H265" s="12">
        <v>61.0</v>
      </c>
      <c r="I265" s="13" t="s">
        <v>52</v>
      </c>
      <c r="J265" s="14" t="s">
        <v>31</v>
      </c>
      <c r="K265" s="14">
        <v>5.0</v>
      </c>
      <c r="L265" s="14" t="str">
        <f t="array" ref="L265">INDEX('School Rep'!$A$2:$A$21, MATCH(J265, 'School Rep'!$B$2:$B$21, 0))</f>
        <v>Aaron "Jitu" Brown</v>
      </c>
      <c r="M265" s="12">
        <v>3.3</v>
      </c>
      <c r="N265" s="16" t="s">
        <v>889</v>
      </c>
      <c r="O265" s="8" t="str">
        <f t="shared" si="1"/>
        <v>1018 N Laramie Ave </v>
      </c>
      <c r="P265" s="12">
        <v>37.0</v>
      </c>
      <c r="Q265" s="13" t="s">
        <v>162</v>
      </c>
    </row>
    <row r="266">
      <c r="A266" s="7">
        <v>609976.0</v>
      </c>
      <c r="B266" s="13" t="s">
        <v>890</v>
      </c>
      <c r="C266" s="18" t="s">
        <v>891</v>
      </c>
      <c r="D266" s="19">
        <v>0.139</v>
      </c>
      <c r="E266" s="18" t="s">
        <v>80</v>
      </c>
      <c r="F266" s="18" t="s">
        <v>270</v>
      </c>
      <c r="G266" s="8" t="str">
        <f>VLOOKUP(F266, 'Network Chiefs'!A:B, 2, FALSE)
</f>
        <v>Marilou Rebolledo</v>
      </c>
      <c r="H266" s="12">
        <v>51.0</v>
      </c>
      <c r="I266" s="13" t="s">
        <v>20</v>
      </c>
      <c r="J266" s="14" t="s">
        <v>87</v>
      </c>
      <c r="K266" s="14">
        <v>2.0</v>
      </c>
      <c r="L266" s="14" t="str">
        <f t="array" ref="L266">INDEX('School Rep'!$A$2:$A$21, MATCH(J266, 'School Rep'!$B$2:$B$21, 0))</f>
        <v>Debby Pope</v>
      </c>
      <c r="M266" s="12">
        <v>2.8</v>
      </c>
      <c r="N266" s="16" t="s">
        <v>892</v>
      </c>
      <c r="O266" s="8" t="str">
        <f t="shared" si="1"/>
        <v>1518 W Granville Ave </v>
      </c>
      <c r="P266" s="12">
        <v>48.0</v>
      </c>
      <c r="Q266" s="13" t="s">
        <v>807</v>
      </c>
    </row>
    <row r="267">
      <c r="A267" s="7">
        <v>609979.0</v>
      </c>
      <c r="B267" s="8" t="s">
        <v>893</v>
      </c>
      <c r="C267" s="11" t="s">
        <v>894</v>
      </c>
      <c r="D267" s="10">
        <v>0.041</v>
      </c>
      <c r="E267" s="11" t="s">
        <v>80</v>
      </c>
      <c r="F267" s="11" t="s">
        <v>301</v>
      </c>
      <c r="G267" s="8" t="str">
        <f>VLOOKUP(F267, 'Network Chiefs'!A:B, 2, FALSE)
</f>
        <v>Dr. Ethan Netterstrom</v>
      </c>
      <c r="H267" s="12">
        <v>54.0</v>
      </c>
      <c r="I267" s="13" t="s">
        <v>20</v>
      </c>
      <c r="J267" s="14" t="s">
        <v>21</v>
      </c>
      <c r="K267" s="14">
        <v>7.0</v>
      </c>
      <c r="L267" s="14" t="str">
        <f t="array" ref="L267">INDEX('School Rep'!$A$2:$A$21, MATCH(J267, 'School Rep'!$B$2:$B$21, 0))</f>
        <v>Yesenia Lopez</v>
      </c>
      <c r="M267" s="15">
        <v>1.9</v>
      </c>
      <c r="N267" s="16" t="s">
        <v>895</v>
      </c>
      <c r="O267" s="8" t="str">
        <f t="shared" si="1"/>
        <v>3010 S Parnell Ave </v>
      </c>
      <c r="P267" s="12">
        <v>11.0</v>
      </c>
      <c r="Q267" s="13" t="s">
        <v>94</v>
      </c>
    </row>
    <row r="268">
      <c r="A268" s="7">
        <v>609981.0</v>
      </c>
      <c r="B268" s="8" t="s">
        <v>896</v>
      </c>
      <c r="C268" s="18" t="s">
        <v>897</v>
      </c>
      <c r="D268" s="19">
        <v>0.116</v>
      </c>
      <c r="E268" s="18" t="s">
        <v>80</v>
      </c>
      <c r="F268" s="18" t="s">
        <v>138</v>
      </c>
      <c r="G268" s="8" t="str">
        <f>VLOOKUP(F268, 'Network Chiefs'!A:B, 2, FALSE)
</f>
        <v>Mira Weber</v>
      </c>
      <c r="H268" s="12">
        <v>27.0</v>
      </c>
      <c r="I268" s="13" t="s">
        <v>41</v>
      </c>
      <c r="J268" s="14" t="s">
        <v>42</v>
      </c>
      <c r="K268" s="14">
        <v>7.0</v>
      </c>
      <c r="L268" s="14" t="str">
        <f t="array" ref="L268">INDEX('School Rep'!$A$2:$A$21, MATCH(J268, 'School Rep'!$B$2:$B$21, 0))</f>
        <v>Emma Lozano</v>
      </c>
      <c r="M268" s="15">
        <v>2.6</v>
      </c>
      <c r="N268" s="16" t="s">
        <v>898</v>
      </c>
      <c r="O268" s="8" t="str">
        <f t="shared" si="1"/>
        <v>4640 S Lamon Ave </v>
      </c>
      <c r="P268" s="12">
        <v>22.0</v>
      </c>
      <c r="Q268" s="13" t="s">
        <v>353</v>
      </c>
    </row>
    <row r="269">
      <c r="A269" s="7">
        <v>609983.0</v>
      </c>
      <c r="B269" s="8" t="s">
        <v>899</v>
      </c>
      <c r="C269" s="18" t="s">
        <v>900</v>
      </c>
      <c r="D269" s="19">
        <v>0.151</v>
      </c>
      <c r="E269" s="18" t="s">
        <v>80</v>
      </c>
      <c r="F269" s="18" t="s">
        <v>285</v>
      </c>
      <c r="G269" s="8" t="str">
        <f>VLOOKUP(F269, 'Network Chiefs'!A:B, 2, FALSE)
</f>
        <v>Gilberto Piedrahita</v>
      </c>
      <c r="H269" s="12">
        <v>42.0</v>
      </c>
      <c r="I269" s="13" t="s">
        <v>20</v>
      </c>
      <c r="J269" s="14" t="s">
        <v>26</v>
      </c>
      <c r="K269" s="14">
        <v>8.0</v>
      </c>
      <c r="L269" s="14" t="str">
        <f t="array" ref="L269">INDEX('School Rep'!$A$2:$A$21, MATCH(J269, 'School Rep'!$B$2:$B$21, 0))</f>
        <v>Cydney Wallace</v>
      </c>
      <c r="M269" s="15">
        <v>3.9</v>
      </c>
      <c r="N269" s="16" t="s">
        <v>901</v>
      </c>
      <c r="O269" s="8" t="str">
        <f t="shared" si="1"/>
        <v>4747 S Winchester Ave </v>
      </c>
      <c r="P269" s="12">
        <v>15.0</v>
      </c>
      <c r="Q269" s="13" t="s">
        <v>364</v>
      </c>
    </row>
    <row r="270">
      <c r="A270" s="7">
        <v>609985.0</v>
      </c>
      <c r="B270" s="8" t="s">
        <v>902</v>
      </c>
      <c r="C270" s="18" t="s">
        <v>903</v>
      </c>
      <c r="D270" s="19">
        <v>0.266</v>
      </c>
      <c r="E270" s="18" t="s">
        <v>80</v>
      </c>
      <c r="F270" s="18" t="s">
        <v>216</v>
      </c>
      <c r="G270" s="8" t="str">
        <f>VLOOKUP(F270, 'Network Chiefs'!A:B, 2, FALSE)
</f>
        <v>Shontae Higginbottom</v>
      </c>
      <c r="H270" s="12">
        <v>44.0</v>
      </c>
      <c r="I270" s="13" t="s">
        <v>20</v>
      </c>
      <c r="J270" s="14" t="s">
        <v>217</v>
      </c>
      <c r="K270" s="14">
        <v>5.0</v>
      </c>
      <c r="L270" s="14" t="str">
        <f t="array" ref="L270">INDEX('School Rep'!$A$2:$A$21, MATCH(J270, 'School Rep'!$B$2:$B$21, 0))</f>
        <v>Michilla Blaise</v>
      </c>
      <c r="M270" s="15">
        <v>3.6</v>
      </c>
      <c r="N270" s="16" t="s">
        <v>904</v>
      </c>
      <c r="O270" s="8" t="str">
        <f t="shared" si="1"/>
        <v>4409 W Wilcox St </v>
      </c>
      <c r="P270" s="12">
        <v>28.0</v>
      </c>
      <c r="Q270" s="13" t="s">
        <v>399</v>
      </c>
    </row>
    <row r="271">
      <c r="A271" s="7">
        <v>609986.0</v>
      </c>
      <c r="B271" s="8" t="s">
        <v>905</v>
      </c>
      <c r="C271" s="18" t="s">
        <v>906</v>
      </c>
      <c r="D271" s="19">
        <v>0.217</v>
      </c>
      <c r="E271" s="18" t="s">
        <v>80</v>
      </c>
      <c r="F271" s="18" t="s">
        <v>285</v>
      </c>
      <c r="G271" s="8" t="str">
        <f>VLOOKUP(F271, 'Network Chiefs'!A:B, 2, FALSE)
</f>
        <v>Gilberto Piedrahita</v>
      </c>
      <c r="H271" s="12">
        <v>49.0</v>
      </c>
      <c r="I271" s="13" t="s">
        <v>20</v>
      </c>
      <c r="J271" s="14" t="s">
        <v>187</v>
      </c>
      <c r="K271" s="14">
        <v>9.0</v>
      </c>
      <c r="L271" s="14" t="str">
        <f t="array" ref="L271">INDEX('School Rep'!$A$2:$A$21, MATCH(J271, 'School Rep'!$B$2:$B$21, 0))</f>
        <v>Frank Niles Thomas</v>
      </c>
      <c r="M271" s="15">
        <v>3.8</v>
      </c>
      <c r="N271" s="16" t="s">
        <v>907</v>
      </c>
      <c r="O271" s="8" t="str">
        <f t="shared" si="1"/>
        <v>5650 S Wolcott Ave </v>
      </c>
      <c r="P271" s="12">
        <v>15.0</v>
      </c>
      <c r="Q271" s="13" t="s">
        <v>364</v>
      </c>
    </row>
    <row r="272">
      <c r="A272" s="7">
        <v>609987.0</v>
      </c>
      <c r="B272" s="8" t="s">
        <v>908</v>
      </c>
      <c r="C272" s="18" t="s">
        <v>909</v>
      </c>
      <c r="D272" s="19">
        <v>0.089</v>
      </c>
      <c r="E272" s="18" t="s">
        <v>80</v>
      </c>
      <c r="F272" s="18" t="s">
        <v>120</v>
      </c>
      <c r="G272" s="8" t="str">
        <f>VLOOKUP(F272, 'Network Chiefs'!A:B, 2, FALSE)
</f>
        <v>Alene Mason</v>
      </c>
      <c r="H272" s="12">
        <v>53.0</v>
      </c>
      <c r="I272" s="13" t="s">
        <v>20</v>
      </c>
      <c r="J272" s="14" t="s">
        <v>204</v>
      </c>
      <c r="K272" s="14">
        <v>6.0</v>
      </c>
      <c r="L272" s="14" t="str">
        <f t="array" ref="L272">INDEX('School Rep'!$A$2:$A$21, MATCH(J272, 'School Rep'!$B$2:$B$21, 0))</f>
        <v>Jessica Biggs</v>
      </c>
      <c r="M272" s="15">
        <v>3.9</v>
      </c>
      <c r="N272" s="16" t="s">
        <v>910</v>
      </c>
      <c r="O272" s="8" t="str">
        <f t="shared" si="1"/>
        <v>4316 S Princeton Ave </v>
      </c>
      <c r="P272" s="12">
        <v>20.0</v>
      </c>
      <c r="Q272" s="13" t="s">
        <v>368</v>
      </c>
    </row>
    <row r="273">
      <c r="A273" s="7">
        <v>609988.0</v>
      </c>
      <c r="B273" s="12" t="s">
        <v>911</v>
      </c>
      <c r="C273" s="18" t="s">
        <v>912</v>
      </c>
      <c r="D273" s="19">
        <v>0.124</v>
      </c>
      <c r="E273" s="18" t="s">
        <v>80</v>
      </c>
      <c r="F273" s="18" t="s">
        <v>97</v>
      </c>
      <c r="G273" s="8" t="str">
        <f>VLOOKUP(F273, 'Network Chiefs'!A:B, 2, FALSE)
</f>
        <v>Julie McGlade</v>
      </c>
      <c r="H273" s="12">
        <v>50.0</v>
      </c>
      <c r="I273" s="13" t="s">
        <v>20</v>
      </c>
      <c r="J273" s="14" t="s">
        <v>47</v>
      </c>
      <c r="K273" s="14">
        <v>3.0</v>
      </c>
      <c r="L273" s="14" t="str">
        <f t="array" ref="L273">INDEX('School Rep'!$A$2:$A$21, MATCH(J273, 'School Rep'!$B$2:$B$21, 0))</f>
        <v>Norma Rios-Sierra</v>
      </c>
      <c r="M273" s="12">
        <v>2.3</v>
      </c>
      <c r="N273" s="16" t="s">
        <v>913</v>
      </c>
      <c r="O273" s="8" t="str">
        <f t="shared" si="1"/>
        <v>4250 N Saint Louis Ave </v>
      </c>
      <c r="P273" s="12">
        <v>33.0</v>
      </c>
      <c r="Q273" s="13" t="s">
        <v>99</v>
      </c>
    </row>
    <row r="274">
      <c r="A274" s="7">
        <v>610532.0</v>
      </c>
      <c r="B274" s="8" t="s">
        <v>914</v>
      </c>
      <c r="C274" s="18" t="s">
        <v>915</v>
      </c>
      <c r="D274" s="19">
        <v>0.076</v>
      </c>
      <c r="E274" s="18" t="s">
        <v>80</v>
      </c>
      <c r="F274" s="18" t="s">
        <v>126</v>
      </c>
      <c r="G274" s="8" t="str">
        <f>VLOOKUP(F274, 'Network Chiefs'!A:B, 2, FALSE)
</f>
        <v>#N/A</v>
      </c>
      <c r="H274" s="12">
        <v>64.0</v>
      </c>
      <c r="I274" s="13" t="s">
        <v>52</v>
      </c>
      <c r="J274" s="14" t="s">
        <v>21</v>
      </c>
      <c r="K274" s="14">
        <v>7.0</v>
      </c>
      <c r="L274" s="14" t="str">
        <f t="array" ref="L274">INDEX('School Rep'!$A$2:$A$21, MATCH(J274, 'School Rep'!$B$2:$B$21, 0))</f>
        <v>Yesenia Lopez</v>
      </c>
      <c r="M274" s="15">
        <v>3.2</v>
      </c>
      <c r="N274" s="16" t="s">
        <v>916</v>
      </c>
      <c r="O274" s="8" t="str">
        <f t="shared" si="1"/>
        <v>3510 W 55th St </v>
      </c>
      <c r="P274" s="12">
        <v>14.0</v>
      </c>
      <c r="Q274" s="13" t="s">
        <v>54</v>
      </c>
    </row>
    <row r="275">
      <c r="A275" s="7">
        <v>609991.0</v>
      </c>
      <c r="B275" s="8" t="s">
        <v>917</v>
      </c>
      <c r="C275" s="18" t="s">
        <v>918</v>
      </c>
      <c r="D275" s="19">
        <v>0.166</v>
      </c>
      <c r="E275" s="18" t="s">
        <v>80</v>
      </c>
      <c r="F275" s="18" t="s">
        <v>529</v>
      </c>
      <c r="G275" s="8" t="str">
        <f>VLOOKUP(F275, 'Network Chiefs'!A:B, 2, FALSE)
</f>
        <v>Dr. Antonio Acevedo</v>
      </c>
      <c r="H275" s="12">
        <v>47.0</v>
      </c>
      <c r="I275" s="13" t="s">
        <v>20</v>
      </c>
      <c r="J275" s="14" t="s">
        <v>217</v>
      </c>
      <c r="K275" s="14">
        <v>5.0</v>
      </c>
      <c r="L275" s="14" t="str">
        <f t="array" ref="L275">INDEX('School Rep'!$A$2:$A$21, MATCH(J275, 'School Rep'!$B$2:$B$21, 0))</f>
        <v>Michilla Blaise</v>
      </c>
      <c r="M275" s="15">
        <v>3.8</v>
      </c>
      <c r="N275" s="16" t="s">
        <v>919</v>
      </c>
      <c r="O275" s="8" t="str">
        <f t="shared" si="1"/>
        <v>3711 W Douglas Blvd </v>
      </c>
      <c r="P275" s="12">
        <v>24.0</v>
      </c>
      <c r="Q275" s="13" t="s">
        <v>517</v>
      </c>
    </row>
    <row r="276">
      <c r="A276" s="7">
        <v>609994.0</v>
      </c>
      <c r="B276" s="13" t="s">
        <v>920</v>
      </c>
      <c r="C276" s="18" t="s">
        <v>921</v>
      </c>
      <c r="D276" s="19">
        <v>0.101</v>
      </c>
      <c r="E276" s="18" t="s">
        <v>80</v>
      </c>
      <c r="F276" s="18" t="s">
        <v>97</v>
      </c>
      <c r="G276" s="8" t="str">
        <f>VLOOKUP(F276, 'Network Chiefs'!A:B, 2, FALSE)
</f>
        <v>Julie McGlade</v>
      </c>
      <c r="H276" s="12">
        <v>29.0</v>
      </c>
      <c r="I276" s="13" t="s">
        <v>41</v>
      </c>
      <c r="J276" s="14" t="s">
        <v>87</v>
      </c>
      <c r="K276" s="14">
        <v>2.0</v>
      </c>
      <c r="L276" s="14" t="str">
        <f t="array" ref="L276">INDEX('School Rep'!$A$2:$A$21, MATCH(J276, 'School Rep'!$B$2:$B$21, 0))</f>
        <v>Debby Pope</v>
      </c>
      <c r="M276" s="12">
        <v>2.7</v>
      </c>
      <c r="N276" s="16" t="s">
        <v>922</v>
      </c>
      <c r="O276" s="8" t="str">
        <f t="shared" si="1"/>
        <v>3244 W Ainslie St </v>
      </c>
      <c r="P276" s="12">
        <v>33.0</v>
      </c>
      <c r="Q276" s="13" t="s">
        <v>99</v>
      </c>
    </row>
    <row r="277">
      <c r="A277" s="7">
        <v>610295.0</v>
      </c>
      <c r="B277" s="8" t="s">
        <v>923</v>
      </c>
      <c r="C277" s="18" t="s">
        <v>924</v>
      </c>
      <c r="D277" s="19">
        <v>0.171</v>
      </c>
      <c r="E277" s="18" t="s">
        <v>80</v>
      </c>
      <c r="F277" s="18" t="s">
        <v>81</v>
      </c>
      <c r="G277" s="8" t="str">
        <f>VLOOKUP(F277, 'Network Chiefs'!A:B, 2, FALSE)
</f>
        <v>Dr. Terrycita D. Perry</v>
      </c>
      <c r="H277" s="12">
        <v>60.0</v>
      </c>
      <c r="I277" s="13" t="s">
        <v>52</v>
      </c>
      <c r="J277" s="14" t="s">
        <v>178</v>
      </c>
      <c r="K277" s="14">
        <v>9.0</v>
      </c>
      <c r="L277" s="14" t="str">
        <f t="array" ref="L277">INDEX('School Rep'!$A$2:$A$21, MATCH(J277, 'School Rep'!$B$2:$B$21, 0))</f>
        <v>Therese Boyle</v>
      </c>
      <c r="M277" s="15">
        <v>3.3</v>
      </c>
      <c r="N277" s="16" t="s">
        <v>925</v>
      </c>
      <c r="O277" s="8" t="str">
        <f t="shared" si="1"/>
        <v>11710 S Morgan St </v>
      </c>
      <c r="P277" s="12">
        <v>21.0</v>
      </c>
      <c r="Q277" s="13" t="s">
        <v>428</v>
      </c>
    </row>
    <row r="278">
      <c r="A278" s="7">
        <v>609712.0</v>
      </c>
      <c r="B278" s="13" t="s">
        <v>926</v>
      </c>
      <c r="C278" s="9" t="s">
        <v>927</v>
      </c>
      <c r="D278" s="10">
        <v>0.405</v>
      </c>
      <c r="E278" s="11" t="s">
        <v>80</v>
      </c>
      <c r="F278" s="11" t="s">
        <v>263</v>
      </c>
      <c r="G278" s="8" t="str">
        <f>VLOOKUP(F278, 'Network Chiefs'!A:B, 2, FALSE)
</f>
        <v>Myron Hester</v>
      </c>
      <c r="H278" s="12">
        <v>44.0</v>
      </c>
      <c r="I278" s="13" t="s">
        <v>20</v>
      </c>
      <c r="J278" s="14" t="s">
        <v>82</v>
      </c>
      <c r="K278" s="14">
        <v>10.0</v>
      </c>
      <c r="L278" s="14" t="str">
        <f t="array" ref="L278">INDEX('School Rep'!$A$2:$A$21, MATCH(J278, 'School Rep'!$B$2:$B$21, 0))</f>
        <v>Olga Bautista</v>
      </c>
      <c r="M278" s="12">
        <v>3.7</v>
      </c>
      <c r="N278" s="16" t="s">
        <v>928</v>
      </c>
      <c r="O278" s="8" t="str">
        <f t="shared" si="1"/>
        <v>7740 S Ingleside Ave </v>
      </c>
      <c r="P278" s="12">
        <v>8.0</v>
      </c>
      <c r="Q278" s="13" t="s">
        <v>135</v>
      </c>
    </row>
    <row r="279">
      <c r="A279" s="7">
        <v>609995.0</v>
      </c>
      <c r="B279" s="13" t="s">
        <v>929</v>
      </c>
      <c r="C279" s="18" t="s">
        <v>930</v>
      </c>
      <c r="D279" s="19">
        <v>0.075</v>
      </c>
      <c r="E279" s="18" t="s">
        <v>80</v>
      </c>
      <c r="F279" s="18" t="s">
        <v>97</v>
      </c>
      <c r="G279" s="8" t="str">
        <f>VLOOKUP(F279, 'Network Chiefs'!A:B, 2, FALSE)
</f>
        <v>Julie McGlade</v>
      </c>
      <c r="H279" s="12">
        <v>39.0</v>
      </c>
      <c r="I279" s="13" t="s">
        <v>41</v>
      </c>
      <c r="J279" s="14" t="s">
        <v>199</v>
      </c>
      <c r="K279" s="14">
        <v>1.0</v>
      </c>
      <c r="L279" s="14" t="str">
        <f t="array" ref="L279">INDEX('School Rep'!$A$2:$A$21, MATCH(J279, 'School Rep'!$B$2:$B$21, 0))</f>
        <v>Ed Bannon</v>
      </c>
      <c r="M279" s="12">
        <v>1.7</v>
      </c>
      <c r="N279" s="16" t="s">
        <v>931</v>
      </c>
      <c r="O279" s="8" t="str">
        <f t="shared" si="1"/>
        <v>5625 N Mcvicker Ave </v>
      </c>
      <c r="P279" s="12">
        <v>45.0</v>
      </c>
      <c r="Q279" s="13" t="s">
        <v>210</v>
      </c>
    </row>
    <row r="280">
      <c r="A280" s="7">
        <v>609996.0</v>
      </c>
      <c r="B280" s="8" t="s">
        <v>932</v>
      </c>
      <c r="C280" s="18" t="s">
        <v>933</v>
      </c>
      <c r="D280" s="19">
        <v>0.094</v>
      </c>
      <c r="E280" s="18" t="s">
        <v>80</v>
      </c>
      <c r="F280" s="18" t="s">
        <v>126</v>
      </c>
      <c r="G280" s="8" t="str">
        <f>VLOOKUP(F280, 'Network Chiefs'!A:B, 2, FALSE)
</f>
        <v>#N/A</v>
      </c>
      <c r="H280" s="12">
        <v>57.0</v>
      </c>
      <c r="I280" s="13" t="s">
        <v>20</v>
      </c>
      <c r="J280" s="14" t="s">
        <v>21</v>
      </c>
      <c r="K280" s="14">
        <v>7.0</v>
      </c>
      <c r="L280" s="14" t="str">
        <f t="array" ref="L280">INDEX('School Rep'!$A$2:$A$21, MATCH(J280, 'School Rep'!$B$2:$B$21, 0))</f>
        <v>Yesenia Lopez</v>
      </c>
      <c r="M280" s="15">
        <v>2.7</v>
      </c>
      <c r="N280" s="16" t="s">
        <v>934</v>
      </c>
      <c r="O280" s="8" t="str">
        <f t="shared" si="1"/>
        <v>1104 W 31st St </v>
      </c>
      <c r="P280" s="12">
        <v>11.0</v>
      </c>
      <c r="Q280" s="13" t="s">
        <v>94</v>
      </c>
    </row>
    <row r="281">
      <c r="A281" s="7">
        <v>609997.0</v>
      </c>
      <c r="B281" s="8" t="s">
        <v>935</v>
      </c>
      <c r="C281" s="18" t="s">
        <v>936</v>
      </c>
      <c r="D281" s="19">
        <v>0.313</v>
      </c>
      <c r="E281" s="18" t="s">
        <v>80</v>
      </c>
      <c r="F281" s="18" t="s">
        <v>285</v>
      </c>
      <c r="G281" s="8" t="str">
        <f>VLOOKUP(F281, 'Network Chiefs'!A:B, 2, FALSE)
</f>
        <v>Gilberto Piedrahita</v>
      </c>
      <c r="H281" s="12">
        <v>25.0</v>
      </c>
      <c r="I281" s="13" t="s">
        <v>41</v>
      </c>
      <c r="J281" s="14" t="s">
        <v>187</v>
      </c>
      <c r="K281" s="14">
        <v>9.0</v>
      </c>
      <c r="L281" s="14" t="str">
        <f t="array" ref="L281">INDEX('School Rep'!$A$2:$A$21, MATCH(J281, 'School Rep'!$B$2:$B$21, 0))</f>
        <v>Frank Niles Thomas</v>
      </c>
      <c r="M281" s="15">
        <v>3.5</v>
      </c>
      <c r="N281" s="16" t="s">
        <v>937</v>
      </c>
      <c r="O281" s="8" t="str">
        <f t="shared" si="1"/>
        <v>955 W Garfield Blvd </v>
      </c>
      <c r="P281" s="12">
        <v>16.0</v>
      </c>
      <c r="Q281" s="13" t="s">
        <v>193</v>
      </c>
    </row>
    <row r="282">
      <c r="A282" s="7">
        <v>400167.0</v>
      </c>
      <c r="B282" s="8" t="s">
        <v>938</v>
      </c>
      <c r="C282" s="18" t="s">
        <v>939</v>
      </c>
      <c r="D282" s="19">
        <v>0.063</v>
      </c>
      <c r="E282" s="18" t="s">
        <v>19</v>
      </c>
      <c r="F282" s="18" t="s">
        <v>19</v>
      </c>
      <c r="G282" s="8" t="str">
        <f>VLOOKUP(F282, 'Network Chiefs'!A:B, 2, FALSE)
</f>
        <v>#N/A</v>
      </c>
      <c r="H282" s="12">
        <v>36.0</v>
      </c>
      <c r="I282" s="13" t="s">
        <v>41</v>
      </c>
      <c r="J282" s="14" t="s">
        <v>26</v>
      </c>
      <c r="K282" s="14">
        <v>8.0</v>
      </c>
      <c r="L282" s="14" t="str">
        <f t="array" ref="L282">INDEX('School Rep'!$A$2:$A$21, MATCH(J282, 'School Rep'!$B$2:$B$21, 0))</f>
        <v>Cydney Wallace</v>
      </c>
      <c r="M282" s="15">
        <v>3.3</v>
      </c>
      <c r="N282" s="16" t="s">
        <v>940</v>
      </c>
      <c r="O282" s="8" t="str">
        <f t="shared" si="1"/>
        <v>5401 S Western Ave </v>
      </c>
      <c r="P282" s="12">
        <v>15.0</v>
      </c>
      <c r="Q282" s="13" t="s">
        <v>364</v>
      </c>
    </row>
    <row r="283">
      <c r="A283" s="7">
        <v>610000.0</v>
      </c>
      <c r="B283" s="12" t="s">
        <v>941</v>
      </c>
      <c r="C283" s="18" t="s">
        <v>942</v>
      </c>
      <c r="D283" s="19">
        <v>0.168</v>
      </c>
      <c r="E283" s="18" t="s">
        <v>80</v>
      </c>
      <c r="F283" s="18" t="s">
        <v>231</v>
      </c>
      <c r="G283" s="8" t="str">
        <f>VLOOKUP(F283, 'Network Chiefs'!A:B, 2, FALSE)
</f>
        <v>Jennifer Farrell‐Rottman</v>
      </c>
      <c r="H283" s="12">
        <v>41.0</v>
      </c>
      <c r="I283" s="13" t="s">
        <v>20</v>
      </c>
      <c r="J283" s="14" t="s">
        <v>31</v>
      </c>
      <c r="K283" s="14">
        <v>5.0</v>
      </c>
      <c r="L283" s="14" t="str">
        <f t="array" ref="L283">INDEX('School Rep'!$A$2:$A$21, MATCH(J283, 'School Rep'!$B$2:$B$21, 0))</f>
        <v>Aaron "Jitu" Brown</v>
      </c>
      <c r="M283" s="12">
        <v>3.7</v>
      </c>
      <c r="N283" s="16" t="s">
        <v>943</v>
      </c>
      <c r="O283" s="8" t="str">
        <f t="shared" si="1"/>
        <v>720 N Lorel Ave </v>
      </c>
      <c r="P283" s="12">
        <v>37.0</v>
      </c>
      <c r="Q283" s="13" t="s">
        <v>162</v>
      </c>
    </row>
    <row r="284">
      <c r="A284" s="7">
        <v>610002.0</v>
      </c>
      <c r="B284" s="13" t="s">
        <v>944</v>
      </c>
      <c r="C284" s="18" t="s">
        <v>945</v>
      </c>
      <c r="D284" s="19">
        <v>0.145</v>
      </c>
      <c r="E284" s="18" t="s">
        <v>80</v>
      </c>
      <c r="F284" s="18" t="s">
        <v>144</v>
      </c>
      <c r="G284" s="8" t="str">
        <f>VLOOKUP(F284, 'Network Chiefs'!A:B, 2, FALSE)
</f>
        <v>Shenethe Parks</v>
      </c>
      <c r="H284" s="12">
        <v>40.0</v>
      </c>
      <c r="I284" s="13" t="s">
        <v>20</v>
      </c>
      <c r="J284" s="14" t="s">
        <v>82</v>
      </c>
      <c r="K284" s="14">
        <v>10.0</v>
      </c>
      <c r="L284" s="14" t="str">
        <f t="array" ref="L284">INDEX('School Rep'!$A$2:$A$21, MATCH(J284, 'School Rep'!$B$2:$B$21, 0))</f>
        <v>Olga Bautista</v>
      </c>
      <c r="M284" s="12">
        <v>2.8</v>
      </c>
      <c r="N284" s="16" t="s">
        <v>946</v>
      </c>
      <c r="O284" s="8" t="str">
        <f t="shared" si="1"/>
        <v>8905 S Crandon Ave </v>
      </c>
      <c r="P284" s="12">
        <v>7.0</v>
      </c>
      <c r="Q284" s="13" t="s">
        <v>260</v>
      </c>
    </row>
    <row r="285">
      <c r="A285" s="7">
        <v>609741.0</v>
      </c>
      <c r="B285" s="8" t="s">
        <v>947</v>
      </c>
      <c r="C285" s="9" t="s">
        <v>948</v>
      </c>
      <c r="D285" s="10">
        <v>0.118</v>
      </c>
      <c r="E285" s="11" t="s">
        <v>80</v>
      </c>
      <c r="F285" s="11" t="s">
        <v>92</v>
      </c>
      <c r="G285" s="8" t="str">
        <f>VLOOKUP(F285, 'Network Chiefs'!A:B, 2, FALSE)
</f>
        <v>Devon LaRosa</v>
      </c>
      <c r="H285" s="12">
        <v>55.0</v>
      </c>
      <c r="I285" s="13" t="s">
        <v>20</v>
      </c>
      <c r="J285" s="14" t="s">
        <v>26</v>
      </c>
      <c r="K285" s="14">
        <v>8.0</v>
      </c>
      <c r="L285" s="14" t="str">
        <f t="array" ref="L285">INDEX('School Rep'!$A$2:$A$21, MATCH(J285, 'School Rep'!$B$2:$B$21, 0))</f>
        <v>Cydney Wallace</v>
      </c>
      <c r="M285" s="15">
        <v>3.3</v>
      </c>
      <c r="N285" s="16" t="s">
        <v>949</v>
      </c>
      <c r="O285" s="8" t="str">
        <f t="shared" si="1"/>
        <v>6200 S Hamlin Ave </v>
      </c>
      <c r="P285" s="12">
        <v>23.0</v>
      </c>
      <c r="Q285" s="13" t="s">
        <v>172</v>
      </c>
    </row>
    <row r="286">
      <c r="A286" s="7">
        <v>610005.0</v>
      </c>
      <c r="B286" s="8" t="s">
        <v>950</v>
      </c>
      <c r="C286" s="18" t="s">
        <v>951</v>
      </c>
      <c r="D286" s="19">
        <v>0.234</v>
      </c>
      <c r="E286" s="18" t="s">
        <v>80</v>
      </c>
      <c r="F286" s="18" t="s">
        <v>529</v>
      </c>
      <c r="G286" s="8" t="str">
        <f>VLOOKUP(F286, 'Network Chiefs'!A:B, 2, FALSE)
</f>
        <v>Dr. Antonio Acevedo</v>
      </c>
      <c r="H286" s="12">
        <v>41.0</v>
      </c>
      <c r="I286" s="13" t="s">
        <v>20</v>
      </c>
      <c r="J286" s="14" t="s">
        <v>217</v>
      </c>
      <c r="K286" s="14">
        <v>5.0</v>
      </c>
      <c r="L286" s="14" t="str">
        <f t="array" ref="L286">INDEX('School Rep'!$A$2:$A$21, MATCH(J286, 'School Rep'!$B$2:$B$21, 0))</f>
        <v>Michilla Blaise</v>
      </c>
      <c r="M286" s="15">
        <v>3.6</v>
      </c>
      <c r="N286" s="16" t="s">
        <v>952</v>
      </c>
      <c r="O286" s="8" t="str">
        <f t="shared" si="1"/>
        <v>4247 W 15th St </v>
      </c>
      <c r="P286" s="12">
        <v>24.0</v>
      </c>
      <c r="Q286" s="13" t="s">
        <v>517</v>
      </c>
    </row>
    <row r="287">
      <c r="A287" s="7">
        <v>610368.0</v>
      </c>
      <c r="B287" s="8" t="s">
        <v>953</v>
      </c>
      <c r="C287" s="9" t="s">
        <v>954</v>
      </c>
      <c r="D287" s="10">
        <v>0.201</v>
      </c>
      <c r="E287" s="11" t="s">
        <v>80</v>
      </c>
      <c r="F287" s="11" t="s">
        <v>81</v>
      </c>
      <c r="G287" s="8" t="str">
        <f>VLOOKUP(F287, 'Network Chiefs'!A:B, 2, FALSE)
</f>
        <v>Dr. Terrycita D. Perry</v>
      </c>
      <c r="H287" s="15"/>
      <c r="I287" s="8"/>
      <c r="J287" s="14" t="s">
        <v>178</v>
      </c>
      <c r="K287" s="14">
        <v>9.0</v>
      </c>
      <c r="L287" s="14" t="str">
        <f t="array" ref="L287">INDEX('School Rep'!$A$2:$A$21, MATCH(J287, 'School Rep'!$B$2:$B$21, 0))</f>
        <v>Therese Boyle</v>
      </c>
      <c r="M287" s="15">
        <v>3.6</v>
      </c>
      <c r="N287" s="16" t="s">
        <v>955</v>
      </c>
      <c r="O287" s="8" t="str">
        <f t="shared" si="1"/>
        <v>240 W 104th St </v>
      </c>
      <c r="P287" s="12">
        <v>21.0</v>
      </c>
      <c r="Q287" s="13" t="s">
        <v>428</v>
      </c>
    </row>
    <row r="288">
      <c r="A288" s="7">
        <v>610006.0</v>
      </c>
      <c r="B288" s="8" t="s">
        <v>956</v>
      </c>
      <c r="C288" s="18" t="s">
        <v>957</v>
      </c>
      <c r="D288" s="19">
        <v>0.046</v>
      </c>
      <c r="E288" s="18" t="s">
        <v>80</v>
      </c>
      <c r="F288" s="18" t="s">
        <v>138</v>
      </c>
      <c r="G288" s="8" t="str">
        <f>VLOOKUP(F288, 'Network Chiefs'!A:B, 2, FALSE)
</f>
        <v>Mira Weber</v>
      </c>
      <c r="H288" s="12">
        <v>55.0</v>
      </c>
      <c r="I288" s="13" t="s">
        <v>20</v>
      </c>
      <c r="J288" s="14" t="s">
        <v>139</v>
      </c>
      <c r="K288" s="14">
        <v>8.0</v>
      </c>
      <c r="L288" s="14" t="str">
        <f t="array" ref="L288">INDEX('School Rep'!$A$2:$A$21, MATCH(J288, 'School Rep'!$B$2:$B$21, 0))</f>
        <v>Angel Gutierrez</v>
      </c>
      <c r="M288" s="15">
        <v>3.3</v>
      </c>
      <c r="N288" s="16" t="s">
        <v>958</v>
      </c>
      <c r="O288" s="8" t="str">
        <f t="shared" si="1"/>
        <v>3849 W 69th Pl </v>
      </c>
      <c r="P288" s="12">
        <v>23.0</v>
      </c>
      <c r="Q288" s="13" t="s">
        <v>172</v>
      </c>
    </row>
    <row r="289">
      <c r="A289" s="7">
        <v>609713.0</v>
      </c>
      <c r="B289" s="13" t="s">
        <v>959</v>
      </c>
      <c r="C289" s="18" t="s">
        <v>960</v>
      </c>
      <c r="D289" s="19">
        <v>0.118</v>
      </c>
      <c r="E289" s="18" t="s">
        <v>80</v>
      </c>
      <c r="F289" s="18" t="s">
        <v>263</v>
      </c>
      <c r="G289" s="8" t="str">
        <f>VLOOKUP(F289, 'Network Chiefs'!A:B, 2, FALSE)
</f>
        <v>Myron Hester</v>
      </c>
      <c r="H289" s="12">
        <v>33.0</v>
      </c>
      <c r="I289" s="13" t="s">
        <v>41</v>
      </c>
      <c r="J289" s="14" t="s">
        <v>121</v>
      </c>
      <c r="K289" s="14">
        <v>10.0</v>
      </c>
      <c r="L289" s="14" t="str">
        <f t="array" ref="L289">INDEX('School Rep'!$A$2:$A$21, MATCH(J289, 'School Rep'!$B$2:$B$21, 0))</f>
        <v>Che "Rhymefest" Smith</v>
      </c>
      <c r="M289" s="12">
        <v>3.4</v>
      </c>
      <c r="N289" s="16" t="s">
        <v>961</v>
      </c>
      <c r="O289" s="8" t="str">
        <f t="shared" si="1"/>
        <v>6220 S Stony Island Ave </v>
      </c>
      <c r="P289" s="12">
        <v>5.0</v>
      </c>
      <c r="Q289" s="13" t="s">
        <v>357</v>
      </c>
    </row>
    <row r="290">
      <c r="A290" s="7">
        <v>610384.0</v>
      </c>
      <c r="B290" s="8" t="s">
        <v>962</v>
      </c>
      <c r="C290" s="9" t="s">
        <v>963</v>
      </c>
      <c r="D290" s="10">
        <v>0.0</v>
      </c>
      <c r="E290" s="11" t="s">
        <v>80</v>
      </c>
      <c r="F290" s="11" t="s">
        <v>108</v>
      </c>
      <c r="G290" s="8" t="str">
        <f>VLOOKUP(F290, 'Network Chiefs'!A:B, 2, FALSE)
</f>
        <v>Michael Boraz</v>
      </c>
      <c r="H290" s="12">
        <v>25.0</v>
      </c>
      <c r="I290" s="13" t="s">
        <v>41</v>
      </c>
      <c r="J290" s="14" t="s">
        <v>42</v>
      </c>
      <c r="K290" s="14">
        <v>7.0</v>
      </c>
      <c r="L290" s="14" t="str">
        <f t="array" ref="L290">INDEX('School Rep'!$A$2:$A$21, MATCH(J290, 'School Rep'!$B$2:$B$21, 0))</f>
        <v>Emma Lozano</v>
      </c>
      <c r="M290" s="15">
        <v>3.1</v>
      </c>
      <c r="N290" s="16" t="s">
        <v>964</v>
      </c>
      <c r="O290" s="8" t="str">
        <f t="shared" si="1"/>
        <v>3120 S Kostner Ave </v>
      </c>
      <c r="P290" s="12">
        <v>22.0</v>
      </c>
      <c r="Q290" s="13" t="s">
        <v>353</v>
      </c>
    </row>
    <row r="291">
      <c r="A291" s="7">
        <v>400104.0</v>
      </c>
      <c r="B291" s="8" t="s">
        <v>965</v>
      </c>
      <c r="C291" s="9" t="s">
        <v>966</v>
      </c>
      <c r="D291" s="10">
        <v>0.19</v>
      </c>
      <c r="E291" s="11" t="s">
        <v>19</v>
      </c>
      <c r="F291" s="11" t="s">
        <v>19</v>
      </c>
      <c r="G291" s="8" t="str">
        <f>VLOOKUP(F291, 'Network Chiefs'!A:B, 2, FALSE)
</f>
        <v>#N/A</v>
      </c>
      <c r="H291" s="12">
        <v>11.0</v>
      </c>
      <c r="I291" s="13" t="s">
        <v>30</v>
      </c>
      <c r="J291" s="15" t="s">
        <v>384</v>
      </c>
      <c r="K291" s="15" t="s">
        <v>384</v>
      </c>
      <c r="L291" s="15" t="s">
        <v>384</v>
      </c>
      <c r="M291" s="15">
        <v>3.2</v>
      </c>
      <c r="N291" s="16" t="s">
        <v>967</v>
      </c>
      <c r="O291" s="8" t="str">
        <f t="shared" si="1"/>
        <v>2520 S Western Ave </v>
      </c>
      <c r="P291" s="12">
        <v>25.0</v>
      </c>
      <c r="Q291" s="13" t="s">
        <v>44</v>
      </c>
    </row>
    <row r="292">
      <c r="A292" s="7">
        <v>400164.0</v>
      </c>
      <c r="B292" s="8" t="s">
        <v>968</v>
      </c>
      <c r="C292" s="18" t="s">
        <v>969</v>
      </c>
      <c r="D292" s="19">
        <v>0.786</v>
      </c>
      <c r="E292" s="18" t="s">
        <v>19</v>
      </c>
      <c r="F292" s="18" t="s">
        <v>426</v>
      </c>
      <c r="G292" s="8" t="str">
        <f>VLOOKUP(F292, 'Network Chiefs'!A:B, 2, FALSE)
</f>
        <v>Richard Smith</v>
      </c>
      <c r="H292" s="15"/>
      <c r="I292" s="8"/>
      <c r="J292" s="15" t="s">
        <v>384</v>
      </c>
      <c r="K292" s="15" t="s">
        <v>384</v>
      </c>
      <c r="L292" s="15" t="s">
        <v>384</v>
      </c>
      <c r="M292" s="15" t="s">
        <v>384</v>
      </c>
      <c r="N292" s="16" t="s">
        <v>970</v>
      </c>
      <c r="O292" s="8" t="str">
        <f t="shared" si="1"/>
        <v>2570 S Blue Island Ave </v>
      </c>
      <c r="P292" s="12">
        <v>25.0</v>
      </c>
      <c r="Q292" s="13" t="s">
        <v>44</v>
      </c>
    </row>
    <row r="293">
      <c r="A293" s="7">
        <v>610078.0</v>
      </c>
      <c r="B293" s="12" t="s">
        <v>971</v>
      </c>
      <c r="C293" s="18" t="s">
        <v>972</v>
      </c>
      <c r="D293" s="19">
        <v>0.037</v>
      </c>
      <c r="E293" s="18" t="s">
        <v>80</v>
      </c>
      <c r="F293" s="18" t="s">
        <v>102</v>
      </c>
      <c r="G293" s="8" t="str">
        <f>VLOOKUP(F293, 'Network Chiefs'!A:B, 2, FALSE)
</f>
        <v>Jerry Travlos</v>
      </c>
      <c r="H293" s="12">
        <v>41.0</v>
      </c>
      <c r="I293" s="13" t="s">
        <v>20</v>
      </c>
      <c r="J293" s="14" t="s">
        <v>243</v>
      </c>
      <c r="K293" s="14">
        <v>4.0</v>
      </c>
      <c r="L293" s="14" t="str">
        <f t="array" ref="L293">INDEX('School Rep'!$A$2:$A$21, MATCH(J293, 'School Rep'!$B$2:$B$21, 0))</f>
        <v>Karen Zaccor</v>
      </c>
      <c r="M293" s="12">
        <v>2.2</v>
      </c>
      <c r="N293" s="16" t="s">
        <v>973</v>
      </c>
      <c r="O293" s="8" t="str">
        <f t="shared" si="1"/>
        <v>851 W Waveland Ave </v>
      </c>
      <c r="P293" s="12">
        <v>44.0</v>
      </c>
      <c r="Q293" s="13" t="s">
        <v>886</v>
      </c>
    </row>
    <row r="294">
      <c r="A294" s="7">
        <v>400162.0</v>
      </c>
      <c r="B294" s="13" t="s">
        <v>974</v>
      </c>
      <c r="C294" s="18" t="s">
        <v>975</v>
      </c>
      <c r="D294" s="19">
        <v>0.023</v>
      </c>
      <c r="E294" s="18" t="s">
        <v>19</v>
      </c>
      <c r="F294" s="18" t="s">
        <v>19</v>
      </c>
      <c r="G294" s="8" t="str">
        <f>VLOOKUP(F294, 'Network Chiefs'!A:B, 2, FALSE)
</f>
        <v>#N/A</v>
      </c>
      <c r="H294" s="12">
        <v>53.0</v>
      </c>
      <c r="I294" s="13" t="s">
        <v>20</v>
      </c>
      <c r="J294" s="14" t="s">
        <v>47</v>
      </c>
      <c r="K294" s="14">
        <v>3.0</v>
      </c>
      <c r="L294" s="14" t="str">
        <f t="array" ref="L294">INDEX('School Rep'!$A$2:$A$21, MATCH(J294, 'School Rep'!$B$2:$B$21, 0))</f>
        <v>Norma Rios-Sierra</v>
      </c>
      <c r="M294" s="12">
        <v>2.5</v>
      </c>
      <c r="N294" s="16" t="s">
        <v>976</v>
      </c>
      <c r="O294" s="8" t="str">
        <f t="shared" si="1"/>
        <v>4540 W Belmont Ave </v>
      </c>
      <c r="P294" s="12">
        <v>30.0</v>
      </c>
      <c r="Q294" s="13" t="s">
        <v>346</v>
      </c>
    </row>
    <row r="295">
      <c r="A295" s="7">
        <v>610121.0</v>
      </c>
      <c r="B295" s="8" t="s">
        <v>977</v>
      </c>
      <c r="C295" s="18" t="s">
        <v>978</v>
      </c>
      <c r="D295" s="19">
        <v>0.068</v>
      </c>
      <c r="E295" s="18" t="s">
        <v>80</v>
      </c>
      <c r="F295" s="18" t="s">
        <v>301</v>
      </c>
      <c r="G295" s="8" t="str">
        <f>VLOOKUP(F295, 'Network Chiefs'!A:B, 2, FALSE)
</f>
        <v>Dr. Ethan Netterstrom</v>
      </c>
      <c r="H295" s="12">
        <v>36.0</v>
      </c>
      <c r="I295" s="13" t="s">
        <v>41</v>
      </c>
      <c r="J295" s="14" t="s">
        <v>217</v>
      </c>
      <c r="K295" s="14">
        <v>5.0</v>
      </c>
      <c r="L295" s="14" t="str">
        <f t="array" ref="L295">INDEX('School Rep'!$A$2:$A$21, MATCH(J295, 'School Rep'!$B$2:$B$21, 0))</f>
        <v>Michilla Blaise</v>
      </c>
      <c r="M295" s="15">
        <v>2.9</v>
      </c>
      <c r="N295" s="16" t="s">
        <v>979</v>
      </c>
      <c r="O295" s="8" t="str">
        <f t="shared" si="1"/>
        <v>749 S Oakley Blvd </v>
      </c>
      <c r="P295" s="12">
        <v>28.0</v>
      </c>
      <c r="Q295" s="13" t="s">
        <v>399</v>
      </c>
    </row>
    <row r="296">
      <c r="A296" s="7">
        <v>610369.0</v>
      </c>
      <c r="B296" s="8" t="s">
        <v>980</v>
      </c>
      <c r="C296" s="18" t="s">
        <v>981</v>
      </c>
      <c r="D296" s="19">
        <v>0.135</v>
      </c>
      <c r="E296" s="18" t="s">
        <v>80</v>
      </c>
      <c r="F296" s="18" t="s">
        <v>186</v>
      </c>
      <c r="G296" s="8" t="str">
        <f>VLOOKUP(F296, 'Network Chiefs'!A:B, 2, FALSE)
</f>
        <v>Latasha Geverola</v>
      </c>
      <c r="H296" s="12">
        <v>42.0</v>
      </c>
      <c r="I296" s="13" t="s">
        <v>20</v>
      </c>
      <c r="J296" s="14" t="s">
        <v>187</v>
      </c>
      <c r="K296" s="14">
        <v>9.0</v>
      </c>
      <c r="L296" s="14" t="str">
        <f t="array" ref="L296">INDEX('School Rep'!$A$2:$A$21, MATCH(J296, 'School Rep'!$B$2:$B$21, 0))</f>
        <v>Frank Niles Thomas</v>
      </c>
      <c r="M296" s="15">
        <v>3.7</v>
      </c>
      <c r="N296" s="16" t="s">
        <v>982</v>
      </c>
      <c r="O296" s="8" t="str">
        <f t="shared" si="1"/>
        <v>917 W 88th St </v>
      </c>
      <c r="P296" s="12">
        <v>21.0</v>
      </c>
      <c r="Q296" s="13" t="s">
        <v>428</v>
      </c>
    </row>
    <row r="297">
      <c r="A297" s="7">
        <v>610010.0</v>
      </c>
      <c r="B297" s="12" t="s">
        <v>983</v>
      </c>
      <c r="C297" s="17" t="s">
        <v>984</v>
      </c>
      <c r="D297" s="10">
        <v>0.081</v>
      </c>
      <c r="E297" s="11" t="s">
        <v>80</v>
      </c>
      <c r="F297" s="11" t="s">
        <v>102</v>
      </c>
      <c r="G297" s="8" t="str">
        <f>VLOOKUP(F297, 'Network Chiefs'!A:B, 2, FALSE)
</f>
        <v>Jerry Travlos</v>
      </c>
      <c r="H297" s="12">
        <v>22.0</v>
      </c>
      <c r="I297" s="13" t="s">
        <v>41</v>
      </c>
      <c r="J297" s="14" t="s">
        <v>103</v>
      </c>
      <c r="K297" s="14">
        <v>4.0</v>
      </c>
      <c r="L297" s="14" t="str">
        <f t="array" ref="L297">INDEX('School Rep'!$A$2:$A$21, MATCH(J297, 'School Rep'!$B$2:$B$21, 0))</f>
        <v>Ellen Rosenfeld</v>
      </c>
      <c r="M297" s="12">
        <v>2.2</v>
      </c>
      <c r="N297" s="16" t="s">
        <v>985</v>
      </c>
      <c r="O297" s="8" t="str">
        <f t="shared" si="1"/>
        <v>3149 N Wolcott Ave </v>
      </c>
      <c r="P297" s="12">
        <v>32.0</v>
      </c>
      <c r="Q297" s="13" t="s">
        <v>110</v>
      </c>
    </row>
    <row r="298">
      <c r="A298" s="7">
        <v>610011.0</v>
      </c>
      <c r="B298" s="13" t="s">
        <v>986</v>
      </c>
      <c r="C298" s="18" t="s">
        <v>987</v>
      </c>
      <c r="D298" s="19">
        <v>0.101</v>
      </c>
      <c r="E298" s="18" t="s">
        <v>80</v>
      </c>
      <c r="F298" s="18" t="s">
        <v>270</v>
      </c>
      <c r="G298" s="8" t="str">
        <f>VLOOKUP(F298, 'Network Chiefs'!A:B, 2, FALSE)
</f>
        <v>Marilou Rebolledo</v>
      </c>
      <c r="H298" s="12">
        <v>58.0</v>
      </c>
      <c r="I298" s="13" t="s">
        <v>20</v>
      </c>
      <c r="J298" s="14" t="s">
        <v>36</v>
      </c>
      <c r="K298" s="14">
        <v>2.0</v>
      </c>
      <c r="L298" s="14" t="str">
        <f t="array" ref="L298">INDEX('School Rep'!$A$2:$A$21, MATCH(J298, 'School Rep'!$B$2:$B$21, 0))</f>
        <v>Ebony DeBerry</v>
      </c>
      <c r="M298" s="12">
        <v>2.5</v>
      </c>
      <c r="N298" s="16" t="s">
        <v>988</v>
      </c>
      <c r="O298" s="8" t="str">
        <f t="shared" si="1"/>
        <v>5650 N Mozart St </v>
      </c>
      <c r="P298" s="12">
        <v>50.0</v>
      </c>
      <c r="Q298" s="13" t="s">
        <v>131</v>
      </c>
    </row>
    <row r="299">
      <c r="A299" s="7">
        <v>609783.0</v>
      </c>
      <c r="B299" s="8" t="s">
        <v>989</v>
      </c>
      <c r="C299" s="18" t="s">
        <v>990</v>
      </c>
      <c r="D299" s="19">
        <v>0.0</v>
      </c>
      <c r="E299" s="18" t="s">
        <v>80</v>
      </c>
      <c r="F299" s="18" t="s">
        <v>426</v>
      </c>
      <c r="G299" s="8" t="str">
        <f>VLOOKUP(F299, 'Network Chiefs'!A:B, 2, FALSE)
</f>
        <v>Richard Smith</v>
      </c>
      <c r="H299" s="12">
        <v>62.0</v>
      </c>
      <c r="I299" s="13" t="s">
        <v>52</v>
      </c>
      <c r="J299" s="15" t="s">
        <v>384</v>
      </c>
      <c r="K299" s="15" t="s">
        <v>384</v>
      </c>
      <c r="L299" s="15" t="s">
        <v>384</v>
      </c>
      <c r="M299" s="15" t="s">
        <v>384</v>
      </c>
      <c r="N299" s="16" t="s">
        <v>991</v>
      </c>
      <c r="O299" s="8" t="str">
        <f t="shared" si="1"/>
        <v>1100 S Hamilton Ave </v>
      </c>
      <c r="P299" s="12">
        <v>27.0</v>
      </c>
      <c r="Q299" s="13" t="s">
        <v>219</v>
      </c>
    </row>
    <row r="300">
      <c r="A300" s="7">
        <v>610271.0</v>
      </c>
      <c r="B300" s="8" t="s">
        <v>992</v>
      </c>
      <c r="C300" s="18" t="s">
        <v>993</v>
      </c>
      <c r="D300" s="19">
        <v>0.242</v>
      </c>
      <c r="E300" s="18" t="s">
        <v>80</v>
      </c>
      <c r="F300" s="18" t="s">
        <v>216</v>
      </c>
      <c r="G300" s="8" t="str">
        <f>VLOOKUP(F300, 'Network Chiefs'!A:B, 2, FALSE)
</f>
        <v>Shontae Higginbottom</v>
      </c>
      <c r="H300" s="12">
        <v>56.0</v>
      </c>
      <c r="I300" s="13" t="s">
        <v>20</v>
      </c>
      <c r="J300" s="14" t="s">
        <v>217</v>
      </c>
      <c r="K300" s="14">
        <v>5.0</v>
      </c>
      <c r="L300" s="14" t="str">
        <f t="array" ref="L300">INDEX('School Rep'!$A$2:$A$21, MATCH(J300, 'School Rep'!$B$2:$B$21, 0))</f>
        <v>Michilla Blaise</v>
      </c>
      <c r="M300" s="15">
        <v>2.9</v>
      </c>
      <c r="N300" s="16" t="s">
        <v>994</v>
      </c>
      <c r="O300" s="8" t="str">
        <f t="shared" si="1"/>
        <v>3030 W Harrison St </v>
      </c>
      <c r="P300" s="12">
        <v>28.0</v>
      </c>
      <c r="Q300" s="13" t="s">
        <v>399</v>
      </c>
    </row>
    <row r="301">
      <c r="A301" s="7">
        <v>610274.0</v>
      </c>
      <c r="B301" s="8" t="s">
        <v>995</v>
      </c>
      <c r="C301" s="18" t="s">
        <v>996</v>
      </c>
      <c r="D301" s="19">
        <v>0.25</v>
      </c>
      <c r="E301" s="18" t="s">
        <v>80</v>
      </c>
      <c r="F301" s="18" t="s">
        <v>216</v>
      </c>
      <c r="G301" s="8" t="str">
        <f>VLOOKUP(F301, 'Network Chiefs'!A:B, 2, FALSE)
</f>
        <v>Shontae Higginbottom</v>
      </c>
      <c r="H301" s="12">
        <v>30.0</v>
      </c>
      <c r="I301" s="13" t="s">
        <v>41</v>
      </c>
      <c r="J301" s="14" t="s">
        <v>217</v>
      </c>
      <c r="K301" s="14">
        <v>5.0</v>
      </c>
      <c r="L301" s="14" t="str">
        <f t="array" ref="L301">INDEX('School Rep'!$A$2:$A$21, MATCH(J301, 'School Rep'!$B$2:$B$21, 0))</f>
        <v>Michilla Blaise</v>
      </c>
      <c r="M301" s="15">
        <v>3.6</v>
      </c>
      <c r="N301" s="16" t="s">
        <v>997</v>
      </c>
      <c r="O301" s="8" t="str">
        <f t="shared" si="1"/>
        <v>1420 S Albany Ave </v>
      </c>
      <c r="P301" s="12">
        <v>24.0</v>
      </c>
      <c r="Q301" s="13" t="s">
        <v>517</v>
      </c>
    </row>
    <row r="302">
      <c r="A302" s="7">
        <v>609678.0</v>
      </c>
      <c r="B302" s="8" t="s">
        <v>998</v>
      </c>
      <c r="C302" s="18" t="s">
        <v>999</v>
      </c>
      <c r="D302" s="19">
        <v>0.014</v>
      </c>
      <c r="E302" s="18" t="s">
        <v>80</v>
      </c>
      <c r="F302" s="18" t="s">
        <v>108</v>
      </c>
      <c r="G302" s="8" t="str">
        <f>VLOOKUP(F302, 'Network Chiefs'!A:B, 2, FALSE)
</f>
        <v>Michael Boraz</v>
      </c>
      <c r="H302" s="12">
        <v>24.0</v>
      </c>
      <c r="I302" s="13" t="s">
        <v>41</v>
      </c>
      <c r="J302" s="14" t="s">
        <v>26</v>
      </c>
      <c r="K302" s="14">
        <v>8.0</v>
      </c>
      <c r="L302" s="14" t="str">
        <f t="array" ref="L302">INDEX('School Rep'!$A$2:$A$21, MATCH(J302, 'School Rep'!$B$2:$B$21, 0))</f>
        <v>Cydney Wallace</v>
      </c>
      <c r="M302" s="15">
        <v>1.4</v>
      </c>
      <c r="N302" s="16" t="s">
        <v>1000</v>
      </c>
      <c r="O302" s="8" t="str">
        <f t="shared" si="1"/>
        <v>700 S State St </v>
      </c>
      <c r="P302" s="12">
        <v>4.0</v>
      </c>
      <c r="Q302" s="13" t="s">
        <v>123</v>
      </c>
    </row>
    <row r="303">
      <c r="A303" s="7">
        <v>609805.0</v>
      </c>
      <c r="B303" s="8" t="s">
        <v>1001</v>
      </c>
      <c r="C303" s="18" t="s">
        <v>1002</v>
      </c>
      <c r="D303" s="19">
        <v>0.214</v>
      </c>
      <c r="E303" s="18" t="s">
        <v>80</v>
      </c>
      <c r="F303" s="18" t="s">
        <v>186</v>
      </c>
      <c r="G303" s="8" t="str">
        <f>VLOOKUP(F303, 'Network Chiefs'!A:B, 2, FALSE)
</f>
        <v>Latasha Geverola</v>
      </c>
      <c r="H303" s="12">
        <v>47.0</v>
      </c>
      <c r="I303" s="13" t="s">
        <v>20</v>
      </c>
      <c r="J303" s="14" t="s">
        <v>187</v>
      </c>
      <c r="K303" s="14">
        <v>9.0</v>
      </c>
      <c r="L303" s="14" t="str">
        <f t="array" ref="L303">INDEX('School Rep'!$A$2:$A$21, MATCH(J303, 'School Rep'!$B$2:$B$21, 0))</f>
        <v>Frank Niles Thomas</v>
      </c>
      <c r="M303" s="15">
        <v>3.9</v>
      </c>
      <c r="N303" s="16" t="s">
        <v>1003</v>
      </c>
      <c r="O303" s="8" t="str">
        <f t="shared" si="1"/>
        <v>7931 S Honore St </v>
      </c>
      <c r="P303" s="12">
        <v>17.0</v>
      </c>
      <c r="Q303" s="13" t="s">
        <v>189</v>
      </c>
    </row>
    <row r="304">
      <c r="A304" s="7">
        <v>609865.0</v>
      </c>
      <c r="B304" s="12" t="s">
        <v>1004</v>
      </c>
      <c r="C304" s="18" t="s">
        <v>1005</v>
      </c>
      <c r="D304" s="19">
        <v>0.129</v>
      </c>
      <c r="E304" s="18" t="s">
        <v>80</v>
      </c>
      <c r="F304" s="18" t="s">
        <v>270</v>
      </c>
      <c r="G304" s="8" t="str">
        <f>VLOOKUP(F304, 'Network Chiefs'!A:B, 2, FALSE)
</f>
        <v>Marilou Rebolledo</v>
      </c>
      <c r="H304" s="12">
        <v>61.0</v>
      </c>
      <c r="I304" s="13" t="s">
        <v>52</v>
      </c>
      <c r="J304" s="14" t="s">
        <v>36</v>
      </c>
      <c r="K304" s="14">
        <v>2.0</v>
      </c>
      <c r="L304" s="14" t="str">
        <f t="array" ref="L304">INDEX('School Rep'!$A$2:$A$21, MATCH(J304, 'School Rep'!$B$2:$B$21, 0))</f>
        <v>Ebony DeBerry</v>
      </c>
      <c r="M304" s="12">
        <v>3.0</v>
      </c>
      <c r="N304" s="16" t="s">
        <v>1006</v>
      </c>
      <c r="O304" s="8" t="str">
        <f t="shared" si="1"/>
        <v>7414 N Wolcott Ave </v>
      </c>
      <c r="P304" s="12">
        <v>49.0</v>
      </c>
      <c r="Q304" s="13" t="s">
        <v>38</v>
      </c>
    </row>
    <row r="305">
      <c r="A305" s="7">
        <v>609764.0</v>
      </c>
      <c r="B305" s="8" t="s">
        <v>1007</v>
      </c>
      <c r="C305" s="18" t="s">
        <v>1008</v>
      </c>
      <c r="D305" s="19">
        <v>0.058</v>
      </c>
      <c r="E305" s="18" t="s">
        <v>80</v>
      </c>
      <c r="F305" s="18" t="s">
        <v>108</v>
      </c>
      <c r="G305" s="8" t="str">
        <f>VLOOKUP(F305, 'Network Chiefs'!A:B, 2, FALSE)
</f>
        <v>Michael Boraz</v>
      </c>
      <c r="H305" s="12">
        <v>52.0</v>
      </c>
      <c r="I305" s="13" t="s">
        <v>20</v>
      </c>
      <c r="J305" s="14" t="s">
        <v>42</v>
      </c>
      <c r="K305" s="14">
        <v>7.0</v>
      </c>
      <c r="L305" s="14" t="str">
        <f t="array" ref="L305">INDEX('School Rep'!$A$2:$A$21, MATCH(J305, 'School Rep'!$B$2:$B$21, 0))</f>
        <v>Emma Lozano</v>
      </c>
      <c r="M305" s="15">
        <v>3.1</v>
      </c>
      <c r="N305" s="16" t="s">
        <v>1009</v>
      </c>
      <c r="O305" s="8" t="str">
        <f t="shared" si="1"/>
        <v>1450 W Cermak Rd </v>
      </c>
      <c r="P305" s="12">
        <v>25.0</v>
      </c>
      <c r="Q305" s="13" t="s">
        <v>44</v>
      </c>
    </row>
    <row r="306">
      <c r="A306" s="7">
        <v>609762.0</v>
      </c>
      <c r="B306" s="8" t="s">
        <v>1010</v>
      </c>
      <c r="C306" s="9" t="s">
        <v>1011</v>
      </c>
      <c r="D306" s="10">
        <v>0.138</v>
      </c>
      <c r="E306" s="11" t="s">
        <v>80</v>
      </c>
      <c r="F306" s="11" t="s">
        <v>92</v>
      </c>
      <c r="G306" s="8" t="str">
        <f>VLOOKUP(F306, 'Network Chiefs'!A:B, 2, FALSE)
</f>
        <v>Devon LaRosa</v>
      </c>
      <c r="H306" s="12">
        <v>63.0</v>
      </c>
      <c r="I306" s="13" t="s">
        <v>52</v>
      </c>
      <c r="J306" s="14" t="s">
        <v>178</v>
      </c>
      <c r="K306" s="14">
        <v>9.0</v>
      </c>
      <c r="L306" s="14" t="str">
        <f t="array" ref="L306">INDEX('School Rep'!$A$2:$A$21, MATCH(J306, 'School Rep'!$B$2:$B$21, 0))</f>
        <v>Therese Boyle</v>
      </c>
      <c r="M306" s="15">
        <v>3.3</v>
      </c>
      <c r="N306" s="16" t="s">
        <v>1012</v>
      </c>
      <c r="O306" s="8" t="str">
        <f t="shared" si="1"/>
        <v>10330 S Elizabeth St </v>
      </c>
      <c r="P306" s="12">
        <v>21.0</v>
      </c>
      <c r="Q306" s="13" t="s">
        <v>428</v>
      </c>
    </row>
    <row r="307">
      <c r="A307" s="7">
        <v>610015.0</v>
      </c>
      <c r="B307" s="8" t="s">
        <v>1013</v>
      </c>
      <c r="C307" s="18" t="s">
        <v>1014</v>
      </c>
      <c r="D307" s="19">
        <v>0.108</v>
      </c>
      <c r="E307" s="18" t="s">
        <v>80</v>
      </c>
      <c r="F307" s="18" t="s">
        <v>126</v>
      </c>
      <c r="G307" s="8" t="str">
        <f>VLOOKUP(F307, 'Network Chiefs'!A:B, 2, FALSE)
</f>
        <v>#N/A</v>
      </c>
      <c r="H307" s="12">
        <v>51.0</v>
      </c>
      <c r="I307" s="13" t="s">
        <v>20</v>
      </c>
      <c r="J307" s="14" t="s">
        <v>42</v>
      </c>
      <c r="K307" s="14">
        <v>7.0</v>
      </c>
      <c r="L307" s="14" t="str">
        <f t="array" ref="L307">INDEX('School Rep'!$A$2:$A$21, MATCH(J307, 'School Rep'!$B$2:$B$21, 0))</f>
        <v>Emma Lozano</v>
      </c>
      <c r="M307" s="15">
        <v>3.1</v>
      </c>
      <c r="N307" s="16" t="s">
        <v>1015</v>
      </c>
      <c r="O307" s="8" t="str">
        <f t="shared" si="1"/>
        <v>1746 S Miller St </v>
      </c>
      <c r="P307" s="12">
        <v>25.0</v>
      </c>
      <c r="Q307" s="13" t="s">
        <v>44</v>
      </c>
    </row>
    <row r="308">
      <c r="A308" s="7">
        <v>609920.0</v>
      </c>
      <c r="B308" s="8" t="s">
        <v>1016</v>
      </c>
      <c r="C308" s="18" t="s">
        <v>1017</v>
      </c>
      <c r="D308" s="19">
        <v>0.087</v>
      </c>
      <c r="E308" s="18" t="s">
        <v>80</v>
      </c>
      <c r="F308" s="18" t="s">
        <v>529</v>
      </c>
      <c r="G308" s="8" t="str">
        <f>VLOOKUP(F308, 'Network Chiefs'!A:B, 2, FALSE)
</f>
        <v>Dr. Antonio Acevedo</v>
      </c>
      <c r="H308" s="12">
        <v>64.0</v>
      </c>
      <c r="I308" s="13" t="s">
        <v>52</v>
      </c>
      <c r="J308" s="14" t="s">
        <v>42</v>
      </c>
      <c r="K308" s="14">
        <v>7.0</v>
      </c>
      <c r="L308" s="14" t="str">
        <f t="array" ref="L308">INDEX('School Rep'!$A$2:$A$21, MATCH(J308, 'School Rep'!$B$2:$B$21, 0))</f>
        <v>Emma Lozano</v>
      </c>
      <c r="M308" s="15">
        <v>3.3</v>
      </c>
      <c r="N308" s="16" t="s">
        <v>1018</v>
      </c>
      <c r="O308" s="8" t="str">
        <f t="shared" si="1"/>
        <v>2233 S Kedzie Ave </v>
      </c>
      <c r="P308" s="12">
        <v>24.0</v>
      </c>
      <c r="Q308" s="13" t="s">
        <v>517</v>
      </c>
    </row>
    <row r="309">
      <c r="A309" s="7">
        <v>610084.0</v>
      </c>
      <c r="B309" s="8" t="s">
        <v>1019</v>
      </c>
      <c r="C309" s="18" t="s">
        <v>1020</v>
      </c>
      <c r="D309" s="19">
        <v>0.0</v>
      </c>
      <c r="E309" s="18" t="s">
        <v>80</v>
      </c>
      <c r="F309" s="18" t="s">
        <v>138</v>
      </c>
      <c r="G309" s="8" t="str">
        <f>VLOOKUP(F309, 'Network Chiefs'!A:B, 2, FALSE)
</f>
        <v>Mira Weber</v>
      </c>
      <c r="H309" s="12">
        <v>93.0</v>
      </c>
      <c r="I309" s="13" t="s">
        <v>248</v>
      </c>
      <c r="J309" s="14" t="s">
        <v>178</v>
      </c>
      <c r="K309" s="14">
        <v>9.0</v>
      </c>
      <c r="L309" s="14" t="str">
        <f t="array" ref="L309">INDEX('School Rep'!$A$2:$A$21, MATCH(J309, 'School Rep'!$B$2:$B$21, 0))</f>
        <v>Therese Boyle</v>
      </c>
      <c r="M309" s="15">
        <v>1.5</v>
      </c>
      <c r="N309" s="16" t="s">
        <v>1021</v>
      </c>
      <c r="O309" s="8" t="str">
        <f t="shared" si="1"/>
        <v>3020 W 108th St </v>
      </c>
      <c r="P309" s="12">
        <v>19.0</v>
      </c>
      <c r="Q309" s="13" t="s">
        <v>180</v>
      </c>
    </row>
    <row r="310">
      <c r="A310" s="7">
        <v>609925.0</v>
      </c>
      <c r="B310" s="12" t="s">
        <v>1022</v>
      </c>
      <c r="C310" s="18" t="s">
        <v>1023</v>
      </c>
      <c r="D310" s="19">
        <v>0.0</v>
      </c>
      <c r="E310" s="18" t="s">
        <v>80</v>
      </c>
      <c r="F310" s="18" t="s">
        <v>216</v>
      </c>
      <c r="G310" s="8" t="str">
        <f>VLOOKUP(F310, 'Network Chiefs'!A:B, 2, FALSE)
</f>
        <v>Shontae Higginbottom</v>
      </c>
      <c r="H310" s="12">
        <v>49.0</v>
      </c>
      <c r="I310" s="13" t="s">
        <v>20</v>
      </c>
      <c r="J310" s="14" t="s">
        <v>217</v>
      </c>
      <c r="K310" s="14">
        <v>5.0</v>
      </c>
      <c r="L310" s="14" t="str">
        <f t="array" ref="L310">INDEX('School Rep'!$A$2:$A$21, MATCH(J310, 'School Rep'!$B$2:$B$21, 0))</f>
        <v>Michilla Blaise</v>
      </c>
      <c r="M310" s="12">
        <v>3.3</v>
      </c>
      <c r="N310" s="16" t="s">
        <v>1024</v>
      </c>
      <c r="O310" s="8" t="str">
        <f t="shared" si="1"/>
        <v>3030 W Arthington St </v>
      </c>
      <c r="P310" s="12">
        <v>28.0</v>
      </c>
      <c r="Q310" s="13" t="s">
        <v>399</v>
      </c>
    </row>
    <row r="311">
      <c r="A311" s="7">
        <v>610016.0</v>
      </c>
      <c r="B311" s="8" t="s">
        <v>1025</v>
      </c>
      <c r="C311" s="18" t="s">
        <v>1026</v>
      </c>
      <c r="D311" s="19">
        <v>0.0</v>
      </c>
      <c r="E311" s="18" t="s">
        <v>80</v>
      </c>
      <c r="F311" s="18" t="s">
        <v>138</v>
      </c>
      <c r="G311" s="8" t="str">
        <f>VLOOKUP(F311, 'Network Chiefs'!A:B, 2, FALSE)
</f>
        <v>Mira Weber</v>
      </c>
      <c r="H311" s="12">
        <v>57.0</v>
      </c>
      <c r="I311" s="13" t="s">
        <v>20</v>
      </c>
      <c r="J311" s="14" t="s">
        <v>178</v>
      </c>
      <c r="K311" s="14">
        <v>9.0</v>
      </c>
      <c r="L311" s="14" t="str">
        <f t="array" ref="L311">INDEX('School Rep'!$A$2:$A$21, MATCH(J311, 'School Rep'!$B$2:$B$21, 0))</f>
        <v>Therese Boyle</v>
      </c>
      <c r="M311" s="15">
        <v>2.2</v>
      </c>
      <c r="N311" s="16" t="s">
        <v>1027</v>
      </c>
      <c r="O311" s="8" t="str">
        <f t="shared" si="1"/>
        <v>9241 S Leavitt St </v>
      </c>
      <c r="P311" s="12">
        <v>19.0</v>
      </c>
      <c r="Q311" s="13" t="s">
        <v>180</v>
      </c>
    </row>
    <row r="312">
      <c r="A312" s="7">
        <v>609715.0</v>
      </c>
      <c r="B312" s="8" t="s">
        <v>1028</v>
      </c>
      <c r="C312" s="18" t="s">
        <v>1029</v>
      </c>
      <c r="D312" s="19">
        <v>0.121</v>
      </c>
      <c r="E312" s="18" t="s">
        <v>80</v>
      </c>
      <c r="F312" s="18" t="s">
        <v>92</v>
      </c>
      <c r="G312" s="8" t="str">
        <f>VLOOKUP(F312, 'Network Chiefs'!A:B, 2, FALSE)
</f>
        <v>Devon LaRosa</v>
      </c>
      <c r="H312" s="12">
        <v>43.0</v>
      </c>
      <c r="I312" s="13" t="s">
        <v>20</v>
      </c>
      <c r="J312" s="14" t="s">
        <v>21</v>
      </c>
      <c r="K312" s="14">
        <v>7.0</v>
      </c>
      <c r="L312" s="14" t="str">
        <f t="array" ref="L312">INDEX('School Rep'!$A$2:$A$21, MATCH(J312, 'School Rep'!$B$2:$B$21, 0))</f>
        <v>Yesenia Lopez</v>
      </c>
      <c r="M312" s="15">
        <v>3.2</v>
      </c>
      <c r="N312" s="16" t="s">
        <v>1030</v>
      </c>
      <c r="O312" s="8" t="str">
        <f t="shared" si="1"/>
        <v>4136 S California Ave </v>
      </c>
      <c r="P312" s="12">
        <v>12.0</v>
      </c>
      <c r="Q312" s="13" t="s">
        <v>23</v>
      </c>
    </row>
    <row r="313">
      <c r="A313" s="7">
        <v>609716.0</v>
      </c>
      <c r="B313" s="13" t="s">
        <v>1031</v>
      </c>
      <c r="C313" s="17" t="s">
        <v>1032</v>
      </c>
      <c r="D313" s="10">
        <v>0.238</v>
      </c>
      <c r="E313" s="11" t="s">
        <v>80</v>
      </c>
      <c r="F313" s="11" t="s">
        <v>116</v>
      </c>
      <c r="G313" s="8" t="str">
        <f>VLOOKUP(F313, 'Network Chiefs'!A:B, 2, FALSE)
</f>
        <v>Dr. Laura LeMone</v>
      </c>
      <c r="H313" s="12">
        <v>39.0</v>
      </c>
      <c r="I313" s="13" t="s">
        <v>41</v>
      </c>
      <c r="J313" s="14" t="s">
        <v>47</v>
      </c>
      <c r="K313" s="14">
        <v>3.0</v>
      </c>
      <c r="L313" s="14" t="str">
        <f t="array" ref="L313">INDEX('School Rep'!$A$2:$A$21, MATCH(J313, 'School Rep'!$B$2:$B$21, 0))</f>
        <v>Norma Rios-Sierra</v>
      </c>
      <c r="M313" s="12">
        <v>2.9</v>
      </c>
      <c r="N313" s="16" t="s">
        <v>1033</v>
      </c>
      <c r="O313" s="8" t="str">
        <f t="shared" si="1"/>
        <v>4343 W Wrightwood Ave </v>
      </c>
      <c r="P313" s="12">
        <v>31.0</v>
      </c>
      <c r="Q313" s="13" t="s">
        <v>152</v>
      </c>
    </row>
    <row r="314">
      <c r="A314" s="7">
        <v>609718.0</v>
      </c>
      <c r="B314" s="8" t="s">
        <v>1034</v>
      </c>
      <c r="C314" s="9" t="s">
        <v>1035</v>
      </c>
      <c r="D314" s="10">
        <v>0.108</v>
      </c>
      <c r="E314" s="11" t="s">
        <v>80</v>
      </c>
      <c r="F314" s="11" t="s">
        <v>92</v>
      </c>
      <c r="G314" s="8" t="str">
        <f>VLOOKUP(F314, 'Network Chiefs'!A:B, 2, FALSE)
</f>
        <v>Devon LaRosa</v>
      </c>
      <c r="H314" s="12">
        <v>38.0</v>
      </c>
      <c r="I314" s="13" t="s">
        <v>41</v>
      </c>
      <c r="J314" s="14" t="s">
        <v>139</v>
      </c>
      <c r="K314" s="14">
        <v>8.0</v>
      </c>
      <c r="L314" s="14" t="str">
        <f t="array" ref="L314">INDEX('School Rep'!$A$2:$A$21, MATCH(J314, 'School Rep'!$B$2:$B$21, 0))</f>
        <v>Angel Gutierrez</v>
      </c>
      <c r="M314" s="15">
        <v>2.1</v>
      </c>
      <c r="N314" s="16" t="s">
        <v>1036</v>
      </c>
      <c r="O314" s="8" t="str">
        <f t="shared" si="1"/>
        <v>6325 W 56th St </v>
      </c>
      <c r="P314" s="12">
        <v>13.0</v>
      </c>
      <c r="Q314" s="13" t="s">
        <v>250</v>
      </c>
    </row>
    <row r="315">
      <c r="A315" s="7">
        <v>609746.0</v>
      </c>
      <c r="B315" s="13" t="s">
        <v>1037</v>
      </c>
      <c r="C315" s="17" t="s">
        <v>1038</v>
      </c>
      <c r="D315" s="10">
        <v>0.056</v>
      </c>
      <c r="E315" s="11" t="s">
        <v>80</v>
      </c>
      <c r="F315" s="11" t="s">
        <v>263</v>
      </c>
      <c r="G315" s="8" t="str">
        <f>VLOOKUP(F315, 'Network Chiefs'!A:B, 2, FALSE)
</f>
        <v>Myron Hester</v>
      </c>
      <c r="H315" s="12">
        <v>56.0</v>
      </c>
      <c r="I315" s="13" t="s">
        <v>20</v>
      </c>
      <c r="J315" s="14" t="s">
        <v>121</v>
      </c>
      <c r="K315" s="14">
        <v>10.0</v>
      </c>
      <c r="L315" s="14" t="str">
        <f t="array" ref="L315">INDEX('School Rep'!$A$2:$A$21, MATCH(J315, 'School Rep'!$B$2:$B$21, 0))</f>
        <v>Che "Rhymefest" Smith</v>
      </c>
      <c r="M315" s="12">
        <v>2.3</v>
      </c>
      <c r="N315" s="16" t="s">
        <v>1039</v>
      </c>
      <c r="O315" s="8" t="str">
        <f t="shared" si="1"/>
        <v>5015 S Blackstone Ave </v>
      </c>
      <c r="P315" s="12">
        <v>4.0</v>
      </c>
      <c r="Q315" s="13" t="s">
        <v>123</v>
      </c>
    </row>
    <row r="316">
      <c r="A316" s="7">
        <v>610019.0</v>
      </c>
      <c r="B316" s="8" t="s">
        <v>1040</v>
      </c>
      <c r="C316" s="9" t="s">
        <v>1041</v>
      </c>
      <c r="D316" s="10">
        <v>0.055</v>
      </c>
      <c r="E316" s="11" t="s">
        <v>80</v>
      </c>
      <c r="F316" s="11" t="s">
        <v>186</v>
      </c>
      <c r="G316" s="8" t="str">
        <f>VLOOKUP(F316, 'Network Chiefs'!A:B, 2, FALSE)
</f>
        <v>Latasha Geverola</v>
      </c>
      <c r="H316" s="12">
        <v>66.0</v>
      </c>
      <c r="I316" s="13" t="s">
        <v>52</v>
      </c>
      <c r="J316" s="14" t="s">
        <v>187</v>
      </c>
      <c r="K316" s="14">
        <v>9.0</v>
      </c>
      <c r="L316" s="14" t="str">
        <f t="array" ref="L316">INDEX('School Rep'!$A$2:$A$21, MATCH(J316, 'School Rep'!$B$2:$B$21, 0))</f>
        <v>Frank Niles Thomas</v>
      </c>
      <c r="M316" s="15">
        <v>3.7</v>
      </c>
      <c r="N316" s="16" t="s">
        <v>1042</v>
      </c>
      <c r="O316" s="8" t="str">
        <f t="shared" si="1"/>
        <v>6450 S Lowe Ave </v>
      </c>
      <c r="P316" s="12">
        <v>16.0</v>
      </c>
      <c r="Q316" s="13" t="s">
        <v>193</v>
      </c>
    </row>
    <row r="317">
      <c r="A317" s="7">
        <v>610022.0</v>
      </c>
      <c r="B317" s="13" t="s">
        <v>1043</v>
      </c>
      <c r="C317" s="18" t="s">
        <v>1044</v>
      </c>
      <c r="D317" s="19">
        <v>0.095</v>
      </c>
      <c r="E317" s="18" t="s">
        <v>80</v>
      </c>
      <c r="F317" s="18" t="s">
        <v>270</v>
      </c>
      <c r="G317" s="8" t="str">
        <f>VLOOKUP(F317, 'Network Chiefs'!A:B, 2, FALSE)
</f>
        <v>Marilou Rebolledo</v>
      </c>
      <c r="H317" s="12">
        <v>31.0</v>
      </c>
      <c r="I317" s="13" t="s">
        <v>41</v>
      </c>
      <c r="J317" s="14" t="s">
        <v>36</v>
      </c>
      <c r="K317" s="14">
        <v>2.0</v>
      </c>
      <c r="L317" s="14" t="str">
        <f t="array" ref="L317">INDEX('School Rep'!$A$2:$A$21, MATCH(J317, 'School Rep'!$B$2:$B$21, 0))</f>
        <v>Ebony DeBerry</v>
      </c>
      <c r="M317" s="12">
        <v>3.3</v>
      </c>
      <c r="N317" s="16" t="s">
        <v>1045</v>
      </c>
      <c r="O317" s="8" t="str">
        <f t="shared" si="1"/>
        <v>6700 N Greenview Ave </v>
      </c>
      <c r="P317" s="12">
        <v>49.0</v>
      </c>
      <c r="Q317" s="13" t="s">
        <v>38</v>
      </c>
    </row>
    <row r="318">
      <c r="A318" s="7">
        <v>610299.0</v>
      </c>
      <c r="B318" s="8" t="s">
        <v>1046</v>
      </c>
      <c r="C318" s="18" t="s">
        <v>1047</v>
      </c>
      <c r="D318" s="19">
        <v>0.331</v>
      </c>
      <c r="E318" s="18" t="s">
        <v>80</v>
      </c>
      <c r="F318" s="18" t="s">
        <v>186</v>
      </c>
      <c r="G318" s="8" t="str">
        <f>VLOOKUP(F318, 'Network Chiefs'!A:B, 2, FALSE)
</f>
        <v>Latasha Geverola</v>
      </c>
      <c r="H318" s="12">
        <v>18.0</v>
      </c>
      <c r="I318" s="13" t="s">
        <v>30</v>
      </c>
      <c r="J318" s="14" t="s">
        <v>187</v>
      </c>
      <c r="K318" s="14">
        <v>9.0</v>
      </c>
      <c r="L318" s="14" t="str">
        <f t="array" ref="L318">INDEX('School Rep'!$A$2:$A$21, MATCH(J318, 'School Rep'!$B$2:$B$21, 0))</f>
        <v>Frank Niles Thomas</v>
      </c>
      <c r="M318" s="15">
        <v>3.9</v>
      </c>
      <c r="N318" s="16" t="s">
        <v>1048</v>
      </c>
      <c r="O318" s="8" t="str">
        <f t="shared" si="1"/>
        <v>644 W 71st St </v>
      </c>
      <c r="P318" s="12">
        <v>6.0</v>
      </c>
      <c r="Q318" s="13" t="s">
        <v>306</v>
      </c>
    </row>
    <row r="319">
      <c r="A319" s="7">
        <v>609751.0</v>
      </c>
      <c r="B319" s="13" t="s">
        <v>1049</v>
      </c>
      <c r="C319" s="18" t="s">
        <v>1050</v>
      </c>
      <c r="D319" s="19">
        <v>0.035</v>
      </c>
      <c r="E319" s="18" t="s">
        <v>80</v>
      </c>
      <c r="F319" s="18" t="s">
        <v>263</v>
      </c>
      <c r="G319" s="8" t="str">
        <f>VLOOKUP(F319, 'Network Chiefs'!A:B, 2, FALSE)
</f>
        <v>Myron Hester</v>
      </c>
      <c r="H319" s="12">
        <v>31.0</v>
      </c>
      <c r="I319" s="13" t="s">
        <v>41</v>
      </c>
      <c r="J319" s="14" t="s">
        <v>121</v>
      </c>
      <c r="K319" s="14">
        <v>10.0</v>
      </c>
      <c r="L319" s="14" t="str">
        <f t="array" ref="L319">INDEX('School Rep'!$A$2:$A$21, MATCH(J319, 'School Rep'!$B$2:$B$21, 0))</f>
        <v>Che "Rhymefest" Smith</v>
      </c>
      <c r="M319" s="12">
        <v>3.1</v>
      </c>
      <c r="N319" s="16" t="s">
        <v>1051</v>
      </c>
      <c r="O319" s="8" t="str">
        <f t="shared" si="1"/>
        <v>4445 S Drexel Blvd </v>
      </c>
      <c r="P319" s="12">
        <v>4.0</v>
      </c>
      <c r="Q319" s="13" t="s">
        <v>123</v>
      </c>
    </row>
    <row r="320">
      <c r="A320" s="7">
        <v>610026.0</v>
      </c>
      <c r="B320" s="8" t="s">
        <v>1052</v>
      </c>
      <c r="C320" s="9" t="s">
        <v>1053</v>
      </c>
      <c r="D320" s="10">
        <v>0.033</v>
      </c>
      <c r="E320" s="11" t="s">
        <v>80</v>
      </c>
      <c r="F320" s="11" t="s">
        <v>126</v>
      </c>
      <c r="G320" s="8" t="str">
        <f>VLOOKUP(F320, 'Network Chiefs'!A:B, 2, FALSE)
</f>
        <v>#N/A</v>
      </c>
      <c r="H320" s="12">
        <v>64.0</v>
      </c>
      <c r="I320" s="13" t="s">
        <v>52</v>
      </c>
      <c r="J320" s="14" t="s">
        <v>139</v>
      </c>
      <c r="K320" s="14">
        <v>8.0</v>
      </c>
      <c r="L320" s="14" t="str">
        <f t="array" ref="L320">INDEX('School Rep'!$A$2:$A$21, MATCH(J320, 'School Rep'!$B$2:$B$21, 0))</f>
        <v>Angel Gutierrez</v>
      </c>
      <c r="M320" s="15">
        <v>2.2</v>
      </c>
      <c r="N320" s="16" t="s">
        <v>1054</v>
      </c>
      <c r="O320" s="8" t="str">
        <f t="shared" si="1"/>
        <v>5625 S Mobile Ave </v>
      </c>
      <c r="P320" s="12">
        <v>13.0</v>
      </c>
      <c r="Q320" s="13" t="s">
        <v>250</v>
      </c>
    </row>
    <row r="321">
      <c r="A321" s="7">
        <v>610027.0</v>
      </c>
      <c r="B321" s="8" t="s">
        <v>1055</v>
      </c>
      <c r="C321" s="18" t="s">
        <v>1056</v>
      </c>
      <c r="D321" s="19">
        <v>0.123</v>
      </c>
      <c r="E321" s="18" t="s">
        <v>80</v>
      </c>
      <c r="F321" s="18" t="s">
        <v>186</v>
      </c>
      <c r="G321" s="8" t="str">
        <f>VLOOKUP(F321, 'Network Chiefs'!A:B, 2, FALSE)
</f>
        <v>Latasha Geverola</v>
      </c>
      <c r="H321" s="12">
        <v>64.0</v>
      </c>
      <c r="I321" s="13" t="s">
        <v>52</v>
      </c>
      <c r="J321" s="14" t="s">
        <v>178</v>
      </c>
      <c r="K321" s="14">
        <v>9.0</v>
      </c>
      <c r="L321" s="14" t="str">
        <f t="array" ref="L321">INDEX('School Rep'!$A$2:$A$21, MATCH(J321, 'School Rep'!$B$2:$B$21, 0))</f>
        <v>Therese Boyle</v>
      </c>
      <c r="M321" s="15">
        <v>3.1</v>
      </c>
      <c r="N321" s="16" t="s">
        <v>1057</v>
      </c>
      <c r="O321" s="8" t="str">
        <f t="shared" si="1"/>
        <v>9351 S Lowe Ave </v>
      </c>
      <c r="P321" s="12">
        <v>9.0</v>
      </c>
      <c r="Q321" s="13" t="s">
        <v>237</v>
      </c>
    </row>
    <row r="322">
      <c r="A322" s="7">
        <v>400146.0</v>
      </c>
      <c r="B322" s="12" t="s">
        <v>1058</v>
      </c>
      <c r="C322" s="11" t="s">
        <v>1059</v>
      </c>
      <c r="D322" s="10">
        <v>0.195</v>
      </c>
      <c r="E322" s="11" t="s">
        <v>19</v>
      </c>
      <c r="F322" s="11" t="s">
        <v>19</v>
      </c>
      <c r="G322" s="8" t="str">
        <f>VLOOKUP(F322, 'Network Chiefs'!A:B, 2, FALSE)
</f>
        <v>#N/A</v>
      </c>
      <c r="H322" s="12">
        <v>48.0</v>
      </c>
      <c r="I322" s="13" t="s">
        <v>20</v>
      </c>
      <c r="J322" s="14" t="s">
        <v>31</v>
      </c>
      <c r="K322" s="14">
        <v>5.0</v>
      </c>
      <c r="L322" s="14" t="str">
        <f t="array" ref="L322">INDEX('School Rep'!$A$2:$A$21, MATCH(J322, 'School Rep'!$B$2:$B$21, 0))</f>
        <v>Aaron "Jitu" Brown</v>
      </c>
      <c r="M322" s="12">
        <v>3.7</v>
      </c>
      <c r="N322" s="16" t="s">
        <v>1060</v>
      </c>
      <c r="O322" s="8" t="str">
        <f t="shared" si="1"/>
        <v>4818 W Ohio St </v>
      </c>
      <c r="P322" s="12">
        <v>37.0</v>
      </c>
      <c r="Q322" s="13" t="s">
        <v>162</v>
      </c>
    </row>
    <row r="323">
      <c r="A323" s="7">
        <v>400044.0</v>
      </c>
      <c r="B323" s="12" t="s">
        <v>1061</v>
      </c>
      <c r="C323" s="17" t="s">
        <v>1062</v>
      </c>
      <c r="D323" s="10">
        <v>0.141</v>
      </c>
      <c r="E323" s="11" t="s">
        <v>19</v>
      </c>
      <c r="F323" s="11" t="s">
        <v>19</v>
      </c>
      <c r="G323" s="8" t="str">
        <f>VLOOKUP(F323, 'Network Chiefs'!A:B, 2, FALSE)
</f>
        <v>#N/A</v>
      </c>
      <c r="H323" s="12">
        <v>49.0</v>
      </c>
      <c r="I323" s="13" t="s">
        <v>20</v>
      </c>
      <c r="J323" s="14" t="s">
        <v>217</v>
      </c>
      <c r="K323" s="14">
        <v>5.0</v>
      </c>
      <c r="L323" s="14" t="str">
        <f t="array" ref="L323">INDEX('School Rep'!$A$2:$A$21, MATCH(J323, 'School Rep'!$B$2:$B$21, 0))</f>
        <v>Michilla Blaise</v>
      </c>
      <c r="M323" s="12">
        <v>3.4</v>
      </c>
      <c r="N323" s="16" t="s">
        <v>1063</v>
      </c>
      <c r="O323" s="8" t="str">
        <f t="shared" si="1"/>
        <v>1616 S Avers Ave </v>
      </c>
      <c r="P323" s="12">
        <v>24.0</v>
      </c>
      <c r="Q323" s="13" t="s">
        <v>517</v>
      </c>
    </row>
    <row r="324">
      <c r="A324" s="7">
        <v>400163.0</v>
      </c>
      <c r="B324" s="8" t="s">
        <v>1064</v>
      </c>
      <c r="C324" s="11" t="s">
        <v>1065</v>
      </c>
      <c r="D324" s="10">
        <v>0.11</v>
      </c>
      <c r="E324" s="11" t="s">
        <v>19</v>
      </c>
      <c r="F324" s="11" t="s">
        <v>19</v>
      </c>
      <c r="G324" s="8" t="str">
        <f>VLOOKUP(F324, 'Network Chiefs'!A:B, 2, FALSE)
</f>
        <v>#N/A</v>
      </c>
      <c r="H324" s="12">
        <v>34.0</v>
      </c>
      <c r="I324" s="13" t="s">
        <v>41</v>
      </c>
      <c r="J324" s="14" t="s">
        <v>187</v>
      </c>
      <c r="K324" s="14">
        <v>9.0</v>
      </c>
      <c r="L324" s="14" t="str">
        <f t="array" ref="L324">INDEX('School Rep'!$A$2:$A$21, MATCH(J324, 'School Rep'!$B$2:$B$21, 0))</f>
        <v>Frank Niles Thomas</v>
      </c>
      <c r="M324" s="15">
        <v>3.7</v>
      </c>
      <c r="N324" s="16" t="s">
        <v>1066</v>
      </c>
      <c r="O324" s="8" t="str">
        <f t="shared" si="1"/>
        <v>5515 S Lowe Ave </v>
      </c>
      <c r="P324" s="12">
        <v>16.0</v>
      </c>
      <c r="Q324" s="13" t="s">
        <v>193</v>
      </c>
    </row>
    <row r="325">
      <c r="A325" s="7">
        <v>400180.0</v>
      </c>
      <c r="B325" s="12" t="s">
        <v>1067</v>
      </c>
      <c r="C325" s="17" t="s">
        <v>1068</v>
      </c>
      <c r="D325" s="10">
        <v>0.098</v>
      </c>
      <c r="E325" s="11" t="s">
        <v>19</v>
      </c>
      <c r="F325" s="11" t="s">
        <v>19</v>
      </c>
      <c r="G325" s="8" t="str">
        <f>VLOOKUP(F325, 'Network Chiefs'!A:B, 2, FALSE)
</f>
        <v>#N/A</v>
      </c>
      <c r="H325" s="12">
        <v>56.0</v>
      </c>
      <c r="I325" s="13" t="s">
        <v>20</v>
      </c>
      <c r="J325" s="14" t="s">
        <v>31</v>
      </c>
      <c r="K325" s="14">
        <v>5.0</v>
      </c>
      <c r="L325" s="14" t="str">
        <f t="array" ref="L325">INDEX('School Rep'!$A$2:$A$21, MATCH(J325, 'School Rep'!$B$2:$B$21, 0))</f>
        <v>Aaron "Jitu" Brown</v>
      </c>
      <c r="M325" s="12">
        <v>3.7</v>
      </c>
      <c r="N325" s="16" t="s">
        <v>1069</v>
      </c>
      <c r="O325" s="8" t="str">
        <f t="shared" si="1"/>
        <v>730 N Pulaski </v>
      </c>
      <c r="P325" s="12">
        <v>37.0</v>
      </c>
      <c r="Q325" s="13" t="s">
        <v>162</v>
      </c>
    </row>
    <row r="326">
      <c r="A326" s="7">
        <v>610030.0</v>
      </c>
      <c r="B326" s="8" t="s">
        <v>1070</v>
      </c>
      <c r="C326" s="18" t="s">
        <v>1071</v>
      </c>
      <c r="D326" s="19">
        <v>0.17</v>
      </c>
      <c r="E326" s="18" t="s">
        <v>80</v>
      </c>
      <c r="F326" s="18" t="s">
        <v>120</v>
      </c>
      <c r="G326" s="8" t="str">
        <f>VLOOKUP(F326, 'Network Chiefs'!A:B, 2, FALSE)
</f>
        <v>Alene Mason</v>
      </c>
      <c r="H326" s="12">
        <v>39.0</v>
      </c>
      <c r="I326" s="13" t="s">
        <v>41</v>
      </c>
      <c r="J326" s="14" t="s">
        <v>204</v>
      </c>
      <c r="K326" s="14">
        <v>6.0</v>
      </c>
      <c r="L326" s="14" t="str">
        <f t="array" ref="L326">INDEX('School Rep'!$A$2:$A$21, MATCH(J326, 'School Rep'!$B$2:$B$21, 0))</f>
        <v>Jessica Biggs</v>
      </c>
      <c r="M326" s="15">
        <v>3.0</v>
      </c>
      <c r="N326" s="16" t="s">
        <v>1072</v>
      </c>
      <c r="O326" s="8" t="str">
        <f t="shared" si="1"/>
        <v>936 E 54th St </v>
      </c>
      <c r="P326" s="12">
        <v>5.0</v>
      </c>
      <c r="Q326" s="13" t="s">
        <v>357</v>
      </c>
    </row>
    <row r="327">
      <c r="A327" s="7">
        <v>609719.0</v>
      </c>
      <c r="B327" s="12" t="s">
        <v>1073</v>
      </c>
      <c r="C327" s="17" t="s">
        <v>1074</v>
      </c>
      <c r="D327" s="10">
        <v>0.124</v>
      </c>
      <c r="E327" s="11" t="s">
        <v>80</v>
      </c>
      <c r="F327" s="11" t="s">
        <v>116</v>
      </c>
      <c r="G327" s="8" t="str">
        <f>VLOOKUP(F327, 'Network Chiefs'!A:B, 2, FALSE)
</f>
        <v>Dr. Laura LeMone</v>
      </c>
      <c r="H327" s="12">
        <v>28.0</v>
      </c>
      <c r="I327" s="13" t="s">
        <v>41</v>
      </c>
      <c r="J327" s="14" t="s">
        <v>243</v>
      </c>
      <c r="K327" s="14">
        <v>4.0</v>
      </c>
      <c r="L327" s="14" t="str">
        <f t="array" ref="L327">INDEX('School Rep'!$A$2:$A$21, MATCH(J327, 'School Rep'!$B$2:$B$21, 0))</f>
        <v>Karen Zaccor</v>
      </c>
      <c r="M327" s="12">
        <v>1.8</v>
      </c>
      <c r="N327" s="16" t="s">
        <v>1075</v>
      </c>
      <c r="O327" s="8" t="str">
        <f t="shared" si="1"/>
        <v>4015 N Ashland Ave </v>
      </c>
      <c r="P327" s="12">
        <v>47.0</v>
      </c>
      <c r="Q327" s="13" t="s">
        <v>228</v>
      </c>
    </row>
    <row r="328">
      <c r="A328" s="7">
        <v>609720.0</v>
      </c>
      <c r="B328" s="12" t="s">
        <v>1076</v>
      </c>
      <c r="C328" s="17" t="s">
        <v>1077</v>
      </c>
      <c r="D328" s="10">
        <v>0.015</v>
      </c>
      <c r="E328" s="11" t="s">
        <v>80</v>
      </c>
      <c r="F328" s="11" t="s">
        <v>116</v>
      </c>
      <c r="G328" s="8" t="str">
        <f>VLOOKUP(F328, 'Network Chiefs'!A:B, 2, FALSE)
</f>
        <v>Dr. Laura LeMone</v>
      </c>
      <c r="H328" s="15"/>
      <c r="I328" s="8"/>
      <c r="J328" s="14" t="s">
        <v>103</v>
      </c>
      <c r="K328" s="14">
        <v>4.0</v>
      </c>
      <c r="L328" s="14" t="str">
        <f t="array" ref="L328">INDEX('School Rep'!$A$2:$A$21, MATCH(J328, 'School Rep'!$B$2:$B$21, 0))</f>
        <v>Ellen Rosenfeld</v>
      </c>
      <c r="M328" s="12">
        <v>1.2</v>
      </c>
      <c r="N328" s="16" t="s">
        <v>1078</v>
      </c>
      <c r="O328" s="8" t="str">
        <f t="shared" si="1"/>
        <v>2501 W Addison St </v>
      </c>
      <c r="P328" s="12">
        <v>47.0</v>
      </c>
      <c r="Q328" s="13" t="s">
        <v>228</v>
      </c>
    </row>
    <row r="329">
      <c r="A329" s="7">
        <v>609869.0</v>
      </c>
      <c r="B329" s="8" t="s">
        <v>1079</v>
      </c>
      <c r="C329" s="9" t="s">
        <v>1080</v>
      </c>
      <c r="D329" s="10">
        <v>0.233</v>
      </c>
      <c r="E329" s="11" t="s">
        <v>80</v>
      </c>
      <c r="F329" s="11" t="s">
        <v>186</v>
      </c>
      <c r="G329" s="8" t="str">
        <f>VLOOKUP(F329, 'Network Chiefs'!A:B, 2, FALSE)
</f>
        <v>Latasha Geverola</v>
      </c>
      <c r="H329" s="12">
        <v>64.0</v>
      </c>
      <c r="I329" s="13" t="s">
        <v>52</v>
      </c>
      <c r="J329" s="14" t="s">
        <v>187</v>
      </c>
      <c r="K329" s="14">
        <v>9.0</v>
      </c>
      <c r="L329" s="14" t="str">
        <f t="array" ref="L329">INDEX('School Rep'!$A$2:$A$21, MATCH(J329, 'School Rep'!$B$2:$B$21, 0))</f>
        <v>Frank Niles Thomas</v>
      </c>
      <c r="M329" s="15">
        <v>3.3</v>
      </c>
      <c r="N329" s="16" t="s">
        <v>1081</v>
      </c>
      <c r="O329" s="8" t="str">
        <f t="shared" si="1"/>
        <v>6010 S Throop St </v>
      </c>
      <c r="P329" s="12">
        <v>16.0</v>
      </c>
      <c r="Q329" s="13" t="s">
        <v>193</v>
      </c>
    </row>
    <row r="330">
      <c r="A330" s="7">
        <v>609993.0</v>
      </c>
      <c r="B330" s="8" t="s">
        <v>1082</v>
      </c>
      <c r="C330" s="18" t="s">
        <v>1083</v>
      </c>
      <c r="D330" s="19">
        <v>0.155</v>
      </c>
      <c r="E330" s="18" t="s">
        <v>80</v>
      </c>
      <c r="F330" s="18" t="s">
        <v>126</v>
      </c>
      <c r="G330" s="8" t="str">
        <f>VLOOKUP(F330, 'Network Chiefs'!A:B, 2, FALSE)
</f>
        <v>#N/A</v>
      </c>
      <c r="H330" s="12">
        <v>65.0</v>
      </c>
      <c r="I330" s="13" t="s">
        <v>52</v>
      </c>
      <c r="J330" s="14" t="s">
        <v>26</v>
      </c>
      <c r="K330" s="14">
        <v>8.0</v>
      </c>
      <c r="L330" s="14" t="str">
        <f t="array" ref="L330">INDEX('School Rep'!$A$2:$A$21, MATCH(J330, 'School Rep'!$B$2:$B$21, 0))</f>
        <v>Cydney Wallace</v>
      </c>
      <c r="M330" s="15">
        <v>4.2</v>
      </c>
      <c r="N330" s="16" t="s">
        <v>1084</v>
      </c>
      <c r="O330" s="8" t="str">
        <f t="shared" si="1"/>
        <v>4619 S Wolcott Ave </v>
      </c>
      <c r="P330" s="12">
        <v>15.0</v>
      </c>
      <c r="Q330" s="13" t="s">
        <v>364</v>
      </c>
    </row>
    <row r="331">
      <c r="A331" s="7">
        <v>610033.0</v>
      </c>
      <c r="B331" s="12" t="s">
        <v>1085</v>
      </c>
      <c r="C331" s="18" t="s">
        <v>1086</v>
      </c>
      <c r="D331" s="19">
        <v>0.0</v>
      </c>
      <c r="E331" s="18" t="s">
        <v>80</v>
      </c>
      <c r="F331" s="18" t="s">
        <v>102</v>
      </c>
      <c r="G331" s="8" t="str">
        <f>VLOOKUP(F331, 'Network Chiefs'!A:B, 2, FALSE)
</f>
        <v>Jerry Travlos</v>
      </c>
      <c r="H331" s="12">
        <v>44.0</v>
      </c>
      <c r="I331" s="13" t="s">
        <v>20</v>
      </c>
      <c r="J331" s="14" t="s">
        <v>103</v>
      </c>
      <c r="K331" s="14">
        <v>4.0</v>
      </c>
      <c r="L331" s="14" t="str">
        <f t="array" ref="L331">INDEX('School Rep'!$A$2:$A$21, MATCH(J331, 'School Rep'!$B$2:$B$21, 0))</f>
        <v>Ellen Rosenfeld</v>
      </c>
      <c r="M331" s="12">
        <v>2.2</v>
      </c>
      <c r="N331" s="16" t="s">
        <v>1087</v>
      </c>
      <c r="O331" s="8" t="str">
        <f t="shared" si="1"/>
        <v>1734 N Orleans St </v>
      </c>
      <c r="P331" s="12">
        <v>43.0</v>
      </c>
      <c r="Q331" s="13" t="s">
        <v>105</v>
      </c>
    </row>
    <row r="332">
      <c r="A332" s="7">
        <v>610520.0</v>
      </c>
      <c r="B332" s="12" t="s">
        <v>1088</v>
      </c>
      <c r="C332" s="11" t="s">
        <v>1089</v>
      </c>
      <c r="D332" s="10">
        <v>0.0</v>
      </c>
      <c r="E332" s="11" t="s">
        <v>80</v>
      </c>
      <c r="F332" s="11" t="s">
        <v>126</v>
      </c>
      <c r="G332" s="8" t="str">
        <f>VLOOKUP(F332, 'Network Chiefs'!A:B, 2, FALSE)
</f>
        <v>#N/A</v>
      </c>
      <c r="H332" s="12">
        <v>68.0</v>
      </c>
      <c r="I332" s="13" t="s">
        <v>52</v>
      </c>
      <c r="J332" s="14" t="s">
        <v>31</v>
      </c>
      <c r="K332" s="14">
        <v>5.0</v>
      </c>
      <c r="L332" s="14" t="str">
        <f t="array" ref="L332">INDEX('School Rep'!$A$2:$A$21, MATCH(J332, 'School Rep'!$B$2:$B$21, 0))</f>
        <v>Aaron "Jitu" Brown</v>
      </c>
      <c r="M332" s="12">
        <v>2.4</v>
      </c>
      <c r="N332" s="16" t="s">
        <v>1090</v>
      </c>
      <c r="O332" s="8" t="str">
        <f t="shared" si="1"/>
        <v>1148 N Honore St </v>
      </c>
      <c r="P332" s="12">
        <v>1.0</v>
      </c>
      <c r="Q332" s="13" t="s">
        <v>275</v>
      </c>
    </row>
    <row r="333">
      <c r="A333" s="7">
        <v>610208.0</v>
      </c>
      <c r="B333" s="8" t="s">
        <v>1091</v>
      </c>
      <c r="C333" s="9" t="s">
        <v>1092</v>
      </c>
      <c r="D333" s="10">
        <v>0.263</v>
      </c>
      <c r="E333" s="11" t="s">
        <v>80</v>
      </c>
      <c r="F333" s="11" t="s">
        <v>81</v>
      </c>
      <c r="G333" s="8" t="str">
        <f>VLOOKUP(F333, 'Network Chiefs'!A:B, 2, FALSE)
</f>
        <v>Dr. Terrycita D. Perry</v>
      </c>
      <c r="H333" s="12">
        <v>41.0</v>
      </c>
      <c r="I333" s="13" t="s">
        <v>20</v>
      </c>
      <c r="J333" s="14" t="s">
        <v>178</v>
      </c>
      <c r="K333" s="14">
        <v>9.0</v>
      </c>
      <c r="L333" s="14" t="str">
        <f t="array" ref="L333">INDEX('School Rep'!$A$2:$A$21, MATCH(J333, 'School Rep'!$B$2:$B$21, 0))</f>
        <v>Therese Boyle</v>
      </c>
      <c r="M333" s="15">
        <v>3.3</v>
      </c>
      <c r="N333" s="16" t="s">
        <v>1093</v>
      </c>
      <c r="O333" s="8" t="str">
        <f t="shared" si="1"/>
        <v>138 W 109th St </v>
      </c>
      <c r="P333" s="12">
        <v>9.0</v>
      </c>
      <c r="Q333" s="13" t="s">
        <v>237</v>
      </c>
    </row>
    <row r="334">
      <c r="A334" s="7">
        <v>610034.0</v>
      </c>
      <c r="B334" s="8" t="s">
        <v>1094</v>
      </c>
      <c r="C334" s="18" t="s">
        <v>1095</v>
      </c>
      <c r="D334" s="19">
        <v>0.14</v>
      </c>
      <c r="E334" s="18" t="s">
        <v>80</v>
      </c>
      <c r="F334" s="18" t="s">
        <v>216</v>
      </c>
      <c r="G334" s="8" t="str">
        <f>VLOOKUP(F334, 'Network Chiefs'!A:B, 2, FALSE)
</f>
        <v>Shontae Higginbottom</v>
      </c>
      <c r="H334" s="12">
        <v>48.0</v>
      </c>
      <c r="I334" s="13" t="s">
        <v>20</v>
      </c>
      <c r="J334" s="14" t="s">
        <v>217</v>
      </c>
      <c r="K334" s="14">
        <v>5.0</v>
      </c>
      <c r="L334" s="14" t="str">
        <f t="array" ref="L334">INDEX('School Rep'!$A$2:$A$21, MATCH(J334, 'School Rep'!$B$2:$B$21, 0))</f>
        <v>Michilla Blaise</v>
      </c>
      <c r="M334" s="15">
        <v>3.7</v>
      </c>
      <c r="N334" s="16" t="s">
        <v>1096</v>
      </c>
      <c r="O334" s="8" t="str">
        <f t="shared" si="1"/>
        <v>3500 W Douglas Blvd </v>
      </c>
      <c r="P334" s="12">
        <v>24.0</v>
      </c>
      <c r="Q334" s="13" t="s">
        <v>517</v>
      </c>
    </row>
    <row r="335">
      <c r="A335" s="7">
        <v>400151.0</v>
      </c>
      <c r="B335" s="12" t="s">
        <v>1097</v>
      </c>
      <c r="C335" s="11" t="s">
        <v>1098</v>
      </c>
      <c r="D335" s="10">
        <v>0.076</v>
      </c>
      <c r="E335" s="11" t="s">
        <v>19</v>
      </c>
      <c r="F335" s="11" t="s">
        <v>19</v>
      </c>
      <c r="G335" s="8" t="str">
        <f>VLOOKUP(F335, 'Network Chiefs'!A:B, 2, FALSE)
</f>
        <v>#N/A</v>
      </c>
      <c r="H335" s="12">
        <v>59.0</v>
      </c>
      <c r="I335" s="13" t="s">
        <v>20</v>
      </c>
      <c r="J335" s="14" t="s">
        <v>217</v>
      </c>
      <c r="K335" s="14">
        <v>5.0</v>
      </c>
      <c r="L335" s="14" t="str">
        <f t="array" ref="L335">INDEX('School Rep'!$A$2:$A$21, MATCH(J335, 'School Rep'!$B$2:$B$21, 0))</f>
        <v>Michilla Blaise</v>
      </c>
      <c r="M335" s="12">
        <v>3.3</v>
      </c>
      <c r="N335" s="16" t="s">
        <v>1099</v>
      </c>
      <c r="O335" s="8" t="str">
        <f t="shared" si="1"/>
        <v>3021 W Carroll Ave </v>
      </c>
      <c r="P335" s="12">
        <v>27.0</v>
      </c>
      <c r="Q335" s="13" t="s">
        <v>219</v>
      </c>
    </row>
    <row r="336">
      <c r="A336" s="7">
        <v>400046.0</v>
      </c>
      <c r="B336" s="12" t="s">
        <v>1100</v>
      </c>
      <c r="C336" s="11" t="s">
        <v>1101</v>
      </c>
      <c r="D336" s="10">
        <v>0.064</v>
      </c>
      <c r="E336" s="11" t="s">
        <v>19</v>
      </c>
      <c r="F336" s="11" t="s">
        <v>19</v>
      </c>
      <c r="G336" s="8" t="str">
        <f>VLOOKUP(F336, 'Network Chiefs'!A:B, 2, FALSE)
</f>
        <v>#N/A</v>
      </c>
      <c r="H336" s="12">
        <v>61.0</v>
      </c>
      <c r="I336" s="13" t="s">
        <v>52</v>
      </c>
      <c r="J336" s="14" t="s">
        <v>217</v>
      </c>
      <c r="K336" s="14">
        <v>5.0</v>
      </c>
      <c r="L336" s="14" t="str">
        <f t="array" ref="L336">INDEX('School Rep'!$A$2:$A$21, MATCH(J336, 'School Rep'!$B$2:$B$21, 0))</f>
        <v>Michilla Blaise</v>
      </c>
      <c r="M336" s="12">
        <v>3.3</v>
      </c>
      <c r="N336" s="16" t="s">
        <v>1102</v>
      </c>
      <c r="O336" s="8" t="str">
        <f t="shared" si="1"/>
        <v>1132 S Homan Ave </v>
      </c>
      <c r="P336" s="12">
        <v>24.0</v>
      </c>
      <c r="Q336" s="13" t="s">
        <v>517</v>
      </c>
    </row>
    <row r="337">
      <c r="A337" s="7">
        <v>400047.0</v>
      </c>
      <c r="B337" s="12" t="s">
        <v>1103</v>
      </c>
      <c r="C337" s="11" t="s">
        <v>1104</v>
      </c>
      <c r="D337" s="10">
        <v>0.082</v>
      </c>
      <c r="E337" s="11" t="s">
        <v>19</v>
      </c>
      <c r="F337" s="11" t="s">
        <v>19</v>
      </c>
      <c r="G337" s="8" t="str">
        <f>VLOOKUP(F337, 'Network Chiefs'!A:B, 2, FALSE)
</f>
        <v>#N/A</v>
      </c>
      <c r="H337" s="12">
        <v>60.0</v>
      </c>
      <c r="I337" s="13" t="s">
        <v>52</v>
      </c>
      <c r="J337" s="14" t="s">
        <v>217</v>
      </c>
      <c r="K337" s="14">
        <v>5.0</v>
      </c>
      <c r="L337" s="14" t="str">
        <f t="array" ref="L337">INDEX('School Rep'!$A$2:$A$21, MATCH(J337, 'School Rep'!$B$2:$B$21, 0))</f>
        <v>Michilla Blaise</v>
      </c>
      <c r="M337" s="12">
        <v>3.3</v>
      </c>
      <c r="N337" s="16" t="s">
        <v>1105</v>
      </c>
      <c r="O337" s="8" t="str">
        <f t="shared" si="1"/>
        <v>212 S Francisco Ave </v>
      </c>
      <c r="P337" s="12">
        <v>27.0</v>
      </c>
      <c r="Q337" s="13" t="s">
        <v>219</v>
      </c>
    </row>
    <row r="338">
      <c r="A338" s="7">
        <v>400048.0</v>
      </c>
      <c r="B338" s="12" t="s">
        <v>1106</v>
      </c>
      <c r="C338" s="18" t="s">
        <v>1107</v>
      </c>
      <c r="D338" s="19">
        <v>0.048</v>
      </c>
      <c r="E338" s="18" t="s">
        <v>19</v>
      </c>
      <c r="F338" s="18" t="s">
        <v>19</v>
      </c>
      <c r="G338" s="8" t="str">
        <f>VLOOKUP(F338, 'Network Chiefs'!A:B, 2, FALSE)
</f>
        <v>#N/A</v>
      </c>
      <c r="H338" s="12">
        <v>59.0</v>
      </c>
      <c r="I338" s="13" t="s">
        <v>20</v>
      </c>
      <c r="J338" s="14" t="s">
        <v>217</v>
      </c>
      <c r="K338" s="14">
        <v>5.0</v>
      </c>
      <c r="L338" s="14" t="str">
        <f t="array" ref="L338">INDEX('School Rep'!$A$2:$A$21, MATCH(J338, 'School Rep'!$B$2:$B$21, 0))</f>
        <v>Michilla Blaise</v>
      </c>
      <c r="M338" s="12">
        <v>3.5</v>
      </c>
      <c r="N338" s="16" t="s">
        <v>1099</v>
      </c>
      <c r="O338" s="8" t="str">
        <f t="shared" si="1"/>
        <v>3021 W Carroll Ave </v>
      </c>
      <c r="P338" s="12">
        <v>27.0</v>
      </c>
      <c r="Q338" s="13" t="s">
        <v>219</v>
      </c>
    </row>
    <row r="339">
      <c r="A339" s="7">
        <v>400165.0</v>
      </c>
      <c r="B339" s="12" t="s">
        <v>1108</v>
      </c>
      <c r="C339" s="11" t="s">
        <v>1109</v>
      </c>
      <c r="D339" s="10">
        <v>0.036</v>
      </c>
      <c r="E339" s="11" t="s">
        <v>19</v>
      </c>
      <c r="F339" s="11" t="s">
        <v>19</v>
      </c>
      <c r="G339" s="8" t="str">
        <f>VLOOKUP(F339, 'Network Chiefs'!A:B, 2, FALSE)
</f>
        <v>#N/A</v>
      </c>
      <c r="H339" s="12">
        <v>59.0</v>
      </c>
      <c r="I339" s="13" t="s">
        <v>20</v>
      </c>
      <c r="J339" s="14" t="s">
        <v>217</v>
      </c>
      <c r="K339" s="14">
        <v>5.0</v>
      </c>
      <c r="L339" s="14" t="str">
        <f t="array" ref="L339">INDEX('School Rep'!$A$2:$A$21, MATCH(J339, 'School Rep'!$B$2:$B$21, 0))</f>
        <v>Michilla Blaise</v>
      </c>
      <c r="M339" s="12">
        <v>3.6</v>
      </c>
      <c r="N339" s="16" t="s">
        <v>1099</v>
      </c>
      <c r="O339" s="8" t="str">
        <f t="shared" si="1"/>
        <v>3021 W Carroll Ave </v>
      </c>
      <c r="P339" s="12">
        <v>27.0</v>
      </c>
      <c r="Q339" s="13" t="s">
        <v>219</v>
      </c>
    </row>
    <row r="340">
      <c r="A340" s="7">
        <v>400111.0</v>
      </c>
      <c r="B340" s="8" t="s">
        <v>1110</v>
      </c>
      <c r="C340" s="11" t="s">
        <v>1111</v>
      </c>
      <c r="D340" s="10">
        <v>0.064</v>
      </c>
      <c r="E340" s="11" t="s">
        <v>19</v>
      </c>
      <c r="F340" s="11" t="s">
        <v>19</v>
      </c>
      <c r="G340" s="8" t="str">
        <f>VLOOKUP(F340, 'Network Chiefs'!A:B, 2, FALSE)
</f>
        <v>#N/A</v>
      </c>
      <c r="H340" s="15"/>
      <c r="I340" s="8"/>
      <c r="J340" s="14" t="s">
        <v>187</v>
      </c>
      <c r="K340" s="14">
        <v>9.0</v>
      </c>
      <c r="L340" s="14" t="str">
        <f t="array" ref="L340">INDEX('School Rep'!$A$2:$A$21, MATCH(J340, 'School Rep'!$B$2:$B$21, 0))</f>
        <v>Frank Niles Thomas</v>
      </c>
      <c r="M340" s="15">
        <v>3.0</v>
      </c>
      <c r="N340" s="16" t="s">
        <v>1112</v>
      </c>
      <c r="O340" s="8" t="str">
        <f t="shared" si="1"/>
        <v>1700 W 83rd St </v>
      </c>
      <c r="P340" s="12">
        <v>17.0</v>
      </c>
      <c r="Q340" s="13" t="s">
        <v>189</v>
      </c>
    </row>
    <row r="341">
      <c r="A341" s="7">
        <v>400107.0</v>
      </c>
      <c r="B341" s="13" t="s">
        <v>1113</v>
      </c>
      <c r="C341" s="11" t="s">
        <v>1114</v>
      </c>
      <c r="D341" s="10">
        <v>0.102</v>
      </c>
      <c r="E341" s="11" t="s">
        <v>19</v>
      </c>
      <c r="F341" s="11" t="s">
        <v>19</v>
      </c>
      <c r="G341" s="8" t="str">
        <f>VLOOKUP(F341, 'Network Chiefs'!A:B, 2, FALSE)
</f>
        <v>#N/A</v>
      </c>
      <c r="H341" s="12">
        <v>61.0</v>
      </c>
      <c r="I341" s="13" t="s">
        <v>52</v>
      </c>
      <c r="J341" s="14" t="s">
        <v>82</v>
      </c>
      <c r="K341" s="14">
        <v>10.0</v>
      </c>
      <c r="L341" s="14" t="str">
        <f t="array" ref="L341">INDEX('School Rep'!$A$2:$A$21, MATCH(J341, 'School Rep'!$B$2:$B$21, 0))</f>
        <v>Olga Bautista</v>
      </c>
      <c r="M341" s="12">
        <v>3.5</v>
      </c>
      <c r="N341" s="16" t="s">
        <v>1115</v>
      </c>
      <c r="O341" s="8" t="str">
        <f t="shared" si="1"/>
        <v>8914 S Buffalo Ave </v>
      </c>
      <c r="P341" s="12">
        <v>10.0</v>
      </c>
      <c r="Q341" s="13" t="s">
        <v>84</v>
      </c>
    </row>
    <row r="342">
      <c r="A342" s="7">
        <v>610291.0</v>
      </c>
      <c r="B342" s="8" t="s">
        <v>1116</v>
      </c>
      <c r="C342" s="18" t="s">
        <v>1117</v>
      </c>
      <c r="D342" s="19">
        <v>0.054</v>
      </c>
      <c r="E342" s="18" t="s">
        <v>80</v>
      </c>
      <c r="F342" s="18" t="s">
        <v>126</v>
      </c>
      <c r="G342" s="8" t="str">
        <f>VLOOKUP(F342, 'Network Chiefs'!A:B, 2, FALSE)
</f>
        <v>#N/A</v>
      </c>
      <c r="H342" s="12">
        <v>64.0</v>
      </c>
      <c r="I342" s="13" t="s">
        <v>52</v>
      </c>
      <c r="J342" s="14" t="s">
        <v>139</v>
      </c>
      <c r="K342" s="14">
        <v>8.0</v>
      </c>
      <c r="L342" s="14" t="str">
        <f t="array" ref="L342">INDEX('School Rep'!$A$2:$A$21, MATCH(J342, 'School Rep'!$B$2:$B$21, 0))</f>
        <v>Angel Gutierrez</v>
      </c>
      <c r="M342" s="15">
        <v>3.2</v>
      </c>
      <c r="N342" s="16" t="s">
        <v>1118</v>
      </c>
      <c r="O342" s="8" t="str">
        <f t="shared" si="1"/>
        <v>6448 S Tripp Ave </v>
      </c>
      <c r="P342" s="12">
        <v>13.0</v>
      </c>
      <c r="Q342" s="13" t="s">
        <v>250</v>
      </c>
    </row>
    <row r="343">
      <c r="A343" s="7">
        <v>400049.0</v>
      </c>
      <c r="B343" s="12" t="s">
        <v>1119</v>
      </c>
      <c r="C343" s="17" t="s">
        <v>1120</v>
      </c>
      <c r="D343" s="10">
        <v>0.098</v>
      </c>
      <c r="E343" s="11" t="s">
        <v>19</v>
      </c>
      <c r="F343" s="11" t="s">
        <v>19</v>
      </c>
      <c r="G343" s="8" t="str">
        <f>VLOOKUP(F343, 'Network Chiefs'!A:B, 2, FALSE)
</f>
        <v>#N/A</v>
      </c>
      <c r="H343" s="15"/>
      <c r="I343" s="8"/>
      <c r="J343" s="14" t="s">
        <v>217</v>
      </c>
      <c r="K343" s="14">
        <v>5.0</v>
      </c>
      <c r="L343" s="14" t="str">
        <f t="array" ref="L343">INDEX('School Rep'!$A$2:$A$21, MATCH(J343, 'School Rep'!$B$2:$B$21, 0))</f>
        <v>Michilla Blaise</v>
      </c>
      <c r="M343" s="12">
        <v>3.9</v>
      </c>
      <c r="N343" s="16" t="s">
        <v>1121</v>
      </c>
      <c r="O343" s="8" t="str">
        <f t="shared" si="1"/>
        <v>3318 W Ogden Ave </v>
      </c>
      <c r="P343" s="12">
        <v>24.0</v>
      </c>
      <c r="Q343" s="13" t="s">
        <v>517</v>
      </c>
    </row>
    <row r="344">
      <c r="A344" s="7">
        <v>400119.0</v>
      </c>
      <c r="B344" s="12" t="s">
        <v>1122</v>
      </c>
      <c r="C344" s="17" t="s">
        <v>1123</v>
      </c>
      <c r="D344" s="10">
        <v>0.191</v>
      </c>
      <c r="E344" s="11" t="s">
        <v>19</v>
      </c>
      <c r="F344" s="11" t="s">
        <v>19</v>
      </c>
      <c r="G344" s="8" t="str">
        <f>VLOOKUP(F344, 'Network Chiefs'!A:B, 2, FALSE)
</f>
        <v>#N/A</v>
      </c>
      <c r="H344" s="12">
        <v>28.0</v>
      </c>
      <c r="I344" s="13" t="s">
        <v>41</v>
      </c>
      <c r="J344" s="14" t="s">
        <v>217</v>
      </c>
      <c r="K344" s="14">
        <v>5.0</v>
      </c>
      <c r="L344" s="14" t="str">
        <f t="array" ref="L344">INDEX('School Rep'!$A$2:$A$21, MATCH(J344, 'School Rep'!$B$2:$B$21, 0))</f>
        <v>Michilla Blaise</v>
      </c>
      <c r="M344" s="12">
        <v>3.8</v>
      </c>
      <c r="N344" s="16" t="s">
        <v>1124</v>
      </c>
      <c r="O344" s="8" t="str">
        <f t="shared" si="1"/>
        <v>4319 W Washington Blvd </v>
      </c>
      <c r="P344" s="12">
        <v>28.0</v>
      </c>
      <c r="Q344" s="13" t="s">
        <v>399</v>
      </c>
    </row>
    <row r="345">
      <c r="A345" s="7">
        <v>610305.0</v>
      </c>
      <c r="B345" s="12" t="s">
        <v>1125</v>
      </c>
      <c r="C345" s="17" t="s">
        <v>1126</v>
      </c>
      <c r="D345" s="10">
        <v>0.292</v>
      </c>
      <c r="E345" s="11" t="s">
        <v>80</v>
      </c>
      <c r="F345" s="11" t="s">
        <v>231</v>
      </c>
      <c r="G345" s="8" t="str">
        <f>VLOOKUP(F345, 'Network Chiefs'!A:B, 2, FALSE)
</f>
        <v>Jennifer Farrell‐Rottman</v>
      </c>
      <c r="H345" s="12">
        <v>58.0</v>
      </c>
      <c r="I345" s="13" t="s">
        <v>20</v>
      </c>
      <c r="J345" s="14" t="s">
        <v>31</v>
      </c>
      <c r="K345" s="14">
        <v>5.0</v>
      </c>
      <c r="L345" s="14" t="str">
        <f t="array" ref="L345">INDEX('School Rep'!$A$2:$A$21, MATCH(J345, 'School Rep'!$B$2:$B$21, 0))</f>
        <v>Aaron "Jitu" Brown</v>
      </c>
      <c r="M345" s="12">
        <v>3.3</v>
      </c>
      <c r="N345" s="16" t="s">
        <v>1127</v>
      </c>
      <c r="O345" s="8" t="str">
        <f t="shared" si="1"/>
        <v>512 S Lavergne Ave </v>
      </c>
      <c r="P345" s="15"/>
      <c r="Q345" s="8"/>
    </row>
    <row r="346">
      <c r="A346" s="7">
        <v>610298.0</v>
      </c>
      <c r="B346" s="13" t="s">
        <v>1128</v>
      </c>
      <c r="C346" s="18" t="s">
        <v>1129</v>
      </c>
      <c r="D346" s="19">
        <v>0.0</v>
      </c>
      <c r="E346" s="18" t="s">
        <v>80</v>
      </c>
      <c r="F346" s="18" t="s">
        <v>186</v>
      </c>
      <c r="G346" s="8" t="str">
        <f>VLOOKUP(F346, 'Network Chiefs'!A:B, 2, FALSE)
</f>
        <v>Latasha Geverola</v>
      </c>
      <c r="H346" s="12">
        <v>41.0</v>
      </c>
      <c r="I346" s="13" t="s">
        <v>20</v>
      </c>
      <c r="J346" s="14" t="s">
        <v>82</v>
      </c>
      <c r="K346" s="14">
        <v>10.0</v>
      </c>
      <c r="L346" s="14" t="str">
        <f t="array" ref="L346">INDEX('School Rep'!$A$2:$A$21, MATCH(J346, 'School Rep'!$B$2:$B$21, 0))</f>
        <v>Olga Bautista</v>
      </c>
      <c r="M346" s="12">
        <v>2.3</v>
      </c>
      <c r="N346" s="16" t="s">
        <v>1130</v>
      </c>
      <c r="O346" s="8" t="str">
        <f t="shared" si="1"/>
        <v>8101 S Lasalle St </v>
      </c>
      <c r="P346" s="12">
        <v>6.0</v>
      </c>
      <c r="Q346" s="13" t="s">
        <v>306</v>
      </c>
    </row>
    <row r="347">
      <c r="A347" s="7">
        <v>610036.0</v>
      </c>
      <c r="B347" s="12" t="s">
        <v>1131</v>
      </c>
      <c r="C347" s="18" t="s">
        <v>1132</v>
      </c>
      <c r="D347" s="19">
        <v>0.254</v>
      </c>
      <c r="E347" s="18" t="s">
        <v>80</v>
      </c>
      <c r="F347" s="18" t="s">
        <v>231</v>
      </c>
      <c r="G347" s="8" t="str">
        <f>VLOOKUP(F347, 'Network Chiefs'!A:B, 2, FALSE)
</f>
        <v>Jennifer Farrell‐Rottman</v>
      </c>
      <c r="H347" s="12">
        <v>24.0</v>
      </c>
      <c r="I347" s="13" t="s">
        <v>41</v>
      </c>
      <c r="J347" s="14" t="s">
        <v>31</v>
      </c>
      <c r="K347" s="14">
        <v>5.0</v>
      </c>
      <c r="L347" s="14" t="str">
        <f t="array" ref="L347">INDEX('School Rep'!$A$2:$A$21, MATCH(J347, 'School Rep'!$B$2:$B$21, 0))</f>
        <v>Aaron "Jitu" Brown</v>
      </c>
      <c r="M347" s="12">
        <v>3.8</v>
      </c>
      <c r="N347" s="16" t="s">
        <v>1133</v>
      </c>
      <c r="O347" s="8" t="str">
        <f t="shared" si="1"/>
        <v>1431 N Leamington Ave </v>
      </c>
      <c r="P347" s="12">
        <v>37.0</v>
      </c>
      <c r="Q347" s="13" t="s">
        <v>162</v>
      </c>
    </row>
    <row r="348">
      <c r="A348" s="7">
        <v>610037.0</v>
      </c>
      <c r="B348" s="8" t="s">
        <v>1134</v>
      </c>
      <c r="C348" s="18" t="s">
        <v>1135</v>
      </c>
      <c r="D348" s="19">
        <v>0.208</v>
      </c>
      <c r="E348" s="18" t="s">
        <v>80</v>
      </c>
      <c r="F348" s="18" t="s">
        <v>285</v>
      </c>
      <c r="G348" s="8" t="str">
        <f>VLOOKUP(F348, 'Network Chiefs'!A:B, 2, FALSE)
</f>
        <v>Gilberto Piedrahita</v>
      </c>
      <c r="H348" s="12">
        <v>48.0</v>
      </c>
      <c r="I348" s="13" t="s">
        <v>20</v>
      </c>
      <c r="J348" s="14" t="s">
        <v>187</v>
      </c>
      <c r="K348" s="14">
        <v>9.0</v>
      </c>
      <c r="L348" s="14" t="str">
        <f t="array" ref="L348">INDEX('School Rep'!$A$2:$A$21, MATCH(J348, 'School Rep'!$B$2:$B$21, 0))</f>
        <v>Frank Niles Thomas</v>
      </c>
      <c r="M348" s="15">
        <v>4.2</v>
      </c>
      <c r="N348" s="16" t="s">
        <v>1136</v>
      </c>
      <c r="O348" s="8" t="str">
        <f t="shared" si="1"/>
        <v>5300 S Loomis Blvd </v>
      </c>
      <c r="P348" s="12">
        <v>20.0</v>
      </c>
      <c r="Q348" s="13" t="s">
        <v>368</v>
      </c>
    </row>
    <row r="349">
      <c r="A349" s="7">
        <v>610038.0</v>
      </c>
      <c r="B349" s="12" t="s">
        <v>1137</v>
      </c>
      <c r="C349" s="17" t="s">
        <v>1138</v>
      </c>
      <c r="D349" s="10">
        <v>0.034</v>
      </c>
      <c r="E349" s="11" t="s">
        <v>80</v>
      </c>
      <c r="F349" s="11" t="s">
        <v>102</v>
      </c>
      <c r="G349" s="8" t="str">
        <f>VLOOKUP(F349, 'Network Chiefs'!A:B, 2, FALSE)
</f>
        <v>Jerry Travlos</v>
      </c>
      <c r="H349" s="12">
        <v>37.0</v>
      </c>
      <c r="I349" s="13" t="s">
        <v>41</v>
      </c>
      <c r="J349" s="14" t="s">
        <v>103</v>
      </c>
      <c r="K349" s="14">
        <v>4.0</v>
      </c>
      <c r="L349" s="14" t="str">
        <f t="array" ref="L349">INDEX('School Rep'!$A$2:$A$21, MATCH(J349, 'School Rep'!$B$2:$B$21, 0))</f>
        <v>Ellen Rosenfeld</v>
      </c>
      <c r="M349" s="12">
        <v>1.8</v>
      </c>
      <c r="N349" s="16" t="s">
        <v>1139</v>
      </c>
      <c r="O349" s="8" t="str">
        <f t="shared" si="1"/>
        <v>615 W Kemper Pl </v>
      </c>
      <c r="P349" s="12">
        <v>43.0</v>
      </c>
      <c r="Q349" s="13" t="s">
        <v>105</v>
      </c>
    </row>
    <row r="350">
      <c r="A350" s="7">
        <v>609738.0</v>
      </c>
      <c r="B350" s="12" t="s">
        <v>1140</v>
      </c>
      <c r="C350" s="9" t="s">
        <v>1141</v>
      </c>
      <c r="D350" s="10">
        <v>0.065</v>
      </c>
      <c r="E350" s="11" t="s">
        <v>80</v>
      </c>
      <c r="F350" s="11" t="s">
        <v>116</v>
      </c>
      <c r="G350" s="8" t="str">
        <f>VLOOKUP(F350, 'Network Chiefs'!A:B, 2, FALSE)
</f>
        <v>Dr. Laura LeMone</v>
      </c>
      <c r="H350" s="15"/>
      <c r="I350" s="8"/>
      <c r="J350" s="14" t="s">
        <v>103</v>
      </c>
      <c r="K350" s="14">
        <v>4.0</v>
      </c>
      <c r="L350" s="14" t="str">
        <f t="array" ref="L350">INDEX('School Rep'!$A$2:$A$21, MATCH(J350, 'School Rep'!$B$2:$B$21, 0))</f>
        <v>Ellen Rosenfeld</v>
      </c>
      <c r="M350" s="12">
        <v>1.5</v>
      </c>
      <c r="N350" s="16" t="s">
        <v>1142</v>
      </c>
      <c r="O350" s="8" t="str">
        <f t="shared" si="1"/>
        <v>2001 N Orchard St </v>
      </c>
      <c r="P350" s="12">
        <v>43.0</v>
      </c>
      <c r="Q350" s="13" t="s">
        <v>105</v>
      </c>
    </row>
    <row r="351">
      <c r="A351" s="7">
        <v>610391.0</v>
      </c>
      <c r="B351" s="8" t="s">
        <v>1143</v>
      </c>
      <c r="C351" s="18" t="s">
        <v>1144</v>
      </c>
      <c r="D351" s="19">
        <v>0.014</v>
      </c>
      <c r="E351" s="18" t="s">
        <v>80</v>
      </c>
      <c r="F351" s="18" t="s">
        <v>92</v>
      </c>
      <c r="G351" s="8" t="str">
        <f>VLOOKUP(F351, 'Network Chiefs'!A:B, 2, FALSE)
</f>
        <v>Devon LaRosa</v>
      </c>
      <c r="H351" s="12">
        <v>30.0</v>
      </c>
      <c r="I351" s="13" t="s">
        <v>41</v>
      </c>
      <c r="J351" s="14" t="s">
        <v>187</v>
      </c>
      <c r="K351" s="14">
        <v>9.0</v>
      </c>
      <c r="L351" s="14" t="str">
        <f t="array" ref="L351">INDEX('School Rep'!$A$2:$A$21, MATCH(J351, 'School Rep'!$B$2:$B$21, 0))</f>
        <v>Frank Niles Thomas</v>
      </c>
      <c r="M351" s="15">
        <v>2.3</v>
      </c>
      <c r="N351" s="16" t="s">
        <v>1145</v>
      </c>
      <c r="O351" s="8" t="str">
        <f t="shared" si="1"/>
        <v>6130 S Wolcott Ave </v>
      </c>
      <c r="P351" s="12">
        <v>16.0</v>
      </c>
      <c r="Q351" s="13" t="s">
        <v>193</v>
      </c>
    </row>
    <row r="352">
      <c r="A352" s="7">
        <v>609834.0</v>
      </c>
      <c r="B352" s="8" t="s">
        <v>1146</v>
      </c>
      <c r="C352" s="17" t="s">
        <v>1147</v>
      </c>
      <c r="D352" s="10">
        <v>0.052</v>
      </c>
      <c r="E352" s="11" t="s">
        <v>80</v>
      </c>
      <c r="F352" s="11" t="s">
        <v>126</v>
      </c>
      <c r="G352" s="8" t="str">
        <f>VLOOKUP(F352, 'Network Chiefs'!A:B, 2, FALSE)
</f>
        <v>#N/A</v>
      </c>
      <c r="H352" s="12">
        <v>57.0</v>
      </c>
      <c r="I352" s="13" t="s">
        <v>20</v>
      </c>
      <c r="J352" s="14" t="s">
        <v>42</v>
      </c>
      <c r="K352" s="14">
        <v>7.0</v>
      </c>
      <c r="L352" s="14" t="str">
        <f t="array" ref="L352">INDEX('School Rep'!$A$2:$A$21, MATCH(J352, 'School Rep'!$B$2:$B$21, 0))</f>
        <v>Emma Lozano</v>
      </c>
      <c r="M352" s="15">
        <v>3.8</v>
      </c>
      <c r="N352" s="16" t="s">
        <v>1148</v>
      </c>
      <c r="O352" s="8" t="str">
        <f t="shared" si="1"/>
        <v>2620 S Lawndale Ave </v>
      </c>
      <c r="P352" s="12">
        <v>22.0</v>
      </c>
      <c r="Q352" s="13" t="s">
        <v>353</v>
      </c>
    </row>
    <row r="353">
      <c r="A353" s="7">
        <v>610040.0</v>
      </c>
      <c r="B353" s="12" t="s">
        <v>1149</v>
      </c>
      <c r="C353" s="18" t="s">
        <v>1150</v>
      </c>
      <c r="D353" s="19">
        <v>0.113</v>
      </c>
      <c r="E353" s="18" t="s">
        <v>80</v>
      </c>
      <c r="F353" s="18" t="s">
        <v>231</v>
      </c>
      <c r="G353" s="8" t="str">
        <f>VLOOKUP(F353, 'Network Chiefs'!A:B, 2, FALSE)
</f>
        <v>Jennifer Farrell‐Rottman</v>
      </c>
      <c r="H353" s="12">
        <v>62.0</v>
      </c>
      <c r="I353" s="13" t="s">
        <v>52</v>
      </c>
      <c r="J353" s="14" t="s">
        <v>232</v>
      </c>
      <c r="K353" s="14">
        <v>3.0</v>
      </c>
      <c r="L353" s="14" t="str">
        <f t="array" ref="L353">INDEX('School Rep'!$A$2:$A$21, MATCH(J353, 'School Rep'!$B$2:$B$21, 0))</f>
        <v>Carlos Rivas</v>
      </c>
      <c r="M353" s="12">
        <v>3.3</v>
      </c>
      <c r="N353" s="16" t="s">
        <v>1151</v>
      </c>
      <c r="O353" s="8" t="str">
        <f t="shared" si="1"/>
        <v>2103 N Lamon Ave </v>
      </c>
      <c r="P353" s="12">
        <v>26.0</v>
      </c>
      <c r="Q353" s="13" t="s">
        <v>378</v>
      </c>
    </row>
    <row r="354">
      <c r="A354" s="7">
        <v>400011.0</v>
      </c>
      <c r="B354" s="12" t="s">
        <v>1152</v>
      </c>
      <c r="C354" s="9" t="s">
        <v>1153</v>
      </c>
      <c r="D354" s="10">
        <v>0.04</v>
      </c>
      <c r="E354" s="11" t="s">
        <v>19</v>
      </c>
      <c r="F354" s="11" t="s">
        <v>19</v>
      </c>
      <c r="G354" s="8" t="str">
        <f>VLOOKUP(F354, 'Network Chiefs'!A:B, 2, FALSE)
</f>
        <v>#N/A</v>
      </c>
      <c r="H354" s="15"/>
      <c r="I354" s="8"/>
      <c r="J354" s="14" t="s">
        <v>217</v>
      </c>
      <c r="K354" s="14">
        <v>5.0</v>
      </c>
      <c r="L354" s="14" t="str">
        <f t="array" ref="L354">INDEX('School Rep'!$A$2:$A$21, MATCH(J354, 'School Rep'!$B$2:$B$21, 0))</f>
        <v>Michilla Blaise</v>
      </c>
      <c r="M354" s="12">
        <v>3.2</v>
      </c>
      <c r="N354" s="16" t="s">
        <v>1154</v>
      </c>
      <c r="O354" s="8" t="str">
        <f t="shared" si="1"/>
        <v>3141 W Jackson Blvd </v>
      </c>
      <c r="P354" s="12">
        <v>28.0</v>
      </c>
      <c r="Q354" s="13" t="s">
        <v>399</v>
      </c>
    </row>
    <row r="355">
      <c r="A355" s="7">
        <v>610041.0</v>
      </c>
      <c r="B355" s="13" t="s">
        <v>1155</v>
      </c>
      <c r="C355" s="18" t="s">
        <v>1156</v>
      </c>
      <c r="D355" s="19">
        <v>0.098</v>
      </c>
      <c r="E355" s="18" t="s">
        <v>80</v>
      </c>
      <c r="F355" s="18" t="s">
        <v>231</v>
      </c>
      <c r="G355" s="8" t="str">
        <f>VLOOKUP(F355, 'Network Chiefs'!A:B, 2, FALSE)
</f>
        <v>Jennifer Farrell‐Rottman</v>
      </c>
      <c r="H355" s="12">
        <v>68.0</v>
      </c>
      <c r="I355" s="13" t="s">
        <v>52</v>
      </c>
      <c r="J355" s="14" t="s">
        <v>222</v>
      </c>
      <c r="K355" s="14">
        <v>1.0</v>
      </c>
      <c r="L355" s="14" t="str">
        <f t="array" ref="L355">INDEX('School Rep'!$A$2:$A$21, MATCH(J355, 'School Rep'!$B$2:$B$21, 0))</f>
        <v>Jennifer Custer</v>
      </c>
      <c r="M355" s="12">
        <v>2.7</v>
      </c>
      <c r="N355" s="16" t="s">
        <v>1157</v>
      </c>
      <c r="O355" s="8" t="str">
        <f t="shared" si="1"/>
        <v>2828 N Oak Park Ave </v>
      </c>
      <c r="P355" s="12">
        <v>36.0</v>
      </c>
      <c r="Q355" s="13" t="s">
        <v>67</v>
      </c>
    </row>
    <row r="356">
      <c r="A356" s="7">
        <v>610074.0</v>
      </c>
      <c r="B356" s="8" t="s">
        <v>1158</v>
      </c>
      <c r="C356" s="15" t="s">
        <v>1158</v>
      </c>
      <c r="D356" s="24">
        <v>0.067</v>
      </c>
      <c r="E356" s="12" t="s">
        <v>80</v>
      </c>
      <c r="F356" s="12" t="s">
        <v>102</v>
      </c>
      <c r="G356" s="8" t="str">
        <f>VLOOKUP(F356, 'Network Chiefs'!A:B, 2, FALSE)
</f>
        <v>Jerry Travlos</v>
      </c>
      <c r="H356" s="12">
        <v>34.0</v>
      </c>
      <c r="I356" s="13" t="s">
        <v>41</v>
      </c>
      <c r="J356" s="15" t="s">
        <v>384</v>
      </c>
      <c r="K356" s="15" t="s">
        <v>384</v>
      </c>
      <c r="L356" s="15" t="s">
        <v>384</v>
      </c>
      <c r="M356" s="15" t="s">
        <v>384</v>
      </c>
      <c r="N356" s="16" t="s">
        <v>1159</v>
      </c>
      <c r="O356" s="8" t="str">
        <f t="shared" si="1"/>
        <v>3651 W Schubert Ave </v>
      </c>
      <c r="P356" s="12">
        <v>35.0</v>
      </c>
      <c r="Q356" s="13" t="s">
        <v>49</v>
      </c>
    </row>
    <row r="357">
      <c r="A357" s="7">
        <v>610541.0</v>
      </c>
      <c r="B357" s="12" t="s">
        <v>1160</v>
      </c>
      <c r="C357" s="17" t="s">
        <v>1161</v>
      </c>
      <c r="D357" s="10">
        <v>0.119</v>
      </c>
      <c r="E357" s="11" t="s">
        <v>80</v>
      </c>
      <c r="F357" s="11" t="s">
        <v>102</v>
      </c>
      <c r="G357" s="8" t="str">
        <f>VLOOKUP(F357, 'Network Chiefs'!A:B, 2, FALSE)
</f>
        <v>Jerry Travlos</v>
      </c>
      <c r="H357" s="12">
        <v>38.0</v>
      </c>
      <c r="I357" s="13" t="s">
        <v>41</v>
      </c>
      <c r="J357" s="14" t="s">
        <v>47</v>
      </c>
      <c r="K357" s="14">
        <v>3.0</v>
      </c>
      <c r="L357" s="14" t="str">
        <f t="array" ref="L357">INDEX('School Rep'!$A$2:$A$21, MATCH(J357, 'School Rep'!$B$2:$B$21, 0))</f>
        <v>Norma Rios-Sierra</v>
      </c>
      <c r="M357" s="12">
        <v>2.7</v>
      </c>
      <c r="N357" s="16" t="s">
        <v>1162</v>
      </c>
      <c r="O357" s="8" t="str">
        <f t="shared" si="1"/>
        <v>3231 N Springfield Ave </v>
      </c>
      <c r="P357" s="12">
        <v>30.0</v>
      </c>
      <c r="Q357" s="13" t="s">
        <v>346</v>
      </c>
    </row>
    <row r="358">
      <c r="A358" s="7">
        <v>610043.0</v>
      </c>
      <c r="B358" s="12" t="s">
        <v>1163</v>
      </c>
      <c r="C358" s="18" t="s">
        <v>1164</v>
      </c>
      <c r="D358" s="19">
        <v>0.164</v>
      </c>
      <c r="E358" s="18" t="s">
        <v>80</v>
      </c>
      <c r="F358" s="18" t="s">
        <v>231</v>
      </c>
      <c r="G358" s="8" t="str">
        <f>VLOOKUP(F358, 'Network Chiefs'!A:B, 2, FALSE)
</f>
        <v>Jennifer Farrell‐Rottman</v>
      </c>
      <c r="H358" s="12">
        <v>60.0</v>
      </c>
      <c r="I358" s="13" t="s">
        <v>52</v>
      </c>
      <c r="J358" s="14" t="s">
        <v>31</v>
      </c>
      <c r="K358" s="14">
        <v>5.0</v>
      </c>
      <c r="L358" s="14" t="str">
        <f t="array" ref="L358">INDEX('School Rep'!$A$2:$A$21, MATCH(J358, 'School Rep'!$B$2:$B$21, 0))</f>
        <v>Aaron "Jitu" Brown</v>
      </c>
      <c r="M358" s="12">
        <v>3.3</v>
      </c>
      <c r="N358" s="16" t="s">
        <v>1165</v>
      </c>
      <c r="O358" s="8" t="str">
        <f t="shared" si="1"/>
        <v>6333 W Bloomingdale Ave </v>
      </c>
      <c r="P358" s="12">
        <v>29.0</v>
      </c>
      <c r="Q358" s="13" t="s">
        <v>33</v>
      </c>
    </row>
    <row r="359">
      <c r="A359" s="7">
        <v>610044.0</v>
      </c>
      <c r="B359" s="12" t="s">
        <v>1166</v>
      </c>
      <c r="C359" s="9" t="s">
        <v>1167</v>
      </c>
      <c r="D359" s="10">
        <v>0.243</v>
      </c>
      <c r="E359" s="11" t="s">
        <v>80</v>
      </c>
      <c r="F359" s="11" t="s">
        <v>216</v>
      </c>
      <c r="G359" s="8" t="str">
        <f>VLOOKUP(F359, 'Network Chiefs'!A:B, 2, FALSE)
</f>
        <v>Shontae Higginbottom</v>
      </c>
      <c r="H359" s="12">
        <v>40.0</v>
      </c>
      <c r="I359" s="13" t="s">
        <v>20</v>
      </c>
      <c r="J359" s="14" t="s">
        <v>232</v>
      </c>
      <c r="K359" s="14">
        <v>3.0</v>
      </c>
      <c r="L359" s="14" t="str">
        <f t="array" ref="L359">INDEX('School Rep'!$A$2:$A$21, MATCH(J359, 'School Rep'!$B$2:$B$21, 0))</f>
        <v>Carlos Rivas</v>
      </c>
      <c r="M359" s="12">
        <v>3.8</v>
      </c>
      <c r="N359" s="16" t="s">
        <v>1168</v>
      </c>
      <c r="O359" s="8" t="str">
        <f t="shared" si="1"/>
        <v>3320 W Hirsch St </v>
      </c>
      <c r="P359" s="12">
        <v>26.0</v>
      </c>
      <c r="Q359" s="13" t="s">
        <v>378</v>
      </c>
    </row>
    <row r="360">
      <c r="A360" s="7">
        <v>610029.0</v>
      </c>
      <c r="B360" s="8" t="s">
        <v>1169</v>
      </c>
      <c r="C360" s="11" t="s">
        <v>1170</v>
      </c>
      <c r="D360" s="10">
        <v>0.259</v>
      </c>
      <c r="E360" s="11" t="s">
        <v>80</v>
      </c>
      <c r="F360" s="11" t="s">
        <v>301</v>
      </c>
      <c r="G360" s="8" t="str">
        <f>VLOOKUP(F360, 'Network Chiefs'!A:B, 2, FALSE)
</f>
        <v>Dr. Ethan Netterstrom</v>
      </c>
      <c r="H360" s="12">
        <v>68.0</v>
      </c>
      <c r="I360" s="13" t="s">
        <v>52</v>
      </c>
      <c r="J360" s="14" t="s">
        <v>462</v>
      </c>
      <c r="K360" s="14">
        <v>6.0</v>
      </c>
      <c r="L360" s="14" t="str">
        <f t="array" ref="L360">INDEX('School Rep'!$A$2:$A$21, MATCH(J360, 'School Rep'!$B$2:$B$21, 0))</f>
        <v>Anusha Thotakura</v>
      </c>
      <c r="M360" s="15">
        <v>2.8</v>
      </c>
      <c r="N360" s="16" t="s">
        <v>1171</v>
      </c>
      <c r="O360" s="8" t="str">
        <f t="shared" si="1"/>
        <v>1501 N Greenview Ave </v>
      </c>
      <c r="P360" s="12">
        <v>1.0</v>
      </c>
      <c r="Q360" s="13" t="s">
        <v>275</v>
      </c>
    </row>
    <row r="361">
      <c r="A361" s="7">
        <v>610046.0</v>
      </c>
      <c r="B361" s="13" t="s">
        <v>1172</v>
      </c>
      <c r="C361" s="18" t="s">
        <v>1173</v>
      </c>
      <c r="D361" s="19">
        <v>0.087</v>
      </c>
      <c r="E361" s="18" t="s">
        <v>80</v>
      </c>
      <c r="F361" s="18" t="s">
        <v>231</v>
      </c>
      <c r="G361" s="8" t="str">
        <f>VLOOKUP(F361, 'Network Chiefs'!A:B, 2, FALSE)
</f>
        <v>Jennifer Farrell‐Rottman</v>
      </c>
      <c r="H361" s="12">
        <v>46.0</v>
      </c>
      <c r="I361" s="13" t="s">
        <v>20</v>
      </c>
      <c r="J361" s="14" t="s">
        <v>222</v>
      </c>
      <c r="K361" s="14">
        <v>1.0</v>
      </c>
      <c r="L361" s="14" t="str">
        <f t="array" ref="L361">INDEX('School Rep'!$A$2:$A$21, MATCH(J361, 'School Rep'!$B$2:$B$21, 0))</f>
        <v>Jennifer Custer</v>
      </c>
      <c r="M361" s="12">
        <v>3.1</v>
      </c>
      <c r="N361" s="16" t="s">
        <v>1174</v>
      </c>
      <c r="O361" s="8" t="str">
        <f t="shared" si="1"/>
        <v>2941 N Mcvicker Ave </v>
      </c>
      <c r="P361" s="12">
        <v>30.0</v>
      </c>
      <c r="Q361" s="13" t="s">
        <v>346</v>
      </c>
    </row>
    <row r="362">
      <c r="A362" s="7">
        <v>610215.0</v>
      </c>
      <c r="B362" s="8" t="s">
        <v>1175</v>
      </c>
      <c r="C362" s="17" t="s">
        <v>1176</v>
      </c>
      <c r="D362" s="10">
        <v>0.039</v>
      </c>
      <c r="E362" s="11" t="s">
        <v>80</v>
      </c>
      <c r="F362" s="11" t="s">
        <v>529</v>
      </c>
      <c r="G362" s="8" t="str">
        <f>VLOOKUP(F362, 'Network Chiefs'!A:B, 2, FALSE)
</f>
        <v>Dr. Antonio Acevedo</v>
      </c>
      <c r="H362" s="12">
        <v>69.0</v>
      </c>
      <c r="I362" s="13" t="s">
        <v>52</v>
      </c>
      <c r="J362" s="14" t="s">
        <v>42</v>
      </c>
      <c r="K362" s="14">
        <v>7.0</v>
      </c>
      <c r="L362" s="14" t="str">
        <f t="array" ref="L362">INDEX('School Rep'!$A$2:$A$21, MATCH(J362, 'School Rep'!$B$2:$B$21, 0))</f>
        <v>Emma Lozano</v>
      </c>
      <c r="M362" s="15">
        <v>3.5</v>
      </c>
      <c r="N362" s="16" t="s">
        <v>1177</v>
      </c>
      <c r="O362" s="8" t="str">
        <f t="shared" si="1"/>
        <v>3202 W 28th St </v>
      </c>
      <c r="P362" s="12">
        <v>22.0</v>
      </c>
      <c r="Q362" s="13" t="s">
        <v>353</v>
      </c>
    </row>
    <row r="363">
      <c r="A363" s="7">
        <v>610047.0</v>
      </c>
      <c r="B363" s="13" t="s">
        <v>1178</v>
      </c>
      <c r="C363" s="18" t="s">
        <v>1179</v>
      </c>
      <c r="D363" s="19">
        <v>0.278</v>
      </c>
      <c r="E363" s="18" t="s">
        <v>80</v>
      </c>
      <c r="F363" s="18" t="s">
        <v>144</v>
      </c>
      <c r="G363" s="8" t="str">
        <f>VLOOKUP(F363, 'Network Chiefs'!A:B, 2, FALSE)
</f>
        <v>Shenethe Parks</v>
      </c>
      <c r="H363" s="12">
        <v>59.0</v>
      </c>
      <c r="I363" s="13" t="s">
        <v>20</v>
      </c>
      <c r="J363" s="14" t="s">
        <v>121</v>
      </c>
      <c r="K363" s="14">
        <v>10.0</v>
      </c>
      <c r="L363" s="14" t="str">
        <f t="array" ref="L363">INDEX('School Rep'!$A$2:$A$21, MATCH(J363, 'School Rep'!$B$2:$B$21, 0))</f>
        <v>Che "Rhymefest" Smith</v>
      </c>
      <c r="M363" s="12">
        <v>3.3</v>
      </c>
      <c r="N363" s="16" t="s">
        <v>1180</v>
      </c>
      <c r="O363" s="8" t="str">
        <f t="shared" si="1"/>
        <v>7433 S Dorchester Ave </v>
      </c>
      <c r="P363" s="12">
        <v>8.0</v>
      </c>
      <c r="Q363" s="13" t="s">
        <v>135</v>
      </c>
    </row>
    <row r="364">
      <c r="A364" s="7">
        <v>610048.0</v>
      </c>
      <c r="B364" s="8" t="s">
        <v>1181</v>
      </c>
      <c r="C364" s="18" t="s">
        <v>1182</v>
      </c>
      <c r="D364" s="19">
        <v>0.212</v>
      </c>
      <c r="E364" s="18" t="s">
        <v>80</v>
      </c>
      <c r="F364" s="18" t="s">
        <v>102</v>
      </c>
      <c r="G364" s="8" t="str">
        <f>VLOOKUP(F364, 'Network Chiefs'!A:B, 2, FALSE)
</f>
        <v>Jerry Travlos</v>
      </c>
      <c r="H364" s="12">
        <v>44.0</v>
      </c>
      <c r="I364" s="13" t="s">
        <v>20</v>
      </c>
      <c r="J364" s="14" t="s">
        <v>462</v>
      </c>
      <c r="K364" s="14">
        <v>6.0</v>
      </c>
      <c r="L364" s="14" t="str">
        <f t="array" ref="L364">INDEX('School Rep'!$A$2:$A$21, MATCH(J364, 'School Rep'!$B$2:$B$21, 0))</f>
        <v>Anusha Thotakura</v>
      </c>
      <c r="M364" s="15">
        <v>2.6</v>
      </c>
      <c r="N364" s="16" t="s">
        <v>1183</v>
      </c>
      <c r="O364" s="8" t="str">
        <f t="shared" si="1"/>
        <v>1420 N Hudson Ave </v>
      </c>
      <c r="P364" s="12">
        <v>27.0</v>
      </c>
      <c r="Q364" s="13" t="s">
        <v>219</v>
      </c>
    </row>
    <row r="365">
      <c r="A365" s="7">
        <v>609722.0</v>
      </c>
      <c r="B365" s="12" t="s">
        <v>1184</v>
      </c>
      <c r="C365" s="18" t="s">
        <v>1185</v>
      </c>
      <c r="D365" s="19">
        <v>0.52</v>
      </c>
      <c r="E365" s="18" t="s">
        <v>80</v>
      </c>
      <c r="F365" s="18" t="s">
        <v>108</v>
      </c>
      <c r="G365" s="8" t="str">
        <f>VLOOKUP(F365, 'Network Chiefs'!A:B, 2, FALSE)
</f>
        <v>Michael Boraz</v>
      </c>
      <c r="H365" s="15"/>
      <c r="I365" s="8"/>
      <c r="J365" s="14" t="s">
        <v>217</v>
      </c>
      <c r="K365" s="14">
        <v>5.0</v>
      </c>
      <c r="L365" s="14" t="str">
        <f t="array" ref="L365">INDEX('School Rep'!$A$2:$A$21, MATCH(J365, 'School Rep'!$B$2:$B$21, 0))</f>
        <v>Michilla Blaise</v>
      </c>
      <c r="M365" s="12">
        <v>3.9</v>
      </c>
      <c r="N365" s="16" t="s">
        <v>1186</v>
      </c>
      <c r="O365" s="8" t="str">
        <f t="shared" si="1"/>
        <v>2935 W Polk St </v>
      </c>
      <c r="P365" s="12">
        <v>28.0</v>
      </c>
      <c r="Q365" s="13" t="s">
        <v>399</v>
      </c>
    </row>
    <row r="366">
      <c r="A366" s="7">
        <v>610052.0</v>
      </c>
      <c r="B366" s="13" t="s">
        <v>1187</v>
      </c>
      <c r="C366" s="18" t="s">
        <v>1188</v>
      </c>
      <c r="D366" s="19">
        <v>0.182</v>
      </c>
      <c r="E366" s="18" t="s">
        <v>80</v>
      </c>
      <c r="F366" s="18" t="s">
        <v>144</v>
      </c>
      <c r="G366" s="8" t="str">
        <f>VLOOKUP(F366, 'Network Chiefs'!A:B, 2, FALSE)
</f>
        <v>Shenethe Parks</v>
      </c>
      <c r="H366" s="12">
        <v>51.0</v>
      </c>
      <c r="I366" s="13" t="s">
        <v>20</v>
      </c>
      <c r="J366" s="14" t="s">
        <v>82</v>
      </c>
      <c r="K366" s="14">
        <v>10.0</v>
      </c>
      <c r="L366" s="14" t="str">
        <f t="array" ref="L366">INDEX('School Rep'!$A$2:$A$21, MATCH(J366, 'School Rep'!$B$2:$B$21, 0))</f>
        <v>Olga Bautista</v>
      </c>
      <c r="M366" s="12">
        <v>3.5</v>
      </c>
      <c r="N366" s="16" t="s">
        <v>1189</v>
      </c>
      <c r="O366" s="8" t="str">
        <f t="shared" si="1"/>
        <v>8050 S Chappel Ave </v>
      </c>
      <c r="P366" s="12">
        <v>8.0</v>
      </c>
      <c r="Q366" s="13" t="s">
        <v>135</v>
      </c>
    </row>
    <row r="367">
      <c r="A367" s="7">
        <v>609780.0</v>
      </c>
      <c r="B367" s="12" t="s">
        <v>1190</v>
      </c>
      <c r="C367" s="9" t="s">
        <v>1191</v>
      </c>
      <c r="D367" s="10">
        <v>0.053</v>
      </c>
      <c r="E367" s="11" t="s">
        <v>80</v>
      </c>
      <c r="F367" s="11" t="s">
        <v>116</v>
      </c>
      <c r="G367" s="8" t="str">
        <f>VLOOKUP(F367, 'Network Chiefs'!A:B, 2, FALSE)
</f>
        <v>Dr. Laura LeMone</v>
      </c>
      <c r="H367" s="15"/>
      <c r="I367" s="8"/>
      <c r="J367" s="14" t="s">
        <v>232</v>
      </c>
      <c r="K367" s="14">
        <v>3.0</v>
      </c>
      <c r="L367" s="14" t="str">
        <f t="array" ref="L367">INDEX('School Rep'!$A$2:$A$21, MATCH(J367, 'School Rep'!$B$2:$B$21, 0))</f>
        <v>Carlos Rivas</v>
      </c>
      <c r="M367" s="12">
        <v>2.8</v>
      </c>
      <c r="N367" s="16" t="s">
        <v>1192</v>
      </c>
      <c r="O367" s="8" t="str">
        <f t="shared" si="1"/>
        <v>1920 N Hamlin Ave </v>
      </c>
      <c r="P367" s="12">
        <v>26.0</v>
      </c>
      <c r="Q367" s="13" t="s">
        <v>378</v>
      </c>
    </row>
    <row r="368">
      <c r="A368" s="7">
        <v>610053.0</v>
      </c>
      <c r="B368" s="8" t="s">
        <v>1193</v>
      </c>
      <c r="C368" s="17" t="s">
        <v>1194</v>
      </c>
      <c r="D368" s="10">
        <v>0.118</v>
      </c>
      <c r="E368" s="11" t="s">
        <v>80</v>
      </c>
      <c r="F368" s="11" t="s">
        <v>138</v>
      </c>
      <c r="G368" s="8" t="str">
        <f>VLOOKUP(F368, 'Network Chiefs'!A:B, 2, FALSE)
</f>
        <v>Mira Weber</v>
      </c>
      <c r="H368" s="12">
        <v>61.0</v>
      </c>
      <c r="I368" s="13" t="s">
        <v>52</v>
      </c>
      <c r="J368" s="14" t="s">
        <v>26</v>
      </c>
      <c r="K368" s="14">
        <v>8.0</v>
      </c>
      <c r="L368" s="14" t="str">
        <f t="array" ref="L368">INDEX('School Rep'!$A$2:$A$21, MATCH(J368, 'School Rep'!$B$2:$B$21, 0))</f>
        <v>Cydney Wallace</v>
      </c>
      <c r="M368" s="15">
        <v>3.4</v>
      </c>
      <c r="N368" s="16" t="s">
        <v>1195</v>
      </c>
      <c r="O368" s="8" t="str">
        <f t="shared" si="1"/>
        <v>6550 S Richmond St </v>
      </c>
      <c r="P368" s="12">
        <v>15.0</v>
      </c>
      <c r="Q368" s="13" t="s">
        <v>364</v>
      </c>
    </row>
    <row r="369">
      <c r="A369" s="7">
        <v>610054.0</v>
      </c>
      <c r="B369" s="13" t="s">
        <v>1196</v>
      </c>
      <c r="C369" s="18" t="s">
        <v>1197</v>
      </c>
      <c r="D369" s="19">
        <v>0.069</v>
      </c>
      <c r="E369" s="18" t="s">
        <v>80</v>
      </c>
      <c r="F369" s="18" t="s">
        <v>81</v>
      </c>
      <c r="G369" s="8" t="str">
        <f>VLOOKUP(F369, 'Network Chiefs'!A:B, 2, FALSE)
</f>
        <v>Dr. Terrycita D. Perry</v>
      </c>
      <c r="H369" s="12">
        <v>35.0</v>
      </c>
      <c r="I369" s="13" t="s">
        <v>41</v>
      </c>
      <c r="J369" s="14" t="s">
        <v>82</v>
      </c>
      <c r="K369" s="14">
        <v>10.0</v>
      </c>
      <c r="L369" s="14" t="str">
        <f t="array" ref="L369">INDEX('School Rep'!$A$2:$A$21, MATCH(J369, 'School Rep'!$B$2:$B$21, 0))</f>
        <v>Olga Bautista</v>
      </c>
      <c r="M369" s="12">
        <v>3.2</v>
      </c>
      <c r="N369" s="16" t="s">
        <v>1198</v>
      </c>
      <c r="O369" s="8" t="str">
        <f t="shared" si="1"/>
        <v>9822 S Exchange Ave </v>
      </c>
      <c r="P369" s="12">
        <v>10.0</v>
      </c>
      <c r="Q369" s="13" t="s">
        <v>84</v>
      </c>
    </row>
    <row r="370">
      <c r="A370" s="7">
        <v>609723.0</v>
      </c>
      <c r="B370" s="12" t="s">
        <v>1199</v>
      </c>
      <c r="C370" s="9" t="s">
        <v>1200</v>
      </c>
      <c r="D370" s="10">
        <v>0.286</v>
      </c>
      <c r="E370" s="11" t="s">
        <v>80</v>
      </c>
      <c r="F370" s="11" t="s">
        <v>108</v>
      </c>
      <c r="G370" s="8" t="str">
        <f>VLOOKUP(F370, 'Network Chiefs'!A:B, 2, FALSE)
</f>
        <v>Michael Boraz</v>
      </c>
      <c r="H370" s="12">
        <v>70.0</v>
      </c>
      <c r="I370" s="13" t="s">
        <v>52</v>
      </c>
      <c r="J370" s="14" t="s">
        <v>217</v>
      </c>
      <c r="K370" s="14">
        <v>5.0</v>
      </c>
      <c r="L370" s="14" t="str">
        <f t="array" ref="L370">INDEX('School Rep'!$A$2:$A$21, MATCH(J370, 'School Rep'!$B$2:$B$21, 0))</f>
        <v>Michilla Blaise</v>
      </c>
      <c r="M370" s="12">
        <v>3.3</v>
      </c>
      <c r="N370" s="16" t="s">
        <v>1201</v>
      </c>
      <c r="O370" s="8" t="str">
        <f t="shared" si="1"/>
        <v>3250 W Adams St </v>
      </c>
      <c r="P370" s="12">
        <v>28.0</v>
      </c>
      <c r="Q370" s="13" t="s">
        <v>399</v>
      </c>
    </row>
    <row r="371">
      <c r="A371" s="7">
        <v>610056.0</v>
      </c>
      <c r="B371" s="8" t="s">
        <v>1202</v>
      </c>
      <c r="C371" s="17" t="s">
        <v>1203</v>
      </c>
      <c r="D371" s="10">
        <v>0.223</v>
      </c>
      <c r="E371" s="11" t="s">
        <v>80</v>
      </c>
      <c r="F371" s="11" t="s">
        <v>529</v>
      </c>
      <c r="G371" s="8" t="str">
        <f>VLOOKUP(F371, 'Network Chiefs'!A:B, 2, FALSE)
</f>
        <v>Dr. Antonio Acevedo</v>
      </c>
      <c r="H371" s="12">
        <v>62.0</v>
      </c>
      <c r="I371" s="13" t="s">
        <v>52</v>
      </c>
      <c r="J371" s="14" t="s">
        <v>217</v>
      </c>
      <c r="K371" s="14">
        <v>5.0</v>
      </c>
      <c r="L371" s="14" t="str">
        <f t="array" ref="L371">INDEX('School Rep'!$A$2:$A$21, MATCH(J371, 'School Rep'!$B$2:$B$21, 0))</f>
        <v>Michilla Blaise</v>
      </c>
      <c r="M371" s="15">
        <v>3.9</v>
      </c>
      <c r="N371" s="16" t="s">
        <v>1204</v>
      </c>
      <c r="O371" s="8" t="str">
        <f t="shared" si="1"/>
        <v>4217 W 18th St </v>
      </c>
      <c r="P371" s="12">
        <v>24.0</v>
      </c>
      <c r="Q371" s="13" t="s">
        <v>517</v>
      </c>
    </row>
    <row r="372">
      <c r="A372" s="7">
        <v>609724.0</v>
      </c>
      <c r="B372" s="13" t="s">
        <v>1205</v>
      </c>
      <c r="C372" s="17" t="s">
        <v>1206</v>
      </c>
      <c r="D372" s="10">
        <v>0.127</v>
      </c>
      <c r="E372" s="11" t="s">
        <v>80</v>
      </c>
      <c r="F372" s="11" t="s">
        <v>116</v>
      </c>
      <c r="G372" s="8" t="str">
        <f>VLOOKUP(F372, 'Network Chiefs'!A:B, 2, FALSE)
</f>
        <v>Dr. Laura LeMone</v>
      </c>
      <c r="H372" s="12">
        <v>45.0</v>
      </c>
      <c r="I372" s="13" t="s">
        <v>20</v>
      </c>
      <c r="J372" s="14" t="s">
        <v>36</v>
      </c>
      <c r="K372" s="14">
        <v>2.0</v>
      </c>
      <c r="L372" s="14" t="str">
        <f t="array" ref="L372">INDEX('School Rep'!$A$2:$A$21, MATCH(J372, 'School Rep'!$B$2:$B$21, 0))</f>
        <v>Ebony DeBerry</v>
      </c>
      <c r="M372" s="12">
        <v>2.8</v>
      </c>
      <c r="N372" s="16" t="s">
        <v>1207</v>
      </c>
      <c r="O372" s="8" t="str">
        <f t="shared" si="1"/>
        <v>5835 N Lincoln Ave </v>
      </c>
      <c r="P372" s="12">
        <v>40.0</v>
      </c>
      <c r="Q372" s="13" t="s">
        <v>89</v>
      </c>
    </row>
    <row r="373">
      <c r="A373" s="7">
        <v>610059.0</v>
      </c>
      <c r="B373" s="12" t="s">
        <v>1208</v>
      </c>
      <c r="C373" s="18" t="s">
        <v>1209</v>
      </c>
      <c r="D373" s="19">
        <v>0.039</v>
      </c>
      <c r="E373" s="18" t="s">
        <v>80</v>
      </c>
      <c r="F373" s="18" t="s">
        <v>102</v>
      </c>
      <c r="G373" s="8" t="str">
        <f>VLOOKUP(F373, 'Network Chiefs'!A:B, 2, FALSE)
</f>
        <v>Jerry Travlos</v>
      </c>
      <c r="H373" s="12">
        <v>46.0</v>
      </c>
      <c r="I373" s="13" t="s">
        <v>20</v>
      </c>
      <c r="J373" s="14" t="s">
        <v>103</v>
      </c>
      <c r="K373" s="14">
        <v>4.0</v>
      </c>
      <c r="L373" s="14" t="str">
        <f t="array" ref="L373">INDEX('School Rep'!$A$2:$A$21, MATCH(J373, 'School Rep'!$B$2:$B$21, 0))</f>
        <v>Ellen Rosenfeld</v>
      </c>
      <c r="M373" s="12">
        <v>1.7</v>
      </c>
      <c r="N373" s="16" t="s">
        <v>1210</v>
      </c>
      <c r="O373" s="8" t="str">
        <f t="shared" si="1"/>
        <v>2250 N Clifton Ave </v>
      </c>
      <c r="P373" s="12">
        <v>43.0</v>
      </c>
      <c r="Q373" s="13" t="s">
        <v>105</v>
      </c>
    </row>
    <row r="374">
      <c r="A374" s="7">
        <v>610290.0</v>
      </c>
      <c r="B374" s="8" t="s">
        <v>1211</v>
      </c>
      <c r="C374" s="18" t="s">
        <v>1212</v>
      </c>
      <c r="D374" s="19">
        <v>0.209</v>
      </c>
      <c r="E374" s="18" t="s">
        <v>80</v>
      </c>
      <c r="F374" s="18" t="s">
        <v>186</v>
      </c>
      <c r="G374" s="8" t="str">
        <f>VLOOKUP(F374, 'Network Chiefs'!A:B, 2, FALSE)
</f>
        <v>Latasha Geverola</v>
      </c>
      <c r="H374" s="15"/>
      <c r="I374" s="8"/>
      <c r="J374" s="14" t="s">
        <v>187</v>
      </c>
      <c r="K374" s="14">
        <v>9.0</v>
      </c>
      <c r="L374" s="14" t="str">
        <f t="array" ref="L374">INDEX('School Rep'!$A$2:$A$21, MATCH(J374, 'School Rep'!$B$2:$B$21, 0))</f>
        <v>Frank Niles Thomas</v>
      </c>
      <c r="M374" s="15">
        <v>3.8</v>
      </c>
      <c r="N374" s="16" t="s">
        <v>1213</v>
      </c>
      <c r="O374" s="8" t="str">
        <f t="shared" si="1"/>
        <v>6656 S Normal Blvd </v>
      </c>
      <c r="P374" s="12">
        <v>6.0</v>
      </c>
      <c r="Q374" s="13" t="s">
        <v>306</v>
      </c>
    </row>
    <row r="375">
      <c r="A375" s="7">
        <v>609968.0</v>
      </c>
      <c r="B375" s="12" t="s">
        <v>1214</v>
      </c>
      <c r="C375" s="9" t="s">
        <v>1215</v>
      </c>
      <c r="D375" s="10">
        <v>0.082</v>
      </c>
      <c r="E375" s="11" t="s">
        <v>80</v>
      </c>
      <c r="F375" s="11" t="s">
        <v>102</v>
      </c>
      <c r="G375" s="8" t="str">
        <f>VLOOKUP(F375, 'Network Chiefs'!A:B, 2, FALSE)
</f>
        <v>Jerry Travlos</v>
      </c>
      <c r="H375" s="12">
        <v>41.0</v>
      </c>
      <c r="I375" s="13" t="s">
        <v>20</v>
      </c>
      <c r="J375" s="14" t="s">
        <v>232</v>
      </c>
      <c r="K375" s="14">
        <v>3.0</v>
      </c>
      <c r="L375" s="14" t="str">
        <f t="array" ref="L375">INDEX('School Rep'!$A$2:$A$21, MATCH(J375, 'School Rep'!$B$2:$B$21, 0))</f>
        <v>Carlos Rivas</v>
      </c>
      <c r="M375" s="12">
        <v>3.2</v>
      </c>
      <c r="N375" s="16" t="s">
        <v>1216</v>
      </c>
      <c r="O375" s="8" t="str">
        <f t="shared" si="1"/>
        <v>1841 N Springfield Ave </v>
      </c>
      <c r="P375" s="12">
        <v>26.0</v>
      </c>
      <c r="Q375" s="13" t="s">
        <v>378</v>
      </c>
    </row>
    <row r="376">
      <c r="A376" s="7">
        <v>610063.0</v>
      </c>
      <c r="B376" s="8" t="s">
        <v>1217</v>
      </c>
      <c r="C376" s="18" t="s">
        <v>1218</v>
      </c>
      <c r="D376" s="19">
        <v>0.077</v>
      </c>
      <c r="E376" s="18" t="s">
        <v>80</v>
      </c>
      <c r="F376" s="18" t="s">
        <v>529</v>
      </c>
      <c r="G376" s="8" t="str">
        <f>VLOOKUP(F376, 'Network Chiefs'!A:B, 2, FALSE)
</f>
        <v>Dr. Antonio Acevedo</v>
      </c>
      <c r="H376" s="12">
        <v>57.0</v>
      </c>
      <c r="I376" s="13" t="s">
        <v>20</v>
      </c>
      <c r="J376" s="14" t="s">
        <v>42</v>
      </c>
      <c r="K376" s="14">
        <v>7.0</v>
      </c>
      <c r="L376" s="14" t="str">
        <f t="array" ref="L376">INDEX('School Rep'!$A$2:$A$21, MATCH(J376, 'School Rep'!$B$2:$B$21, 0))</f>
        <v>Emma Lozano</v>
      </c>
      <c r="M376" s="15">
        <v>3.8</v>
      </c>
      <c r="N376" s="16" t="s">
        <v>1219</v>
      </c>
      <c r="O376" s="8" t="str">
        <f t="shared" si="1"/>
        <v>2712 S Sawyer Ave </v>
      </c>
      <c r="P376" s="12">
        <v>22.0</v>
      </c>
      <c r="Q376" s="13" t="s">
        <v>353</v>
      </c>
    </row>
    <row r="377">
      <c r="A377" s="7">
        <v>610269.0</v>
      </c>
      <c r="B377" s="12" t="s">
        <v>1220</v>
      </c>
      <c r="C377" s="18" t="s">
        <v>1221</v>
      </c>
      <c r="D377" s="19">
        <v>0.281</v>
      </c>
      <c r="E377" s="18" t="s">
        <v>80</v>
      </c>
      <c r="F377" s="18" t="s">
        <v>270</v>
      </c>
      <c r="G377" s="8" t="str">
        <f>VLOOKUP(F377, 'Network Chiefs'!A:B, 2, FALSE)
</f>
        <v>Marilou Rebolledo</v>
      </c>
      <c r="H377" s="12">
        <v>66.0</v>
      </c>
      <c r="I377" s="13" t="s">
        <v>52</v>
      </c>
      <c r="J377" s="14" t="s">
        <v>243</v>
      </c>
      <c r="K377" s="14">
        <v>4.0</v>
      </c>
      <c r="L377" s="14" t="str">
        <f t="array" ref="L377">INDEX('School Rep'!$A$2:$A$21, MATCH(J377, 'School Rep'!$B$2:$B$21, 0))</f>
        <v>Karen Zaccor</v>
      </c>
      <c r="M377" s="12">
        <v>2.7</v>
      </c>
      <c r="N377" s="16" t="s">
        <v>1222</v>
      </c>
      <c r="O377" s="8" t="str">
        <f t="shared" si="1"/>
        <v>4865 N Sheridan Rd </v>
      </c>
      <c r="P377" s="12">
        <v>46.0</v>
      </c>
      <c r="Q377" s="13" t="s">
        <v>245</v>
      </c>
    </row>
    <row r="378">
      <c r="A378" s="7">
        <v>610066.0</v>
      </c>
      <c r="B378" s="13" t="s">
        <v>1223</v>
      </c>
      <c r="C378" s="18" t="s">
        <v>1224</v>
      </c>
      <c r="D378" s="19">
        <v>0.0</v>
      </c>
      <c r="E378" s="18" t="s">
        <v>80</v>
      </c>
      <c r="F378" s="18" t="s">
        <v>144</v>
      </c>
      <c r="G378" s="8" t="str">
        <f>VLOOKUP(F378, 'Network Chiefs'!A:B, 2, FALSE)
</f>
        <v>Shenethe Parks</v>
      </c>
      <c r="H378" s="12">
        <v>67.0</v>
      </c>
      <c r="I378" s="13" t="s">
        <v>52</v>
      </c>
      <c r="J378" s="14" t="s">
        <v>82</v>
      </c>
      <c r="K378" s="14">
        <v>10.0</v>
      </c>
      <c r="L378" s="14" t="str">
        <f t="array" ref="L378">INDEX('School Rep'!$A$2:$A$21, MATCH(J378, 'School Rep'!$B$2:$B$21, 0))</f>
        <v>Olga Bautista</v>
      </c>
      <c r="M378" s="12">
        <v>2.3</v>
      </c>
      <c r="N378" s="16" t="s">
        <v>1225</v>
      </c>
      <c r="O378" s="8" t="str">
        <f t="shared" si="1"/>
        <v>8801 S Indiana Ave </v>
      </c>
      <c r="P378" s="12">
        <v>6.0</v>
      </c>
      <c r="Q378" s="13" t="s">
        <v>306</v>
      </c>
    </row>
    <row r="379">
      <c r="A379" s="7">
        <v>610312.0</v>
      </c>
      <c r="B379" s="13" t="s">
        <v>1226</v>
      </c>
      <c r="C379" s="17" t="s">
        <v>1227</v>
      </c>
      <c r="D379" s="10">
        <v>0.0</v>
      </c>
      <c r="E379" s="11" t="s">
        <v>80</v>
      </c>
      <c r="F379" s="11" t="s">
        <v>126</v>
      </c>
      <c r="G379" s="8" t="str">
        <f>VLOOKUP(F379, 'Network Chiefs'!A:B, 2, FALSE)
</f>
        <v>#N/A</v>
      </c>
      <c r="H379" s="12">
        <v>65.0</v>
      </c>
      <c r="I379" s="13" t="s">
        <v>52</v>
      </c>
      <c r="J379" s="14" t="s">
        <v>82</v>
      </c>
      <c r="K379" s="14">
        <v>10.0</v>
      </c>
      <c r="L379" s="14" t="str">
        <f t="array" ref="L379">INDEX('School Rep'!$A$2:$A$21, MATCH(J379, 'School Rep'!$B$2:$B$21, 0))</f>
        <v>Olga Bautista</v>
      </c>
      <c r="M379" s="12">
        <v>3.3</v>
      </c>
      <c r="N379" s="16" t="s">
        <v>1228</v>
      </c>
      <c r="O379" s="8" t="str">
        <f t="shared" si="1"/>
        <v>1419 E 89th St </v>
      </c>
      <c r="P379" s="12">
        <v>8.0</v>
      </c>
      <c r="Q379" s="13" t="s">
        <v>135</v>
      </c>
    </row>
    <row r="380">
      <c r="A380" s="7">
        <v>610067.0</v>
      </c>
      <c r="B380" s="8" t="s">
        <v>1229</v>
      </c>
      <c r="C380" s="18" t="s">
        <v>1230</v>
      </c>
      <c r="D380" s="19">
        <v>0.2</v>
      </c>
      <c r="E380" s="18" t="s">
        <v>80</v>
      </c>
      <c r="F380" s="18" t="s">
        <v>138</v>
      </c>
      <c r="G380" s="8" t="str">
        <f>VLOOKUP(F380, 'Network Chiefs'!A:B, 2, FALSE)
</f>
        <v>Mira Weber</v>
      </c>
      <c r="H380" s="12">
        <v>49.0</v>
      </c>
      <c r="I380" s="13" t="s">
        <v>20</v>
      </c>
      <c r="J380" s="14" t="s">
        <v>139</v>
      </c>
      <c r="K380" s="14">
        <v>8.0</v>
      </c>
      <c r="L380" s="14" t="str">
        <f t="array" ref="L380">INDEX('School Rep'!$A$2:$A$21, MATCH(J380, 'School Rep'!$B$2:$B$21, 0))</f>
        <v>Angel Gutierrez</v>
      </c>
      <c r="M380" s="15">
        <v>3.4</v>
      </c>
      <c r="N380" s="16" t="s">
        <v>1231</v>
      </c>
      <c r="O380" s="8" t="str">
        <f t="shared" si="1"/>
        <v>6901 S Fairfield Ave </v>
      </c>
      <c r="P380" s="12">
        <v>17.0</v>
      </c>
      <c r="Q380" s="13" t="s">
        <v>189</v>
      </c>
    </row>
    <row r="381">
      <c r="A381" s="7">
        <v>610282.0</v>
      </c>
      <c r="B381" s="12" t="s">
        <v>1232</v>
      </c>
      <c r="C381" s="9" t="s">
        <v>1233</v>
      </c>
      <c r="D381" s="10">
        <v>0.148</v>
      </c>
      <c r="E381" s="11" t="s">
        <v>80</v>
      </c>
      <c r="F381" s="11" t="s">
        <v>231</v>
      </c>
      <c r="G381" s="8" t="str">
        <f>VLOOKUP(F381, 'Network Chiefs'!A:B, 2, FALSE)
</f>
        <v>Jennifer Farrell‐Rottman</v>
      </c>
      <c r="H381" s="12">
        <v>66.0</v>
      </c>
      <c r="I381" s="13" t="s">
        <v>52</v>
      </c>
      <c r="J381" s="14" t="s">
        <v>31</v>
      </c>
      <c r="K381" s="14">
        <v>5.0</v>
      </c>
      <c r="L381" s="14" t="str">
        <f t="array" ref="L381">INDEX('School Rep'!$A$2:$A$21, MATCH(J381, 'School Rep'!$B$2:$B$21, 0))</f>
        <v>Aaron "Jitu" Brown</v>
      </c>
      <c r="M381" s="12">
        <v>3.7</v>
      </c>
      <c r="N381" s="16" t="s">
        <v>1234</v>
      </c>
      <c r="O381" s="8" t="str">
        <f t="shared" si="1"/>
        <v>4820 W Walton St </v>
      </c>
      <c r="P381" s="12">
        <v>37.0</v>
      </c>
      <c r="Q381" s="13" t="s">
        <v>162</v>
      </c>
    </row>
    <row r="382">
      <c r="A382" s="7">
        <v>610070.0</v>
      </c>
      <c r="B382" s="13" t="s">
        <v>1235</v>
      </c>
      <c r="C382" s="9" t="s">
        <v>1236</v>
      </c>
      <c r="D382" s="10">
        <v>0.072</v>
      </c>
      <c r="E382" s="11" t="s">
        <v>80</v>
      </c>
      <c r="F382" s="11" t="s">
        <v>270</v>
      </c>
      <c r="G382" s="8" t="str">
        <f>VLOOKUP(F382, 'Network Chiefs'!A:B, 2, FALSE)
</f>
        <v>Marilou Rebolledo</v>
      </c>
      <c r="H382" s="12">
        <v>42.0</v>
      </c>
      <c r="I382" s="13" t="s">
        <v>20</v>
      </c>
      <c r="J382" s="14" t="s">
        <v>87</v>
      </c>
      <c r="K382" s="14">
        <v>2.0</v>
      </c>
      <c r="L382" s="14" t="str">
        <f t="array" ref="L382">INDEX('School Rep'!$A$2:$A$21, MATCH(J382, 'School Rep'!$B$2:$B$21, 0))</f>
        <v>Debby Pope</v>
      </c>
      <c r="M382" s="12">
        <v>2.2</v>
      </c>
      <c r="N382" s="16" t="s">
        <v>1237</v>
      </c>
      <c r="O382" s="8" t="str">
        <f t="shared" si="1"/>
        <v>4728 N Wolcott Ave </v>
      </c>
      <c r="P382" s="12">
        <v>47.0</v>
      </c>
      <c r="Q382" s="13" t="s">
        <v>228</v>
      </c>
    </row>
    <row r="383">
      <c r="A383" s="7">
        <v>610293.0</v>
      </c>
      <c r="B383" s="8" t="s">
        <v>1238</v>
      </c>
      <c r="C383" s="18" t="s">
        <v>1239</v>
      </c>
      <c r="D383" s="19">
        <v>0.145</v>
      </c>
      <c r="E383" s="18" t="s">
        <v>80</v>
      </c>
      <c r="F383" s="18" t="s">
        <v>216</v>
      </c>
      <c r="G383" s="8" t="str">
        <f>VLOOKUP(F383, 'Network Chiefs'!A:B, 2, FALSE)
</f>
        <v>Shontae Higginbottom</v>
      </c>
      <c r="H383" s="12">
        <v>60.0</v>
      </c>
      <c r="I383" s="13" t="s">
        <v>52</v>
      </c>
      <c r="J383" s="14" t="s">
        <v>217</v>
      </c>
      <c r="K383" s="14">
        <v>5.0</v>
      </c>
      <c r="L383" s="14" t="str">
        <f t="array" ref="L383">INDEX('School Rep'!$A$2:$A$21, MATCH(J383, 'School Rep'!$B$2:$B$21, 0))</f>
        <v>Michilla Blaise</v>
      </c>
      <c r="M383" s="15">
        <v>3.3</v>
      </c>
      <c r="N383" s="16" t="s">
        <v>1240</v>
      </c>
      <c r="O383" s="8" t="str">
        <f t="shared" si="1"/>
        <v>3937 W Wilcox St </v>
      </c>
      <c r="P383" s="12">
        <v>28.0</v>
      </c>
      <c r="Q383" s="13" t="s">
        <v>399</v>
      </c>
    </row>
    <row r="384">
      <c r="A384" s="7">
        <v>609902.0</v>
      </c>
      <c r="B384" s="8" t="s">
        <v>1241</v>
      </c>
      <c r="C384" s="18" t="s">
        <v>1242</v>
      </c>
      <c r="D384" s="19">
        <v>0.191</v>
      </c>
      <c r="E384" s="18" t="s">
        <v>80</v>
      </c>
      <c r="F384" s="18" t="s">
        <v>81</v>
      </c>
      <c r="G384" s="8" t="str">
        <f>VLOOKUP(F384, 'Network Chiefs'!A:B, 2, FALSE)
</f>
        <v>Dr. Terrycita D. Perry</v>
      </c>
      <c r="H384" s="12">
        <v>55.0</v>
      </c>
      <c r="I384" s="13" t="s">
        <v>20</v>
      </c>
      <c r="J384" s="14" t="s">
        <v>178</v>
      </c>
      <c r="K384" s="14">
        <v>9.0</v>
      </c>
      <c r="L384" s="14" t="str">
        <f t="array" ref="L384">INDEX('School Rep'!$A$2:$A$21, MATCH(J384, 'School Rep'!$B$2:$B$21, 0))</f>
        <v>Therese Boyle</v>
      </c>
      <c r="M384" s="15">
        <v>3.6</v>
      </c>
      <c r="N384" s="16" t="s">
        <v>1243</v>
      </c>
      <c r="O384" s="8" t="str">
        <f t="shared" si="1"/>
        <v>12339 S Normal Ave </v>
      </c>
      <c r="P384" s="12">
        <v>9.0</v>
      </c>
      <c r="Q384" s="13" t="s">
        <v>237</v>
      </c>
    </row>
    <row r="385">
      <c r="A385" s="7">
        <v>610062.0</v>
      </c>
      <c r="B385" s="8" t="s">
        <v>1244</v>
      </c>
      <c r="C385" s="20" t="s">
        <v>1245</v>
      </c>
      <c r="D385" s="21">
        <v>0.09</v>
      </c>
      <c r="E385" s="20" t="s">
        <v>80</v>
      </c>
      <c r="F385" s="20" t="s">
        <v>301</v>
      </c>
      <c r="G385" s="8" t="str">
        <f>VLOOKUP(F385, 'Network Chiefs'!A:B, 2, FALSE)
</f>
        <v>Dr. Ethan Netterstrom</v>
      </c>
      <c r="H385" s="12">
        <v>48.0</v>
      </c>
      <c r="I385" s="13" t="s">
        <v>20</v>
      </c>
      <c r="J385" s="15" t="s">
        <v>384</v>
      </c>
      <c r="K385" s="15" t="s">
        <v>384</v>
      </c>
      <c r="L385" s="15" t="s">
        <v>384</v>
      </c>
      <c r="M385" s="12">
        <v>3.3</v>
      </c>
      <c r="N385" s="16" t="s">
        <v>1246</v>
      </c>
      <c r="O385" s="8" t="str">
        <f t="shared" si="1"/>
        <v>3527 S Wallace St </v>
      </c>
      <c r="P385" s="12">
        <v>11.0</v>
      </c>
      <c r="Q385" s="13" t="s">
        <v>94</v>
      </c>
    </row>
    <row r="386">
      <c r="A386" s="7">
        <v>610171.0</v>
      </c>
      <c r="B386" s="13" t="s">
        <v>1247</v>
      </c>
      <c r="C386" s="18" t="s">
        <v>1248</v>
      </c>
      <c r="D386" s="19">
        <v>0.232</v>
      </c>
      <c r="E386" s="18" t="s">
        <v>80</v>
      </c>
      <c r="F386" s="18" t="s">
        <v>144</v>
      </c>
      <c r="G386" s="8" t="str">
        <f>VLOOKUP(F386, 'Network Chiefs'!A:B, 2, FALSE)
</f>
        <v>Shenethe Parks</v>
      </c>
      <c r="H386" s="12">
        <v>51.0</v>
      </c>
      <c r="I386" s="13" t="s">
        <v>20</v>
      </c>
      <c r="J386" s="14" t="s">
        <v>82</v>
      </c>
      <c r="K386" s="14">
        <v>10.0</v>
      </c>
      <c r="L386" s="14" t="str">
        <f t="array" ref="L386">INDEX('School Rep'!$A$2:$A$21, MATCH(J386, 'School Rep'!$B$2:$B$21, 0))</f>
        <v>Olga Bautista</v>
      </c>
      <c r="M386" s="12">
        <v>3.8</v>
      </c>
      <c r="N386" s="16" t="s">
        <v>1249</v>
      </c>
      <c r="O386" s="8" t="str">
        <f t="shared" si="1"/>
        <v>9000 S Exchange Ave </v>
      </c>
      <c r="P386" s="12">
        <v>10.0</v>
      </c>
      <c r="Q386" s="13" t="s">
        <v>84</v>
      </c>
    </row>
    <row r="387">
      <c r="A387" s="7">
        <v>610073.0</v>
      </c>
      <c r="B387" s="12" t="s">
        <v>1250</v>
      </c>
      <c r="C387" s="18" t="s">
        <v>1251</v>
      </c>
      <c r="D387" s="19">
        <v>0.056</v>
      </c>
      <c r="E387" s="18" t="s">
        <v>80</v>
      </c>
      <c r="F387" s="18" t="s">
        <v>126</v>
      </c>
      <c r="G387" s="8" t="str">
        <f>VLOOKUP(F387, 'Network Chiefs'!A:B, 2, FALSE)
</f>
        <v>#N/A</v>
      </c>
      <c r="H387" s="12">
        <v>57.0</v>
      </c>
      <c r="I387" s="13" t="s">
        <v>20</v>
      </c>
      <c r="J387" s="14" t="s">
        <v>31</v>
      </c>
      <c r="K387" s="14">
        <v>5.0</v>
      </c>
      <c r="L387" s="14" t="str">
        <f t="array" ref="L387">INDEX('School Rep'!$A$2:$A$21, MATCH(J387, 'School Rep'!$B$2:$B$21, 0))</f>
        <v>Aaron "Jitu" Brown</v>
      </c>
      <c r="M387" s="12">
        <v>1.8</v>
      </c>
      <c r="N387" s="16" t="s">
        <v>1252</v>
      </c>
      <c r="O387" s="8" t="str">
        <f t="shared" si="1"/>
        <v>2233 W Ohio St </v>
      </c>
      <c r="P387" s="12">
        <v>36.0</v>
      </c>
      <c r="Q387" s="13" t="s">
        <v>67</v>
      </c>
    </row>
    <row r="388">
      <c r="A388" s="7">
        <v>610276.0</v>
      </c>
      <c r="B388" s="8" t="s">
        <v>1253</v>
      </c>
      <c r="C388" s="18" t="s">
        <v>1254</v>
      </c>
      <c r="D388" s="19">
        <v>0.217</v>
      </c>
      <c r="E388" s="18" t="s">
        <v>80</v>
      </c>
      <c r="F388" s="18" t="s">
        <v>120</v>
      </c>
      <c r="G388" s="8" t="str">
        <f>VLOOKUP(F388, 'Network Chiefs'!A:B, 2, FALSE)
</f>
        <v>Alene Mason</v>
      </c>
      <c r="H388" s="12">
        <v>17.0</v>
      </c>
      <c r="I388" s="13" t="s">
        <v>30</v>
      </c>
      <c r="J388" s="14" t="s">
        <v>204</v>
      </c>
      <c r="K388" s="14">
        <v>6.0</v>
      </c>
      <c r="L388" s="14" t="str">
        <f t="array" ref="L388">INDEX('School Rep'!$A$2:$A$21, MATCH(J388, 'School Rep'!$B$2:$B$21, 0))</f>
        <v>Jessica Biggs</v>
      </c>
      <c r="M388" s="15">
        <v>3.3</v>
      </c>
      <c r="N388" s="16" t="s">
        <v>1255</v>
      </c>
      <c r="O388" s="8" t="str">
        <f t="shared" si="1"/>
        <v>4415 S Dr Martin L King Jr Dr </v>
      </c>
      <c r="P388" s="12">
        <v>3.0</v>
      </c>
      <c r="Q388" s="13" t="s">
        <v>206</v>
      </c>
    </row>
    <row r="389">
      <c r="A389" s="7">
        <v>610203.0</v>
      </c>
      <c r="B389" s="8" t="s">
        <v>1256</v>
      </c>
      <c r="C389" s="18" t="s">
        <v>1257</v>
      </c>
      <c r="D389" s="19">
        <v>0.109</v>
      </c>
      <c r="E389" s="18" t="s">
        <v>80</v>
      </c>
      <c r="F389" s="18" t="s">
        <v>285</v>
      </c>
      <c r="G389" s="8" t="str">
        <f>VLOOKUP(F389, 'Network Chiefs'!A:B, 2, FALSE)
</f>
        <v>Gilberto Piedrahita</v>
      </c>
      <c r="H389" s="12">
        <v>38.0</v>
      </c>
      <c r="I389" s="13" t="s">
        <v>41</v>
      </c>
      <c r="J389" s="15" t="s">
        <v>384</v>
      </c>
      <c r="K389" s="15" t="s">
        <v>384</v>
      </c>
      <c r="L389" s="15" t="s">
        <v>384</v>
      </c>
      <c r="M389" s="15">
        <v>3.5</v>
      </c>
      <c r="N389" s="16" t="s">
        <v>1258</v>
      </c>
      <c r="O389" s="8" t="str">
        <f t="shared" si="1"/>
        <v>5815 S Homan Ave </v>
      </c>
      <c r="P389" s="12">
        <v>14.0</v>
      </c>
      <c r="Q389" s="13" t="s">
        <v>54</v>
      </c>
    </row>
    <row r="390">
      <c r="A390" s="7">
        <v>400116.0</v>
      </c>
      <c r="B390" s="8" t="s">
        <v>1259</v>
      </c>
      <c r="C390" s="17" t="s">
        <v>1260</v>
      </c>
      <c r="D390" s="10">
        <v>0.214</v>
      </c>
      <c r="E390" s="11" t="s">
        <v>19</v>
      </c>
      <c r="F390" s="11" t="s">
        <v>19</v>
      </c>
      <c r="G390" s="8" t="str">
        <f>VLOOKUP(F390, 'Network Chiefs'!A:B, 2, FALSE)
</f>
        <v>#N/A</v>
      </c>
      <c r="H390" s="12">
        <v>59.0</v>
      </c>
      <c r="I390" s="13" t="s">
        <v>20</v>
      </c>
      <c r="J390" s="14" t="s">
        <v>187</v>
      </c>
      <c r="K390" s="14">
        <v>9.0</v>
      </c>
      <c r="L390" s="14" t="str">
        <f t="array" ref="L390">INDEX('School Rep'!$A$2:$A$21, MATCH(J390, 'School Rep'!$B$2:$B$21, 0))</f>
        <v>Frank Niles Thomas</v>
      </c>
      <c r="M390" s="15">
        <v>3.5</v>
      </c>
      <c r="N390" s="16" t="s">
        <v>1261</v>
      </c>
      <c r="O390" s="8" t="str">
        <f t="shared" si="1"/>
        <v>6936 S Hermitage Ave </v>
      </c>
      <c r="P390" s="12">
        <v>17.0</v>
      </c>
      <c r="Q390" s="13" t="s">
        <v>189</v>
      </c>
    </row>
    <row r="391">
      <c r="A391" s="7">
        <v>610076.0</v>
      </c>
      <c r="B391" s="12" t="s">
        <v>1262</v>
      </c>
      <c r="C391" s="18" t="s">
        <v>1263</v>
      </c>
      <c r="D391" s="19">
        <v>0.075</v>
      </c>
      <c r="E391" s="18" t="s">
        <v>80</v>
      </c>
      <c r="F391" s="18" t="s">
        <v>216</v>
      </c>
      <c r="G391" s="8" t="str">
        <f>VLOOKUP(F391, 'Network Chiefs'!A:B, 2, FALSE)
</f>
        <v>Shontae Higginbottom</v>
      </c>
      <c r="H391" s="12">
        <v>20.0</v>
      </c>
      <c r="I391" s="13" t="s">
        <v>41</v>
      </c>
      <c r="J391" s="14" t="s">
        <v>232</v>
      </c>
      <c r="K391" s="14">
        <v>3.0</v>
      </c>
      <c r="L391" s="14" t="str">
        <f t="array" ref="L391">INDEX('School Rep'!$A$2:$A$21, MATCH(J391, 'School Rep'!$B$2:$B$21, 0))</f>
        <v>Carlos Rivas</v>
      </c>
      <c r="M391" s="12">
        <v>2.3</v>
      </c>
      <c r="N391" s="16" t="s">
        <v>1264</v>
      </c>
      <c r="O391" s="8" t="str">
        <f t="shared" si="1"/>
        <v>1711 N California Ave </v>
      </c>
      <c r="P391" s="12">
        <v>26.0</v>
      </c>
      <c r="Q391" s="13" t="s">
        <v>378</v>
      </c>
    </row>
    <row r="392">
      <c r="A392" s="7">
        <v>609725.0</v>
      </c>
      <c r="B392" s="8" t="s">
        <v>1265</v>
      </c>
      <c r="C392" s="9" t="s">
        <v>1266</v>
      </c>
      <c r="D392" s="10">
        <v>0.116</v>
      </c>
      <c r="E392" s="11" t="s">
        <v>80</v>
      </c>
      <c r="F392" s="11" t="s">
        <v>92</v>
      </c>
      <c r="G392" s="8" t="str">
        <f>VLOOKUP(F392, 'Network Chiefs'!A:B, 2, FALSE)
</f>
        <v>Devon LaRosa</v>
      </c>
      <c r="H392" s="12">
        <v>56.0</v>
      </c>
      <c r="I392" s="13" t="s">
        <v>20</v>
      </c>
      <c r="J392" s="14" t="s">
        <v>178</v>
      </c>
      <c r="K392" s="14">
        <v>9.0</v>
      </c>
      <c r="L392" s="14" t="str">
        <f t="array" ref="L392">INDEX('School Rep'!$A$2:$A$21, MATCH(J392, 'School Rep'!$B$2:$B$21, 0))</f>
        <v>Therese Boyle</v>
      </c>
      <c r="M392" s="15">
        <v>2.7</v>
      </c>
      <c r="N392" s="16" t="s">
        <v>1267</v>
      </c>
      <c r="O392" s="8" t="str">
        <f t="shared" si="1"/>
        <v>1744 W Pryor Ave </v>
      </c>
      <c r="P392" s="12">
        <v>19.0</v>
      </c>
      <c r="Q392" s="13" t="s">
        <v>180</v>
      </c>
    </row>
    <row r="393">
      <c r="A393" s="7">
        <v>610077.0</v>
      </c>
      <c r="B393" s="8" t="s">
        <v>1268</v>
      </c>
      <c r="C393" s="18" t="s">
        <v>1269</v>
      </c>
      <c r="D393" s="19">
        <v>0.142</v>
      </c>
      <c r="E393" s="18" t="s">
        <v>80</v>
      </c>
      <c r="F393" s="18" t="s">
        <v>138</v>
      </c>
      <c r="G393" s="8" t="str">
        <f>VLOOKUP(F393, 'Network Chiefs'!A:B, 2, FALSE)
</f>
        <v>Mira Weber</v>
      </c>
      <c r="H393" s="12">
        <v>66.0</v>
      </c>
      <c r="I393" s="13" t="s">
        <v>52</v>
      </c>
      <c r="J393" s="14" t="s">
        <v>26</v>
      </c>
      <c r="K393" s="14">
        <v>8.0</v>
      </c>
      <c r="L393" s="14" t="str">
        <f t="array" ref="L393">INDEX('School Rep'!$A$2:$A$21, MATCH(J393, 'School Rep'!$B$2:$B$21, 0))</f>
        <v>Cydney Wallace</v>
      </c>
      <c r="M393" s="15">
        <v>3.6</v>
      </c>
      <c r="N393" s="16" t="s">
        <v>1270</v>
      </c>
      <c r="O393" s="8" t="str">
        <f t="shared" si="1"/>
        <v>6011 S Rockwell St </v>
      </c>
      <c r="P393" s="12">
        <v>16.0</v>
      </c>
      <c r="Q393" s="13" t="s">
        <v>193</v>
      </c>
    </row>
    <row r="394">
      <c r="A394" s="7">
        <v>610257.0</v>
      </c>
      <c r="B394" s="8" t="s">
        <v>1271</v>
      </c>
      <c r="C394" s="9" t="s">
        <v>1272</v>
      </c>
      <c r="D394" s="10">
        <v>0.17</v>
      </c>
      <c r="E394" s="11" t="s">
        <v>80</v>
      </c>
      <c r="F394" s="11" t="s">
        <v>216</v>
      </c>
      <c r="G394" s="8" t="str">
        <f>VLOOKUP(F394, 'Network Chiefs'!A:B, 2, FALSE)
</f>
        <v>Shontae Higginbottom</v>
      </c>
      <c r="H394" s="12">
        <v>31.0</v>
      </c>
      <c r="I394" s="13" t="s">
        <v>41</v>
      </c>
      <c r="J394" s="14" t="s">
        <v>217</v>
      </c>
      <c r="K394" s="14">
        <v>5.0</v>
      </c>
      <c r="L394" s="14" t="str">
        <f t="array" ref="L394">INDEX('School Rep'!$A$2:$A$21, MATCH(J394, 'School Rep'!$B$2:$B$21, 0))</f>
        <v>Michilla Blaise</v>
      </c>
      <c r="M394" s="15">
        <v>3.0</v>
      </c>
      <c r="N394" s="16" t="s">
        <v>1273</v>
      </c>
      <c r="O394" s="8" t="str">
        <f t="shared" si="1"/>
        <v>431 N Troy St </v>
      </c>
      <c r="P394" s="12">
        <v>27.0</v>
      </c>
      <c r="Q394" s="13" t="s">
        <v>219</v>
      </c>
    </row>
    <row r="395">
      <c r="A395" s="7">
        <v>609804.0</v>
      </c>
      <c r="B395" s="8" t="s">
        <v>1274</v>
      </c>
      <c r="C395" s="20" t="s">
        <v>1275</v>
      </c>
      <c r="D395" s="21">
        <v>0.113</v>
      </c>
      <c r="E395" s="20" t="s">
        <v>80</v>
      </c>
      <c r="F395" s="20" t="s">
        <v>270</v>
      </c>
      <c r="G395" s="8" t="str">
        <f>VLOOKUP(F395, 'Network Chiefs'!A:B, 2, FALSE)
</f>
        <v>Marilou Rebolledo</v>
      </c>
      <c r="H395" s="12">
        <v>36.0</v>
      </c>
      <c r="I395" s="13" t="s">
        <v>41</v>
      </c>
      <c r="J395" s="15" t="s">
        <v>384</v>
      </c>
      <c r="K395" s="15" t="s">
        <v>384</v>
      </c>
      <c r="L395" s="15" t="s">
        <v>384</v>
      </c>
      <c r="M395" s="15">
        <v>2.4</v>
      </c>
      <c r="N395" s="16" t="s">
        <v>1276</v>
      </c>
      <c r="O395" s="8" t="str">
        <f t="shared" si="1"/>
        <v>6710 N Washtenaw Ave </v>
      </c>
      <c r="P395" s="12">
        <v>50.0</v>
      </c>
      <c r="Q395" s="13" t="s">
        <v>131</v>
      </c>
    </row>
    <row r="396">
      <c r="A396" s="7">
        <v>610082.0</v>
      </c>
      <c r="B396" s="8" t="s">
        <v>1277</v>
      </c>
      <c r="C396" s="9" t="s">
        <v>1278</v>
      </c>
      <c r="D396" s="10">
        <v>0.019</v>
      </c>
      <c r="E396" s="11" t="s">
        <v>80</v>
      </c>
      <c r="F396" s="11" t="s">
        <v>126</v>
      </c>
      <c r="G396" s="8" t="str">
        <f>VLOOKUP(F396, 'Network Chiefs'!A:B, 2, FALSE)
</f>
        <v>#N/A</v>
      </c>
      <c r="H396" s="12">
        <v>75.0</v>
      </c>
      <c r="I396" s="13" t="s">
        <v>52</v>
      </c>
      <c r="J396" s="14" t="s">
        <v>178</v>
      </c>
      <c r="K396" s="14">
        <v>9.0</v>
      </c>
      <c r="L396" s="14" t="str">
        <f t="array" ref="L396">INDEX('School Rep'!$A$2:$A$21, MATCH(J396, 'School Rep'!$B$2:$B$21, 0))</f>
        <v>Therese Boyle</v>
      </c>
      <c r="M396" s="15">
        <v>1.6</v>
      </c>
      <c r="N396" s="16" t="s">
        <v>1279</v>
      </c>
      <c r="O396" s="8" t="str">
        <f t="shared" si="1"/>
        <v>10841 S Homan Ave </v>
      </c>
      <c r="P396" s="12">
        <v>19.0</v>
      </c>
      <c r="Q396" s="13" t="s">
        <v>180</v>
      </c>
    </row>
    <row r="397">
      <c r="A397" s="7">
        <v>610086.0</v>
      </c>
      <c r="B397" s="8" t="s">
        <v>1280</v>
      </c>
      <c r="C397" s="9" t="s">
        <v>1281</v>
      </c>
      <c r="D397" s="10">
        <v>0.185</v>
      </c>
      <c r="E397" s="11" t="s">
        <v>80</v>
      </c>
      <c r="F397" s="11" t="s">
        <v>81</v>
      </c>
      <c r="G397" s="8" t="str">
        <f>VLOOKUP(F397, 'Network Chiefs'!A:B, 2, FALSE)
</f>
        <v>Dr. Terrycita D. Perry</v>
      </c>
      <c r="H397" s="12">
        <v>58.0</v>
      </c>
      <c r="I397" s="13" t="s">
        <v>20</v>
      </c>
      <c r="J397" s="14" t="s">
        <v>178</v>
      </c>
      <c r="K397" s="14">
        <v>9.0</v>
      </c>
      <c r="L397" s="14" t="str">
        <f t="array" ref="L397">INDEX('School Rep'!$A$2:$A$21, MATCH(J397, 'School Rep'!$B$2:$B$21, 0))</f>
        <v>Therese Boyle</v>
      </c>
      <c r="M397" s="15">
        <v>3.5</v>
      </c>
      <c r="N397" s="16" t="s">
        <v>1282</v>
      </c>
      <c r="O397" s="8" t="str">
        <f t="shared" si="1"/>
        <v>10540 S Morgan St </v>
      </c>
      <c r="P397" s="12">
        <v>21.0</v>
      </c>
      <c r="Q397" s="13" t="s">
        <v>428</v>
      </c>
    </row>
    <row r="398">
      <c r="A398" s="7">
        <v>400178.0</v>
      </c>
      <c r="B398" s="12" t="s">
        <v>1283</v>
      </c>
      <c r="C398" s="17" t="s">
        <v>1284</v>
      </c>
      <c r="D398" s="10">
        <v>0.11</v>
      </c>
      <c r="E398" s="11" t="s">
        <v>19</v>
      </c>
      <c r="F398" s="11" t="s">
        <v>19</v>
      </c>
      <c r="G398" s="8" t="str">
        <f>VLOOKUP(F398, 'Network Chiefs'!A:B, 2, FALSE)
</f>
        <v>#N/A</v>
      </c>
      <c r="H398" s="12">
        <v>44.0</v>
      </c>
      <c r="I398" s="13" t="s">
        <v>20</v>
      </c>
      <c r="J398" s="14" t="s">
        <v>31</v>
      </c>
      <c r="K398" s="14">
        <v>5.0</v>
      </c>
      <c r="L398" s="14" t="str">
        <f t="array" ref="L398">INDEX('School Rep'!$A$2:$A$21, MATCH(J398, 'School Rep'!$B$2:$B$21, 0))</f>
        <v>Aaron "Jitu" Brown</v>
      </c>
      <c r="M398" s="12">
        <v>3.8</v>
      </c>
      <c r="N398" s="16" t="s">
        <v>1285</v>
      </c>
      <c r="O398" s="8" t="str">
        <f t="shared" si="1"/>
        <v>416 N Laramie Ave </v>
      </c>
      <c r="P398" s="12">
        <v>37.0</v>
      </c>
      <c r="Q398" s="13" t="s">
        <v>162</v>
      </c>
    </row>
    <row r="399">
      <c r="A399" s="7">
        <v>610088.0</v>
      </c>
      <c r="B399" s="12" t="s">
        <v>1286</v>
      </c>
      <c r="C399" s="18" t="s">
        <v>1287</v>
      </c>
      <c r="D399" s="19">
        <v>0.11</v>
      </c>
      <c r="E399" s="18" t="s">
        <v>80</v>
      </c>
      <c r="F399" s="18" t="s">
        <v>102</v>
      </c>
      <c r="G399" s="8" t="str">
        <f>VLOOKUP(F399, 'Network Chiefs'!A:B, 2, FALSE)
</f>
        <v>Jerry Travlos</v>
      </c>
      <c r="H399" s="12">
        <v>41.0</v>
      </c>
      <c r="I399" s="13" t="s">
        <v>20</v>
      </c>
      <c r="J399" s="14" t="s">
        <v>232</v>
      </c>
      <c r="K399" s="14">
        <v>3.0</v>
      </c>
      <c r="L399" s="14" t="str">
        <f t="array" ref="L399">INDEX('School Rep'!$A$2:$A$21, MATCH(J399, 'School Rep'!$B$2:$B$21, 0))</f>
        <v>Carlos Rivas</v>
      </c>
      <c r="M399" s="12">
        <v>2.9</v>
      </c>
      <c r="N399" s="16" t="s">
        <v>1288</v>
      </c>
      <c r="O399" s="8" t="str">
        <f t="shared" si="1"/>
        <v>2200 N Hamlin Ave </v>
      </c>
      <c r="P399" s="12">
        <v>35.0</v>
      </c>
      <c r="Q399" s="13" t="s">
        <v>49</v>
      </c>
    </row>
    <row r="400">
      <c r="A400" s="7">
        <v>610385.0</v>
      </c>
      <c r="B400" s="8" t="s">
        <v>1289</v>
      </c>
      <c r="C400" s="9" t="s">
        <v>1290</v>
      </c>
      <c r="D400" s="10">
        <v>0.197</v>
      </c>
      <c r="E400" s="11" t="s">
        <v>80</v>
      </c>
      <c r="F400" s="11" t="s">
        <v>108</v>
      </c>
      <c r="G400" s="8" t="str">
        <f>VLOOKUP(F400, 'Network Chiefs'!A:B, 2, FALSE)
</f>
        <v>Michael Boraz</v>
      </c>
      <c r="H400" s="12">
        <v>25.0</v>
      </c>
      <c r="I400" s="13" t="s">
        <v>41</v>
      </c>
      <c r="J400" s="15" t="s">
        <v>384</v>
      </c>
      <c r="K400" s="15" t="s">
        <v>384</v>
      </c>
      <c r="L400" s="15" t="s">
        <v>384</v>
      </c>
      <c r="M400" s="15">
        <v>3.5</v>
      </c>
      <c r="N400" s="16" t="s">
        <v>964</v>
      </c>
      <c r="O400" s="8" t="str">
        <f t="shared" si="1"/>
        <v>3120 S Kostner Ave </v>
      </c>
      <c r="P400" s="12">
        <v>22.0</v>
      </c>
      <c r="Q400" s="13" t="s">
        <v>353</v>
      </c>
    </row>
    <row r="401">
      <c r="A401" s="7">
        <v>610089.0</v>
      </c>
      <c r="B401" s="12" t="s">
        <v>1291</v>
      </c>
      <c r="C401" s="18" t="s">
        <v>1292</v>
      </c>
      <c r="D401" s="19">
        <v>0.045</v>
      </c>
      <c r="E401" s="18" t="s">
        <v>80</v>
      </c>
      <c r="F401" s="18" t="s">
        <v>97</v>
      </c>
      <c r="G401" s="8" t="str">
        <f>VLOOKUP(F401, 'Network Chiefs'!A:B, 2, FALSE)
</f>
        <v>Julie McGlade</v>
      </c>
      <c r="H401" s="12">
        <v>45.0</v>
      </c>
      <c r="I401" s="13" t="s">
        <v>20</v>
      </c>
      <c r="J401" s="14" t="s">
        <v>47</v>
      </c>
      <c r="K401" s="14">
        <v>3.0</v>
      </c>
      <c r="L401" s="14" t="str">
        <f t="array" ref="L401">INDEX('School Rep'!$A$2:$A$21, MATCH(J401, 'School Rep'!$B$2:$B$21, 0))</f>
        <v>Norma Rios-Sierra</v>
      </c>
      <c r="M401" s="12">
        <v>2.2</v>
      </c>
      <c r="N401" s="16" t="s">
        <v>1293</v>
      </c>
      <c r="O401" s="8" t="str">
        <f t="shared" si="1"/>
        <v>3539 W Grace St </v>
      </c>
      <c r="P401" s="12">
        <v>35.0</v>
      </c>
      <c r="Q401" s="13" t="s">
        <v>49</v>
      </c>
    </row>
    <row r="402">
      <c r="A402" s="7">
        <v>610090.0</v>
      </c>
      <c r="B402" s="13" t="s">
        <v>1294</v>
      </c>
      <c r="C402" s="18" t="s">
        <v>1295</v>
      </c>
      <c r="D402" s="19">
        <v>0.0</v>
      </c>
      <c r="E402" s="18" t="s">
        <v>80</v>
      </c>
      <c r="F402" s="18" t="s">
        <v>120</v>
      </c>
      <c r="G402" s="8" t="str">
        <f>VLOOKUP(F402, 'Network Chiefs'!A:B, 2, FALSE)
</f>
        <v>Alene Mason</v>
      </c>
      <c r="H402" s="12">
        <v>51.0</v>
      </c>
      <c r="I402" s="13" t="s">
        <v>20</v>
      </c>
      <c r="J402" s="14" t="s">
        <v>121</v>
      </c>
      <c r="K402" s="14">
        <v>10.0</v>
      </c>
      <c r="L402" s="14" t="str">
        <f t="array" ref="L402">INDEX('School Rep'!$A$2:$A$21, MATCH(J402, 'School Rep'!$B$2:$B$21, 0))</f>
        <v>Che "Rhymefest" Smith</v>
      </c>
      <c r="M402" s="12">
        <v>2.6</v>
      </c>
      <c r="N402" s="16" t="s">
        <v>1296</v>
      </c>
      <c r="O402" s="8" t="str">
        <f t="shared" si="1"/>
        <v>5335 S Kenwood Ave </v>
      </c>
      <c r="P402" s="12">
        <v>5.0</v>
      </c>
      <c r="Q402" s="13" t="s">
        <v>357</v>
      </c>
    </row>
    <row r="403">
      <c r="A403" s="7">
        <v>400050.0</v>
      </c>
      <c r="B403" s="8" t="s">
        <v>1297</v>
      </c>
      <c r="C403" s="9" t="s">
        <v>1298</v>
      </c>
      <c r="D403" s="10">
        <v>0.084</v>
      </c>
      <c r="E403" s="11" t="s">
        <v>19</v>
      </c>
      <c r="F403" s="11" t="s">
        <v>19</v>
      </c>
      <c r="G403" s="8" t="str">
        <f>VLOOKUP(F403, 'Network Chiefs'!A:B, 2, FALSE)
</f>
        <v>#N/A</v>
      </c>
      <c r="H403" s="12">
        <v>49.0</v>
      </c>
      <c r="I403" s="13" t="s">
        <v>20</v>
      </c>
      <c r="J403" s="14" t="s">
        <v>26</v>
      </c>
      <c r="K403" s="14">
        <v>8.0</v>
      </c>
      <c r="L403" s="14" t="str">
        <f t="array" ref="L403">INDEX('School Rep'!$A$2:$A$21, MATCH(J403, 'School Rep'!$B$2:$B$21, 0))</f>
        <v>Cydney Wallace</v>
      </c>
      <c r="M403" s="15">
        <v>3.5</v>
      </c>
      <c r="N403" s="16" t="s">
        <v>1299</v>
      </c>
      <c r="O403" s="8" t="str">
        <f t="shared" si="1"/>
        <v>3737 S Paulina St </v>
      </c>
      <c r="P403" s="12">
        <v>12.0</v>
      </c>
      <c r="Q403" s="13" t="s">
        <v>23</v>
      </c>
    </row>
    <row r="404">
      <c r="A404" s="7">
        <v>610092.0</v>
      </c>
      <c r="B404" s="12" t="s">
        <v>1300</v>
      </c>
      <c r="C404" s="18" t="s">
        <v>1301</v>
      </c>
      <c r="D404" s="19">
        <v>0.317</v>
      </c>
      <c r="E404" s="18" t="s">
        <v>80</v>
      </c>
      <c r="F404" s="18" t="s">
        <v>231</v>
      </c>
      <c r="G404" s="8" t="str">
        <f>VLOOKUP(F404, 'Network Chiefs'!A:B, 2, FALSE)
</f>
        <v>Jennifer Farrell‐Rottman</v>
      </c>
      <c r="H404" s="12">
        <v>40.0</v>
      </c>
      <c r="I404" s="13" t="s">
        <v>20</v>
      </c>
      <c r="J404" s="14" t="s">
        <v>31</v>
      </c>
      <c r="K404" s="14">
        <v>5.0</v>
      </c>
      <c r="L404" s="14" t="str">
        <f t="array" ref="L404">INDEX('School Rep'!$A$2:$A$21, MATCH(J404, 'School Rep'!$B$2:$B$21, 0))</f>
        <v>Aaron "Jitu" Brown</v>
      </c>
      <c r="M404" s="12">
        <v>3.5</v>
      </c>
      <c r="N404" s="16" t="s">
        <v>1302</v>
      </c>
      <c r="O404" s="8" t="str">
        <f t="shared" si="1"/>
        <v>4837 W Erie St </v>
      </c>
      <c r="P404" s="12">
        <v>37.0</v>
      </c>
      <c r="Q404" s="13" t="s">
        <v>162</v>
      </c>
    </row>
    <row r="405">
      <c r="A405" s="7">
        <v>610231.0</v>
      </c>
      <c r="B405" s="8" t="s">
        <v>1303</v>
      </c>
      <c r="C405" s="11" t="s">
        <v>1304</v>
      </c>
      <c r="D405" s="10">
        <v>0.102</v>
      </c>
      <c r="E405" s="11" t="s">
        <v>80</v>
      </c>
      <c r="F405" s="11" t="s">
        <v>301</v>
      </c>
      <c r="G405" s="8" t="str">
        <f>VLOOKUP(F405, 'Network Chiefs'!A:B, 2, FALSE)
</f>
        <v>Dr. Ethan Netterstrom</v>
      </c>
      <c r="H405" s="12">
        <v>79.0</v>
      </c>
      <c r="I405" s="13" t="s">
        <v>52</v>
      </c>
      <c r="J405" s="14" t="s">
        <v>26</v>
      </c>
      <c r="K405" s="14">
        <v>8.0</v>
      </c>
      <c r="L405" s="14" t="str">
        <f t="array" ref="L405">INDEX('School Rep'!$A$2:$A$21, MATCH(J405, 'School Rep'!$B$2:$B$21, 0))</f>
        <v>Cydney Wallace</v>
      </c>
      <c r="M405" s="15">
        <v>1.9</v>
      </c>
      <c r="N405" s="16" t="s">
        <v>1305</v>
      </c>
      <c r="O405" s="8" t="str">
        <f t="shared" si="1"/>
        <v>55 W Cermak Rd </v>
      </c>
      <c r="P405" s="12">
        <v>3.0</v>
      </c>
      <c r="Q405" s="13" t="s">
        <v>206</v>
      </c>
    </row>
    <row r="406">
      <c r="A406" s="7">
        <v>610093.0</v>
      </c>
      <c r="B406" s="13" t="s">
        <v>1306</v>
      </c>
      <c r="C406" s="18" t="s">
        <v>1307</v>
      </c>
      <c r="D406" s="19">
        <v>0.123</v>
      </c>
      <c r="E406" s="18" t="s">
        <v>80</v>
      </c>
      <c r="F406" s="18" t="s">
        <v>144</v>
      </c>
      <c r="G406" s="8" t="str">
        <f>VLOOKUP(F406, 'Network Chiefs'!A:B, 2, FALSE)
</f>
        <v>Shenethe Parks</v>
      </c>
      <c r="H406" s="12">
        <v>50.0</v>
      </c>
      <c r="I406" s="13" t="s">
        <v>20</v>
      </c>
      <c r="J406" s="14" t="s">
        <v>82</v>
      </c>
      <c r="K406" s="14">
        <v>10.0</v>
      </c>
      <c r="L406" s="14" t="str">
        <f t="array" ref="L406">INDEX('School Rep'!$A$2:$A$21, MATCH(J406, 'School Rep'!$B$2:$B$21, 0))</f>
        <v>Olga Bautista</v>
      </c>
      <c r="M406" s="12">
        <v>3.3</v>
      </c>
      <c r="N406" s="16" t="s">
        <v>1308</v>
      </c>
      <c r="O406" s="8" t="str">
        <f t="shared" si="1"/>
        <v>8555 S Michigan Ave </v>
      </c>
      <c r="P406" s="12">
        <v>6.0</v>
      </c>
      <c r="Q406" s="13" t="s">
        <v>306</v>
      </c>
    </row>
    <row r="407">
      <c r="A407" s="7">
        <v>610094.0</v>
      </c>
      <c r="B407" s="12" t="s">
        <v>1309</v>
      </c>
      <c r="C407" s="18" t="s">
        <v>1310</v>
      </c>
      <c r="D407" s="19">
        <v>0.078</v>
      </c>
      <c r="E407" s="18" t="s">
        <v>80</v>
      </c>
      <c r="F407" s="18" t="s">
        <v>102</v>
      </c>
      <c r="G407" s="8" t="str">
        <f>VLOOKUP(F407, 'Network Chiefs'!A:B, 2, FALSE)
</f>
        <v>Jerry Travlos</v>
      </c>
      <c r="H407" s="12">
        <v>46.0</v>
      </c>
      <c r="I407" s="13" t="s">
        <v>20</v>
      </c>
      <c r="J407" s="14" t="s">
        <v>243</v>
      </c>
      <c r="K407" s="14">
        <v>4.0</v>
      </c>
      <c r="L407" s="14" t="str">
        <f t="array" ref="L407">INDEX('School Rep'!$A$2:$A$21, MATCH(J407, 'School Rep'!$B$2:$B$21, 0))</f>
        <v>Karen Zaccor</v>
      </c>
      <c r="M407" s="12">
        <v>1.4</v>
      </c>
      <c r="N407" s="16" t="s">
        <v>1311</v>
      </c>
      <c r="O407" s="8" t="str">
        <f t="shared" si="1"/>
        <v>3252 N Broadway St </v>
      </c>
      <c r="P407" s="12">
        <v>44.0</v>
      </c>
      <c r="Q407" s="13" t="s">
        <v>886</v>
      </c>
    </row>
    <row r="408">
      <c r="A408" s="7">
        <v>610284.0</v>
      </c>
      <c r="B408" s="12" t="s">
        <v>1312</v>
      </c>
      <c r="C408" s="18" t="s">
        <v>1313</v>
      </c>
      <c r="D408" s="19">
        <v>0.15</v>
      </c>
      <c r="E408" s="18" t="s">
        <v>80</v>
      </c>
      <c r="F408" s="18" t="s">
        <v>270</v>
      </c>
      <c r="G408" s="8" t="str">
        <f>VLOOKUP(F408, 'Network Chiefs'!A:B, 2, FALSE)
</f>
        <v>Marilou Rebolledo</v>
      </c>
      <c r="H408" s="12">
        <v>54.0</v>
      </c>
      <c r="I408" s="13" t="s">
        <v>20</v>
      </c>
      <c r="J408" s="14" t="s">
        <v>36</v>
      </c>
      <c r="K408" s="14">
        <v>2.0</v>
      </c>
      <c r="L408" s="14" t="str">
        <f t="array" ref="L408">INDEX('School Rep'!$A$2:$A$21, MATCH(J408, 'School Rep'!$B$2:$B$21, 0))</f>
        <v>Ebony DeBerry</v>
      </c>
      <c r="M408" s="12">
        <v>3.0</v>
      </c>
      <c r="N408" s="16" t="s">
        <v>1314</v>
      </c>
      <c r="O408" s="8" t="str">
        <f t="shared" si="1"/>
        <v>1707 W Morse Ave </v>
      </c>
      <c r="P408" s="12">
        <v>49.0</v>
      </c>
      <c r="Q408" s="13" t="s">
        <v>38</v>
      </c>
    </row>
    <row r="409">
      <c r="A409" s="7">
        <v>610193.0</v>
      </c>
      <c r="B409" s="13" t="s">
        <v>1315</v>
      </c>
      <c r="C409" s="11" t="s">
        <v>1316</v>
      </c>
      <c r="D409" s="10">
        <v>0.196</v>
      </c>
      <c r="E409" s="11" t="s">
        <v>80</v>
      </c>
      <c r="F409" s="11" t="s">
        <v>144</v>
      </c>
      <c r="G409" s="8" t="str">
        <f>VLOOKUP(F409, 'Network Chiefs'!A:B, 2, FALSE)
</f>
        <v>Shenethe Parks</v>
      </c>
      <c r="H409" s="12">
        <v>34.0</v>
      </c>
      <c r="I409" s="13" t="s">
        <v>41</v>
      </c>
      <c r="J409" s="14" t="s">
        <v>82</v>
      </c>
      <c r="K409" s="14">
        <v>10.0</v>
      </c>
      <c r="L409" s="14" t="str">
        <f t="array" ref="L409">INDEX('School Rep'!$A$2:$A$21, MATCH(J409, 'School Rep'!$B$2:$B$21, 0))</f>
        <v>Olga Bautista</v>
      </c>
      <c r="M409" s="12">
        <v>3.8</v>
      </c>
      <c r="N409" s="16" t="s">
        <v>1317</v>
      </c>
      <c r="O409" s="8" t="str">
        <f t="shared" si="1"/>
        <v>8331 S Mackinaw Ave </v>
      </c>
      <c r="P409" s="12">
        <v>10.0</v>
      </c>
      <c r="Q409" s="13" t="s">
        <v>84</v>
      </c>
    </row>
    <row r="410">
      <c r="A410" s="7">
        <v>610095.0</v>
      </c>
      <c r="B410" s="12" t="s">
        <v>1318</v>
      </c>
      <c r="C410" s="18" t="s">
        <v>1319</v>
      </c>
      <c r="D410" s="19">
        <v>0.038</v>
      </c>
      <c r="E410" s="18" t="s">
        <v>80</v>
      </c>
      <c r="F410" s="18" t="s">
        <v>102</v>
      </c>
      <c r="G410" s="8" t="str">
        <f>VLOOKUP(F410, 'Network Chiefs'!A:B, 2, FALSE)
</f>
        <v>Jerry Travlos</v>
      </c>
      <c r="H410" s="15"/>
      <c r="I410" s="8"/>
      <c r="J410" s="14" t="s">
        <v>103</v>
      </c>
      <c r="K410" s="14">
        <v>4.0</v>
      </c>
      <c r="L410" s="14" t="str">
        <f t="array" ref="L410">INDEX('School Rep'!$A$2:$A$21, MATCH(J410, 'School Rep'!$B$2:$B$21, 0))</f>
        <v>Ellen Rosenfeld</v>
      </c>
      <c r="M410" s="12">
        <v>2.1</v>
      </c>
      <c r="N410" s="16" t="s">
        <v>1320</v>
      </c>
      <c r="O410" s="8" t="str">
        <f t="shared" si="1"/>
        <v>700 W Willow St </v>
      </c>
      <c r="P410" s="12">
        <v>43.0</v>
      </c>
      <c r="Q410" s="13" t="s">
        <v>105</v>
      </c>
    </row>
    <row r="411">
      <c r="A411" s="7">
        <v>609793.0</v>
      </c>
      <c r="B411" s="8" t="s">
        <v>1321</v>
      </c>
      <c r="C411" s="9" t="s">
        <v>1322</v>
      </c>
      <c r="D411" s="10">
        <v>0.306</v>
      </c>
      <c r="E411" s="11" t="s">
        <v>80</v>
      </c>
      <c r="F411" s="11" t="s">
        <v>186</v>
      </c>
      <c r="G411" s="8" t="str">
        <f>VLOOKUP(F411, 'Network Chiefs'!A:B, 2, FALSE)
</f>
        <v>Latasha Geverola</v>
      </c>
      <c r="H411" s="12">
        <v>40.0</v>
      </c>
      <c r="I411" s="13" t="s">
        <v>20</v>
      </c>
      <c r="J411" s="14" t="s">
        <v>187</v>
      </c>
      <c r="K411" s="14">
        <v>9.0</v>
      </c>
      <c r="L411" s="14" t="str">
        <f t="array" ref="L411">INDEX('School Rep'!$A$2:$A$21, MATCH(J411, 'School Rep'!$B$2:$B$21, 0))</f>
        <v>Frank Niles Thomas</v>
      </c>
      <c r="M411" s="15">
        <v>3.9</v>
      </c>
      <c r="N411" s="16" t="s">
        <v>1323</v>
      </c>
      <c r="O411" s="8" t="str">
        <f t="shared" si="1"/>
        <v>6006 S Peoria St </v>
      </c>
      <c r="P411" s="12">
        <v>16.0</v>
      </c>
      <c r="Q411" s="13" t="s">
        <v>193</v>
      </c>
    </row>
    <row r="412">
      <c r="A412" s="7">
        <v>610096.0</v>
      </c>
      <c r="B412" s="8" t="s">
        <v>1324</v>
      </c>
      <c r="C412" s="18" t="s">
        <v>1325</v>
      </c>
      <c r="D412" s="19">
        <v>0.075</v>
      </c>
      <c r="E412" s="18" t="s">
        <v>80</v>
      </c>
      <c r="F412" s="18" t="s">
        <v>285</v>
      </c>
      <c r="G412" s="8" t="str">
        <f>VLOOKUP(F412, 'Network Chiefs'!A:B, 2, FALSE)
</f>
        <v>Gilberto Piedrahita</v>
      </c>
      <c r="H412" s="12">
        <v>53.0</v>
      </c>
      <c r="I412" s="13" t="s">
        <v>20</v>
      </c>
      <c r="J412" s="14" t="s">
        <v>21</v>
      </c>
      <c r="K412" s="14">
        <v>7.0</v>
      </c>
      <c r="L412" s="14" t="str">
        <f t="array" ref="L412">INDEX('School Rep'!$A$2:$A$21, MATCH(J412, 'School Rep'!$B$2:$B$21, 0))</f>
        <v>Yesenia Lopez</v>
      </c>
      <c r="M412" s="15">
        <v>3.2</v>
      </c>
      <c r="N412" s="16" t="s">
        <v>1326</v>
      </c>
      <c r="O412" s="8" t="str">
        <f t="shared" si="1"/>
        <v>5250 S Rockwell St </v>
      </c>
      <c r="P412" s="12">
        <v>14.0</v>
      </c>
      <c r="Q412" s="13" t="s">
        <v>54</v>
      </c>
    </row>
    <row r="413">
      <c r="A413" s="7">
        <v>609961.0</v>
      </c>
      <c r="B413" s="12" t="s">
        <v>1327</v>
      </c>
      <c r="C413" s="18" t="s">
        <v>1328</v>
      </c>
      <c r="D413" s="19">
        <v>0.201</v>
      </c>
      <c r="E413" s="18" t="s">
        <v>80</v>
      </c>
      <c r="F413" s="18" t="s">
        <v>144</v>
      </c>
      <c r="G413" s="8" t="str">
        <f>VLOOKUP(F413, 'Network Chiefs'!A:B, 2, FALSE)
</f>
        <v>Shenethe Parks</v>
      </c>
      <c r="H413" s="12">
        <v>38.0</v>
      </c>
      <c r="I413" s="13" t="s">
        <v>41</v>
      </c>
      <c r="J413" s="14" t="s">
        <v>82</v>
      </c>
      <c r="K413" s="14">
        <v>10.0</v>
      </c>
      <c r="L413" s="14" t="str">
        <f t="array" ref="L413">INDEX('School Rep'!$A$2:$A$21, MATCH(J413, 'School Rep'!$B$2:$B$21, 0))</f>
        <v>Olga Bautista</v>
      </c>
      <c r="M413" s="12">
        <v>3.0</v>
      </c>
      <c r="N413" s="16" t="s">
        <v>1329</v>
      </c>
      <c r="O413" s="8" t="str">
        <f t="shared" si="1"/>
        <v>8344 S Commercial Ave </v>
      </c>
      <c r="P413" s="12">
        <v>7.0</v>
      </c>
      <c r="Q413" s="13" t="s">
        <v>260</v>
      </c>
    </row>
    <row r="414">
      <c r="A414" s="7">
        <v>610097.0</v>
      </c>
      <c r="B414" s="12" t="s">
        <v>1330</v>
      </c>
      <c r="C414" s="18" t="s">
        <v>1331</v>
      </c>
      <c r="D414" s="19">
        <v>0.15</v>
      </c>
      <c r="E414" s="18" t="s">
        <v>80</v>
      </c>
      <c r="F414" s="18" t="s">
        <v>102</v>
      </c>
      <c r="G414" s="8" t="str">
        <f>VLOOKUP(F414, 'Network Chiefs'!A:B, 2, FALSE)
</f>
        <v>Jerry Travlos</v>
      </c>
      <c r="H414" s="12">
        <v>44.0</v>
      </c>
      <c r="I414" s="13" t="s">
        <v>20</v>
      </c>
      <c r="J414" s="14" t="s">
        <v>232</v>
      </c>
      <c r="K414" s="14">
        <v>3.0</v>
      </c>
      <c r="L414" s="14" t="str">
        <f t="array" ref="L414">INDEX('School Rep'!$A$2:$A$21, MATCH(J414, 'School Rep'!$B$2:$B$21, 0))</f>
        <v>Carlos Rivas</v>
      </c>
      <c r="M414" s="12">
        <v>3.6</v>
      </c>
      <c r="N414" s="16" t="s">
        <v>1332</v>
      </c>
      <c r="O414" s="8" t="str">
        <f t="shared" si="1"/>
        <v>2121 N Keeler Ave </v>
      </c>
      <c r="P414" s="12">
        <v>35.0</v>
      </c>
      <c r="Q414" s="13" t="s">
        <v>49</v>
      </c>
    </row>
    <row r="415">
      <c r="A415" s="7">
        <v>400058.0</v>
      </c>
      <c r="B415" s="12" t="s">
        <v>1333</v>
      </c>
      <c r="C415" s="17" t="s">
        <v>1334</v>
      </c>
      <c r="D415" s="10">
        <v>0.162</v>
      </c>
      <c r="E415" s="11" t="s">
        <v>19</v>
      </c>
      <c r="F415" s="11" t="s">
        <v>19</v>
      </c>
      <c r="G415" s="8" t="str">
        <f>VLOOKUP(F415, 'Network Chiefs'!A:B, 2, FALSE)
</f>
        <v>#N/A</v>
      </c>
      <c r="H415" s="12">
        <v>40.0</v>
      </c>
      <c r="I415" s="13" t="s">
        <v>20</v>
      </c>
      <c r="J415" s="14" t="s">
        <v>217</v>
      </c>
      <c r="K415" s="14">
        <v>5.0</v>
      </c>
      <c r="L415" s="14" t="str">
        <f t="array" ref="L415">INDEX('School Rep'!$A$2:$A$21, MATCH(J415, 'School Rep'!$B$2:$B$21, 0))</f>
        <v>Michilla Blaise</v>
      </c>
      <c r="M415" s="12">
        <v>4.0</v>
      </c>
      <c r="N415" s="16" t="s">
        <v>1335</v>
      </c>
      <c r="O415" s="8" t="str">
        <f t="shared" si="1"/>
        <v>1615 S Christiana Ave </v>
      </c>
      <c r="P415" s="12">
        <v>24.0</v>
      </c>
      <c r="Q415" s="13" t="s">
        <v>517</v>
      </c>
    </row>
    <row r="416">
      <c r="A416" s="7">
        <v>400059.0</v>
      </c>
      <c r="B416" s="12" t="s">
        <v>1336</v>
      </c>
      <c r="C416" s="17" t="s">
        <v>1337</v>
      </c>
      <c r="D416" s="10">
        <v>0.169</v>
      </c>
      <c r="E416" s="11" t="s">
        <v>19</v>
      </c>
      <c r="F416" s="11" t="s">
        <v>19</v>
      </c>
      <c r="G416" s="8" t="str">
        <f>VLOOKUP(F416, 'Network Chiefs'!A:B, 2, FALSE)
</f>
        <v>#N/A</v>
      </c>
      <c r="H416" s="12">
        <v>60.0</v>
      </c>
      <c r="I416" s="13" t="s">
        <v>52</v>
      </c>
      <c r="J416" s="14" t="s">
        <v>217</v>
      </c>
      <c r="K416" s="14">
        <v>5.0</v>
      </c>
      <c r="L416" s="14" t="str">
        <f t="array" ref="L416">INDEX('School Rep'!$A$2:$A$21, MATCH(J416, 'School Rep'!$B$2:$B$21, 0))</f>
        <v>Michilla Blaise</v>
      </c>
      <c r="M416" s="12">
        <v>3.8</v>
      </c>
      <c r="N416" s="16" t="s">
        <v>516</v>
      </c>
      <c r="O416" s="8" t="str">
        <f t="shared" si="1"/>
        <v>1313 S Sacramento Dr </v>
      </c>
      <c r="P416" s="12">
        <v>24.0</v>
      </c>
      <c r="Q416" s="13" t="s">
        <v>517</v>
      </c>
    </row>
    <row r="417">
      <c r="A417" s="7">
        <v>610098.0</v>
      </c>
      <c r="B417" s="12" t="s">
        <v>1338</v>
      </c>
      <c r="C417" s="17" t="s">
        <v>1339</v>
      </c>
      <c r="D417" s="10">
        <v>0.132</v>
      </c>
      <c r="E417" s="11" t="s">
        <v>80</v>
      </c>
      <c r="F417" s="11" t="s">
        <v>126</v>
      </c>
      <c r="G417" s="8" t="str">
        <f>VLOOKUP(F417, 'Network Chiefs'!A:B, 2, FALSE)
</f>
        <v>#N/A</v>
      </c>
      <c r="H417" s="12">
        <v>63.0</v>
      </c>
      <c r="I417" s="13" t="s">
        <v>52</v>
      </c>
      <c r="J417" s="14" t="s">
        <v>232</v>
      </c>
      <c r="K417" s="14">
        <v>3.0</v>
      </c>
      <c r="L417" s="14" t="str">
        <f t="array" ref="L417">INDEX('School Rep'!$A$2:$A$21, MATCH(J417, 'School Rep'!$B$2:$B$21, 0))</f>
        <v>Carlos Rivas</v>
      </c>
      <c r="M417" s="12">
        <v>3.3</v>
      </c>
      <c r="N417" s="16" t="s">
        <v>1340</v>
      </c>
      <c r="O417" s="8" t="str">
        <f t="shared" si="1"/>
        <v>4127 W Hirsch St </v>
      </c>
      <c r="P417" s="12">
        <v>36.0</v>
      </c>
      <c r="Q417" s="13" t="s">
        <v>67</v>
      </c>
    </row>
    <row r="418">
      <c r="A418" s="7">
        <v>400170.0</v>
      </c>
      <c r="B418" s="12" t="s">
        <v>1341</v>
      </c>
      <c r="C418" s="11" t="s">
        <v>1342</v>
      </c>
      <c r="D418" s="10">
        <v>0.131</v>
      </c>
      <c r="E418" s="11" t="s">
        <v>19</v>
      </c>
      <c r="F418" s="11" t="s">
        <v>19</v>
      </c>
      <c r="G418" s="8" t="str">
        <f>VLOOKUP(F418, 'Network Chiefs'!A:B, 2, FALSE)
</f>
        <v>#N/A</v>
      </c>
      <c r="H418" s="12">
        <v>45.0</v>
      </c>
      <c r="I418" s="13" t="s">
        <v>20</v>
      </c>
      <c r="J418" s="15" t="s">
        <v>384</v>
      </c>
      <c r="K418" s="15" t="s">
        <v>384</v>
      </c>
      <c r="L418" s="15" t="s">
        <v>384</v>
      </c>
      <c r="M418" s="12">
        <v>2.8</v>
      </c>
      <c r="N418" s="16" t="s">
        <v>1343</v>
      </c>
      <c r="O418" s="8" t="str">
        <f t="shared" si="1"/>
        <v>1443 N Ogden Ave </v>
      </c>
      <c r="P418" s="12">
        <v>27.0</v>
      </c>
      <c r="Q418" s="13" t="s">
        <v>219</v>
      </c>
    </row>
    <row r="419">
      <c r="A419" s="7">
        <v>400157.0</v>
      </c>
      <c r="B419" s="13" t="s">
        <v>1344</v>
      </c>
      <c r="C419" s="11" t="s">
        <v>1345</v>
      </c>
      <c r="D419" s="10">
        <v>0.235</v>
      </c>
      <c r="E419" s="11" t="s">
        <v>19</v>
      </c>
      <c r="F419" s="11" t="s">
        <v>19</v>
      </c>
      <c r="G419" s="8" t="str">
        <f>VLOOKUP(F419, 'Network Chiefs'!A:B, 2, FALSE)
</f>
        <v>#N/A</v>
      </c>
      <c r="H419" s="12">
        <v>44.0</v>
      </c>
      <c r="I419" s="13" t="s">
        <v>20</v>
      </c>
      <c r="J419" s="14" t="s">
        <v>82</v>
      </c>
      <c r="K419" s="14">
        <v>10.0</v>
      </c>
      <c r="L419" s="14" t="str">
        <f t="array" ref="L419">INDEX('School Rep'!$A$2:$A$21, MATCH(J419, 'School Rep'!$B$2:$B$21, 0))</f>
        <v>Olga Bautista</v>
      </c>
      <c r="M419" s="12">
        <v>3.8</v>
      </c>
      <c r="N419" s="16" t="s">
        <v>264</v>
      </c>
      <c r="O419" s="8" t="str">
        <f t="shared" si="1"/>
        <v>2710 E 89th St </v>
      </c>
      <c r="P419" s="12">
        <v>7.0</v>
      </c>
      <c r="Q419" s="13" t="s">
        <v>260</v>
      </c>
    </row>
    <row r="420">
      <c r="A420" s="7">
        <v>400097.0</v>
      </c>
      <c r="B420" s="12" t="s">
        <v>1346</v>
      </c>
      <c r="C420" s="11" t="s">
        <v>1347</v>
      </c>
      <c r="D420" s="10">
        <v>0.073</v>
      </c>
      <c r="E420" s="11" t="s">
        <v>19</v>
      </c>
      <c r="F420" s="11" t="s">
        <v>19</v>
      </c>
      <c r="G420" s="8" t="str">
        <f>VLOOKUP(F420, 'Network Chiefs'!A:B, 2, FALSE)
</f>
        <v>#N/A</v>
      </c>
      <c r="H420" s="12">
        <v>18.0</v>
      </c>
      <c r="I420" s="13" t="s">
        <v>30</v>
      </c>
      <c r="J420" s="14" t="s">
        <v>217</v>
      </c>
      <c r="K420" s="14">
        <v>5.0</v>
      </c>
      <c r="L420" s="14" t="str">
        <f t="array" ref="L420">INDEX('School Rep'!$A$2:$A$21, MATCH(J420, 'School Rep'!$B$2:$B$21, 0))</f>
        <v>Michilla Blaise</v>
      </c>
      <c r="M420" s="12">
        <v>2.8</v>
      </c>
      <c r="N420" s="16" t="s">
        <v>1348</v>
      </c>
      <c r="O420" s="8" t="str">
        <f t="shared" si="1"/>
        <v>2040 W Adams St </v>
      </c>
      <c r="P420" s="12">
        <v>27.0</v>
      </c>
      <c r="Q420" s="13" t="s">
        <v>219</v>
      </c>
    </row>
    <row r="421">
      <c r="A421" s="7">
        <v>400156.0</v>
      </c>
      <c r="B421" s="13" t="s">
        <v>1349</v>
      </c>
      <c r="C421" s="11" t="s">
        <v>1350</v>
      </c>
      <c r="D421" s="10">
        <v>0.175</v>
      </c>
      <c r="E421" s="11" t="s">
        <v>19</v>
      </c>
      <c r="F421" s="11" t="s">
        <v>19</v>
      </c>
      <c r="G421" s="8" t="str">
        <f>VLOOKUP(F421, 'Network Chiefs'!A:B, 2, FALSE)
</f>
        <v>#N/A</v>
      </c>
      <c r="H421" s="12">
        <v>33.0</v>
      </c>
      <c r="I421" s="13" t="s">
        <v>41</v>
      </c>
      <c r="J421" s="14" t="s">
        <v>82</v>
      </c>
      <c r="K421" s="14">
        <v>10.0</v>
      </c>
      <c r="L421" s="14" t="str">
        <f t="array" ref="L421">INDEX('School Rep'!$A$2:$A$21, MATCH(J421, 'School Rep'!$B$2:$B$21, 0))</f>
        <v>Olga Bautista</v>
      </c>
      <c r="M421" s="12">
        <v>3.6</v>
      </c>
      <c r="N421" s="16" t="s">
        <v>536</v>
      </c>
      <c r="O421" s="8" t="str">
        <f t="shared" si="1"/>
        <v>821 E 103rd St </v>
      </c>
      <c r="P421" s="12">
        <v>9.0</v>
      </c>
      <c r="Q421" s="13" t="s">
        <v>237</v>
      </c>
    </row>
    <row r="422">
      <c r="A422" s="7">
        <v>400052.0</v>
      </c>
      <c r="B422" s="13" t="s">
        <v>1351</v>
      </c>
      <c r="C422" s="11" t="s">
        <v>1352</v>
      </c>
      <c r="D422" s="10">
        <v>0.123</v>
      </c>
      <c r="E422" s="11" t="s">
        <v>19</v>
      </c>
      <c r="F422" s="11" t="s">
        <v>19</v>
      </c>
      <c r="G422" s="8" t="str">
        <f>VLOOKUP(F422, 'Network Chiefs'!A:B, 2, FALSE)
</f>
        <v>#N/A</v>
      </c>
      <c r="H422" s="12">
        <v>48.0</v>
      </c>
      <c r="I422" s="13" t="s">
        <v>20</v>
      </c>
      <c r="J422" s="14" t="s">
        <v>121</v>
      </c>
      <c r="K422" s="14">
        <v>10.0</v>
      </c>
      <c r="L422" s="14" t="str">
        <f t="array" ref="L422">INDEX('School Rep'!$A$2:$A$21, MATCH(J422, 'School Rep'!$B$2:$B$21, 0))</f>
        <v>Che "Rhymefest" Smith</v>
      </c>
      <c r="M422" s="12">
        <v>3.3</v>
      </c>
      <c r="N422" s="16" t="s">
        <v>1353</v>
      </c>
      <c r="O422" s="8" t="str">
        <f t="shared" si="1"/>
        <v>7131 S South Chicago Ave </v>
      </c>
      <c r="P422" s="12">
        <v>5.0</v>
      </c>
      <c r="Q422" s="13" t="s">
        <v>357</v>
      </c>
    </row>
    <row r="423">
      <c r="A423" s="7">
        <v>400118.0</v>
      </c>
      <c r="B423" s="12" t="s">
        <v>1354</v>
      </c>
      <c r="C423" s="11" t="s">
        <v>1355</v>
      </c>
      <c r="D423" s="10">
        <v>0.312</v>
      </c>
      <c r="E423" s="11" t="s">
        <v>19</v>
      </c>
      <c r="F423" s="11" t="s">
        <v>19</v>
      </c>
      <c r="G423" s="8" t="str">
        <f>VLOOKUP(F423, 'Network Chiefs'!A:B, 2, FALSE)
</f>
        <v>#N/A</v>
      </c>
      <c r="H423" s="15"/>
      <c r="I423" s="8"/>
      <c r="J423" s="14" t="s">
        <v>217</v>
      </c>
      <c r="K423" s="14">
        <v>5.0</v>
      </c>
      <c r="L423" s="14" t="str">
        <f t="array" ref="L423">INDEX('School Rep'!$A$2:$A$21, MATCH(J423, 'School Rep'!$B$2:$B$21, 0))</f>
        <v>Michilla Blaise</v>
      </c>
      <c r="M423" s="12">
        <v>4.0</v>
      </c>
      <c r="N423" s="16" t="s">
        <v>1356</v>
      </c>
      <c r="O423" s="8" t="str">
        <f t="shared" si="1"/>
        <v>931 S Homan Ave </v>
      </c>
      <c r="P423" s="12">
        <v>24.0</v>
      </c>
      <c r="Q423" s="13" t="s">
        <v>517</v>
      </c>
    </row>
    <row r="424">
      <c r="A424" s="7">
        <v>400053.0</v>
      </c>
      <c r="B424" s="12" t="s">
        <v>1357</v>
      </c>
      <c r="C424" s="11" t="s">
        <v>1358</v>
      </c>
      <c r="D424" s="10">
        <v>0.152</v>
      </c>
      <c r="E424" s="11" t="s">
        <v>19</v>
      </c>
      <c r="F424" s="11" t="s">
        <v>19</v>
      </c>
      <c r="G424" s="8" t="str">
        <f>VLOOKUP(F424, 'Network Chiefs'!A:B, 2, FALSE)
</f>
        <v>#N/A</v>
      </c>
      <c r="H424" s="12">
        <v>39.0</v>
      </c>
      <c r="I424" s="13" t="s">
        <v>41</v>
      </c>
      <c r="J424" s="14" t="s">
        <v>217</v>
      </c>
      <c r="K424" s="14">
        <v>5.0</v>
      </c>
      <c r="L424" s="14" t="str">
        <f t="array" ref="L424">INDEX('School Rep'!$A$2:$A$21, MATCH(J424, 'School Rep'!$B$2:$B$21, 0))</f>
        <v>Michilla Blaise</v>
      </c>
      <c r="M424" s="12">
        <v>2.9</v>
      </c>
      <c r="N424" s="16" t="s">
        <v>1359</v>
      </c>
      <c r="O424" s="8" t="str">
        <f t="shared" si="1"/>
        <v>1454 W Superior St </v>
      </c>
      <c r="P424" s="12">
        <v>27.0</v>
      </c>
      <c r="Q424" s="13" t="s">
        <v>219</v>
      </c>
    </row>
    <row r="425">
      <c r="A425" s="7">
        <v>400117.0</v>
      </c>
      <c r="B425" s="8" t="s">
        <v>1360</v>
      </c>
      <c r="C425" s="11" t="s">
        <v>1361</v>
      </c>
      <c r="D425" s="10">
        <v>0.086</v>
      </c>
      <c r="E425" s="11" t="s">
        <v>19</v>
      </c>
      <c r="F425" s="11" t="s">
        <v>19</v>
      </c>
      <c r="G425" s="8" t="str">
        <f>VLOOKUP(F425, 'Network Chiefs'!A:B, 2, FALSE)
</f>
        <v>#N/A</v>
      </c>
      <c r="H425" s="12">
        <v>39.0</v>
      </c>
      <c r="I425" s="13" t="s">
        <v>41</v>
      </c>
      <c r="J425" s="14" t="s">
        <v>187</v>
      </c>
      <c r="K425" s="14">
        <v>9.0</v>
      </c>
      <c r="L425" s="14" t="str">
        <f t="array" ref="L425">INDEX('School Rep'!$A$2:$A$21, MATCH(J425, 'School Rep'!$B$2:$B$21, 0))</f>
        <v>Frank Niles Thomas</v>
      </c>
      <c r="M425" s="15">
        <v>3.6</v>
      </c>
      <c r="N425" s="16" t="s">
        <v>1362</v>
      </c>
      <c r="O425" s="8" t="str">
        <f t="shared" si="1"/>
        <v>8748 S Aberdeen St </v>
      </c>
      <c r="P425" s="12">
        <v>21.0</v>
      </c>
      <c r="Q425" s="13" t="s">
        <v>428</v>
      </c>
    </row>
    <row r="426">
      <c r="A426" s="7">
        <v>400169.0</v>
      </c>
      <c r="B426" s="12" t="s">
        <v>1363</v>
      </c>
      <c r="C426" s="11" t="s">
        <v>1364</v>
      </c>
      <c r="D426" s="10">
        <v>0.067</v>
      </c>
      <c r="E426" s="11" t="s">
        <v>19</v>
      </c>
      <c r="F426" s="11" t="s">
        <v>19</v>
      </c>
      <c r="G426" s="8" t="str">
        <f>VLOOKUP(F426, 'Network Chiefs'!A:B, 2, FALSE)
</f>
        <v>#N/A</v>
      </c>
      <c r="H426" s="12">
        <v>36.0</v>
      </c>
      <c r="I426" s="13" t="s">
        <v>41</v>
      </c>
      <c r="J426" s="14" t="s">
        <v>232</v>
      </c>
      <c r="K426" s="14">
        <v>3.0</v>
      </c>
      <c r="L426" s="14" t="str">
        <f t="array" ref="L426">INDEX('School Rep'!$A$2:$A$21, MATCH(J426, 'School Rep'!$B$2:$B$21, 0))</f>
        <v>Carlos Rivas</v>
      </c>
      <c r="M426" s="12">
        <v>3.2</v>
      </c>
      <c r="N426" s="16" t="s">
        <v>1365</v>
      </c>
      <c r="O426" s="8" t="str">
        <f t="shared" si="1"/>
        <v>5321 W Grand Ave </v>
      </c>
      <c r="P426" s="12">
        <v>37.0</v>
      </c>
      <c r="Q426" s="13" t="s">
        <v>162</v>
      </c>
    </row>
    <row r="427">
      <c r="A427" s="7">
        <v>400106.0</v>
      </c>
      <c r="B427" s="8" t="s">
        <v>1366</v>
      </c>
      <c r="C427" s="9" t="s">
        <v>1367</v>
      </c>
      <c r="D427" s="10">
        <v>0.141</v>
      </c>
      <c r="E427" s="11" t="s">
        <v>19</v>
      </c>
      <c r="F427" s="11" t="s">
        <v>19</v>
      </c>
      <c r="G427" s="8" t="str">
        <f>VLOOKUP(F427, 'Network Chiefs'!A:B, 2, FALSE)
</f>
        <v>#N/A</v>
      </c>
      <c r="H427" s="12">
        <v>41.0</v>
      </c>
      <c r="I427" s="13" t="s">
        <v>20</v>
      </c>
      <c r="J427" s="14" t="s">
        <v>204</v>
      </c>
      <c r="K427" s="14">
        <v>6.0</v>
      </c>
      <c r="L427" s="14" t="str">
        <f t="array" ref="L427">INDEX('School Rep'!$A$2:$A$21, MATCH(J427, 'School Rep'!$B$2:$B$21, 0))</f>
        <v>Jessica Biggs</v>
      </c>
      <c r="M427" s="15">
        <v>4.0</v>
      </c>
      <c r="N427" s="16" t="s">
        <v>1368</v>
      </c>
      <c r="O427" s="8" t="str">
        <f t="shared" si="1"/>
        <v>6350 S Stewart Ave </v>
      </c>
      <c r="P427" s="12">
        <v>20.0</v>
      </c>
      <c r="Q427" s="13" t="s">
        <v>368</v>
      </c>
    </row>
    <row r="428">
      <c r="A428" s="7">
        <v>400179.0</v>
      </c>
      <c r="B428" s="8" t="s">
        <v>1369</v>
      </c>
      <c r="C428" s="18" t="s">
        <v>1370</v>
      </c>
      <c r="D428" s="19">
        <v>0.094</v>
      </c>
      <c r="E428" s="18" t="s">
        <v>19</v>
      </c>
      <c r="F428" s="18" t="s">
        <v>19</v>
      </c>
      <c r="G428" s="8" t="str">
        <f>VLOOKUP(F428, 'Network Chiefs'!A:B, 2, FALSE)
</f>
        <v>#N/A</v>
      </c>
      <c r="H428" s="12">
        <v>64.0</v>
      </c>
      <c r="I428" s="13" t="s">
        <v>52</v>
      </c>
      <c r="J428" s="14" t="s">
        <v>21</v>
      </c>
      <c r="K428" s="14">
        <v>7.0</v>
      </c>
      <c r="L428" s="14" t="str">
        <f t="array" ref="L428">INDEX('School Rep'!$A$2:$A$21, MATCH(J428, 'School Rep'!$B$2:$B$21, 0))</f>
        <v>Yesenia Lopez</v>
      </c>
      <c r="M428" s="15">
        <v>3.3</v>
      </c>
      <c r="N428" s="16" t="s">
        <v>1371</v>
      </c>
      <c r="O428" s="8" t="str">
        <f t="shared" si="1"/>
        <v>2911 W 47Th </v>
      </c>
      <c r="P428" s="12">
        <v>14.0</v>
      </c>
      <c r="Q428" s="13" t="s">
        <v>54</v>
      </c>
    </row>
    <row r="429">
      <c r="A429" s="7">
        <v>400098.0</v>
      </c>
      <c r="B429" s="8" t="s">
        <v>1372</v>
      </c>
      <c r="C429" s="11" t="s">
        <v>1373</v>
      </c>
      <c r="D429" s="10">
        <v>0.165</v>
      </c>
      <c r="E429" s="11" t="s">
        <v>19</v>
      </c>
      <c r="F429" s="11" t="s">
        <v>19</v>
      </c>
      <c r="G429" s="8" t="str">
        <f>VLOOKUP(F429, 'Network Chiefs'!A:B, 2, FALSE)
</f>
        <v>#N/A</v>
      </c>
      <c r="H429" s="12">
        <v>25.0</v>
      </c>
      <c r="I429" s="13" t="s">
        <v>41</v>
      </c>
      <c r="J429" s="14" t="s">
        <v>204</v>
      </c>
      <c r="K429" s="14">
        <v>6.0</v>
      </c>
      <c r="L429" s="14" t="str">
        <f t="array" ref="L429">INDEX('School Rep'!$A$2:$A$21, MATCH(J429, 'School Rep'!$B$2:$B$21, 0))</f>
        <v>Jessica Biggs</v>
      </c>
      <c r="M429" s="15">
        <v>3.0</v>
      </c>
      <c r="N429" s="16" t="s">
        <v>1374</v>
      </c>
      <c r="O429" s="8" t="str">
        <f t="shared" si="1"/>
        <v>1 N State St </v>
      </c>
      <c r="P429" s="12">
        <v>34.0</v>
      </c>
      <c r="Q429" s="13" t="s">
        <v>444</v>
      </c>
    </row>
    <row r="430">
      <c r="A430" s="7">
        <v>400051.0</v>
      </c>
      <c r="B430" s="12" t="s">
        <v>1375</v>
      </c>
      <c r="C430" s="11" t="s">
        <v>1376</v>
      </c>
      <c r="D430" s="10">
        <v>0.061</v>
      </c>
      <c r="E430" s="11" t="s">
        <v>19</v>
      </c>
      <c r="F430" s="11" t="s">
        <v>19</v>
      </c>
      <c r="G430" s="8" t="str">
        <f>VLOOKUP(F430, 'Network Chiefs'!A:B, 2, FALSE)
</f>
        <v>#N/A</v>
      </c>
      <c r="H430" s="12">
        <v>72.0</v>
      </c>
      <c r="I430" s="13" t="s">
        <v>52</v>
      </c>
      <c r="J430" s="14" t="s">
        <v>217</v>
      </c>
      <c r="K430" s="14">
        <v>5.0</v>
      </c>
      <c r="L430" s="14" t="str">
        <f t="array" ref="L430">INDEX('School Rep'!$A$2:$A$21, MATCH(J430, 'School Rep'!$B$2:$B$21, 0))</f>
        <v>Michilla Blaise</v>
      </c>
      <c r="M430" s="12">
        <v>2.6</v>
      </c>
      <c r="N430" s="16" t="s">
        <v>1377</v>
      </c>
      <c r="O430" s="8" t="str">
        <f t="shared" si="1"/>
        <v>1010 N Noble St </v>
      </c>
      <c r="P430" s="12">
        <v>1.0</v>
      </c>
      <c r="Q430" s="13" t="s">
        <v>275</v>
      </c>
    </row>
    <row r="431">
      <c r="A431" s="7">
        <v>400054.0</v>
      </c>
      <c r="B431" s="12" t="s">
        <v>1378</v>
      </c>
      <c r="C431" s="11" t="s">
        <v>1379</v>
      </c>
      <c r="D431" s="10">
        <v>0.055</v>
      </c>
      <c r="E431" s="11" t="s">
        <v>19</v>
      </c>
      <c r="F431" s="11" t="s">
        <v>19</v>
      </c>
      <c r="G431" s="8" t="str">
        <f>VLOOKUP(F431, 'Network Chiefs'!A:B, 2, FALSE)
</f>
        <v>#N/A</v>
      </c>
      <c r="H431" s="12">
        <v>45.0</v>
      </c>
      <c r="I431" s="13" t="s">
        <v>20</v>
      </c>
      <c r="J431" s="14" t="s">
        <v>232</v>
      </c>
      <c r="K431" s="14">
        <v>3.0</v>
      </c>
      <c r="L431" s="14" t="str">
        <f t="array" ref="L431">INDEX('School Rep'!$A$2:$A$21, MATCH(J431, 'School Rep'!$B$2:$B$21, 0))</f>
        <v>Carlos Rivas</v>
      </c>
      <c r="M431" s="12">
        <v>3.3</v>
      </c>
      <c r="N431" s="16" t="s">
        <v>1380</v>
      </c>
      <c r="O431" s="8" t="str">
        <f t="shared" si="1"/>
        <v>4131 W Cortland St </v>
      </c>
      <c r="P431" s="12">
        <v>26.0</v>
      </c>
      <c r="Q431" s="13" t="s">
        <v>378</v>
      </c>
    </row>
    <row r="432">
      <c r="A432" s="7">
        <v>400055.0</v>
      </c>
      <c r="B432" s="12" t="s">
        <v>1381</v>
      </c>
      <c r="C432" s="11" t="s">
        <v>1382</v>
      </c>
      <c r="D432" s="10">
        <v>0.128</v>
      </c>
      <c r="E432" s="11" t="s">
        <v>19</v>
      </c>
      <c r="F432" s="11" t="s">
        <v>19</v>
      </c>
      <c r="G432" s="8" t="str">
        <f>VLOOKUP(F432, 'Network Chiefs'!A:B, 2, FALSE)
</f>
        <v>#N/A</v>
      </c>
      <c r="H432" s="12">
        <v>50.0</v>
      </c>
      <c r="I432" s="13" t="s">
        <v>20</v>
      </c>
      <c r="J432" s="14" t="s">
        <v>217</v>
      </c>
      <c r="K432" s="14">
        <v>5.0</v>
      </c>
      <c r="L432" s="14" t="str">
        <f t="array" ref="L432">INDEX('School Rep'!$A$2:$A$21, MATCH(J432, 'School Rep'!$B$2:$B$21, 0))</f>
        <v>Michilla Blaise</v>
      </c>
      <c r="M432" s="12">
        <v>2.6</v>
      </c>
      <c r="N432" s="16" t="s">
        <v>1383</v>
      </c>
      <c r="O432" s="8" t="str">
        <f t="shared" si="1"/>
        <v>1337 W Ohio St </v>
      </c>
      <c r="P432" s="12">
        <v>1.0</v>
      </c>
      <c r="Q432" s="13" t="s">
        <v>275</v>
      </c>
    </row>
    <row r="433">
      <c r="A433" s="7">
        <v>400056.0</v>
      </c>
      <c r="B433" s="12" t="s">
        <v>1384</v>
      </c>
      <c r="C433" s="18" t="s">
        <v>1385</v>
      </c>
      <c r="D433" s="19">
        <v>0.138</v>
      </c>
      <c r="E433" s="18" t="s">
        <v>19</v>
      </c>
      <c r="F433" s="18" t="s">
        <v>19</v>
      </c>
      <c r="G433" s="8" t="str">
        <f>VLOOKUP(F433, 'Network Chiefs'!A:B, 2, FALSE)
</f>
        <v>#N/A</v>
      </c>
      <c r="H433" s="15"/>
      <c r="I433" s="8"/>
      <c r="J433" s="14" t="s">
        <v>31</v>
      </c>
      <c r="K433" s="14">
        <v>5.0</v>
      </c>
      <c r="L433" s="14" t="str">
        <f t="array" ref="L433">INDEX('School Rep'!$A$2:$A$21, MATCH(J433, 'School Rep'!$B$2:$B$21, 0))</f>
        <v>Aaron "Jitu" Brown</v>
      </c>
      <c r="M433" s="12">
        <v>3.9</v>
      </c>
      <c r="N433" s="16" t="s">
        <v>1386</v>
      </c>
      <c r="O433" s="8" t="str">
        <f t="shared" si="1"/>
        <v>3645 W Chicago Ave </v>
      </c>
      <c r="P433" s="12">
        <v>27.0</v>
      </c>
      <c r="Q433" s="13" t="s">
        <v>219</v>
      </c>
    </row>
    <row r="434">
      <c r="A434" s="7">
        <v>400057.0</v>
      </c>
      <c r="B434" s="8" t="s">
        <v>1387</v>
      </c>
      <c r="C434" s="11" t="s">
        <v>1388</v>
      </c>
      <c r="D434" s="10">
        <v>0.145</v>
      </c>
      <c r="E434" s="11" t="s">
        <v>19</v>
      </c>
      <c r="F434" s="11" t="s">
        <v>19</v>
      </c>
      <c r="G434" s="8" t="str">
        <f>VLOOKUP(F434, 'Network Chiefs'!A:B, 2, FALSE)
</f>
        <v>#N/A</v>
      </c>
      <c r="H434" s="12">
        <v>35.0</v>
      </c>
      <c r="I434" s="13" t="s">
        <v>41</v>
      </c>
      <c r="J434" s="14" t="s">
        <v>42</v>
      </c>
      <c r="K434" s="14">
        <v>7.0</v>
      </c>
      <c r="L434" s="14" t="str">
        <f t="array" ref="L434">INDEX('School Rep'!$A$2:$A$21, MATCH(J434, 'School Rep'!$B$2:$B$21, 0))</f>
        <v>Emma Lozano</v>
      </c>
      <c r="M434" s="15">
        <v>3.0</v>
      </c>
      <c r="N434" s="16" t="s">
        <v>1389</v>
      </c>
      <c r="O434" s="8" t="str">
        <f t="shared" si="1"/>
        <v>1231 S Damen Ave </v>
      </c>
      <c r="P434" s="12">
        <v>28.0</v>
      </c>
      <c r="Q434" s="13" t="s">
        <v>399</v>
      </c>
    </row>
    <row r="435">
      <c r="A435" s="7">
        <v>610354.0</v>
      </c>
      <c r="B435" s="12" t="s">
        <v>1390</v>
      </c>
      <c r="C435" s="17" t="s">
        <v>1391</v>
      </c>
      <c r="D435" s="10">
        <v>0.275</v>
      </c>
      <c r="E435" s="11" t="s">
        <v>80</v>
      </c>
      <c r="F435" s="11" t="s">
        <v>97</v>
      </c>
      <c r="G435" s="8" t="str">
        <f>VLOOKUP(F435, 'Network Chiefs'!A:B, 2, FALSE)
</f>
        <v>Julie McGlade</v>
      </c>
      <c r="H435" s="12">
        <v>43.0</v>
      </c>
      <c r="I435" s="13" t="s">
        <v>20</v>
      </c>
      <c r="J435" s="14" t="s">
        <v>47</v>
      </c>
      <c r="K435" s="14">
        <v>3.0</v>
      </c>
      <c r="L435" s="14" t="str">
        <f t="array" ref="L435">INDEX('School Rep'!$A$2:$A$21, MATCH(J435, 'School Rep'!$B$2:$B$21, 0))</f>
        <v>Norma Rios-Sierra</v>
      </c>
      <c r="M435" s="12">
        <v>2.3</v>
      </c>
      <c r="N435" s="16" t="s">
        <v>155</v>
      </c>
      <c r="O435" s="8" t="str">
        <f t="shared" si="1"/>
        <v>3729 W Leland Ave </v>
      </c>
      <c r="P435" s="12">
        <v>33.0</v>
      </c>
      <c r="Q435" s="13" t="s">
        <v>99</v>
      </c>
    </row>
    <row r="436">
      <c r="A436" s="7">
        <v>609691.0</v>
      </c>
      <c r="B436" s="12" t="s">
        <v>1392</v>
      </c>
      <c r="C436" s="18" t="s">
        <v>1393</v>
      </c>
      <c r="D436" s="19">
        <v>0.113</v>
      </c>
      <c r="E436" s="18" t="s">
        <v>80</v>
      </c>
      <c r="F436" s="18" t="s">
        <v>108</v>
      </c>
      <c r="G436" s="8" t="str">
        <f>VLOOKUP(F436, 'Network Chiefs'!A:B, 2, FALSE)
</f>
        <v>Michael Boraz</v>
      </c>
      <c r="H436" s="12">
        <v>60.0</v>
      </c>
      <c r="I436" s="13" t="s">
        <v>52</v>
      </c>
      <c r="J436" s="14" t="s">
        <v>232</v>
      </c>
      <c r="K436" s="14">
        <v>3.0</v>
      </c>
      <c r="L436" s="14" t="str">
        <f t="array" ref="L436">INDEX('School Rep'!$A$2:$A$21, MATCH(J436, 'School Rep'!$B$2:$B$21, 0))</f>
        <v>Carlos Rivas</v>
      </c>
      <c r="M436" s="12">
        <v>3.2</v>
      </c>
      <c r="N436" s="16" t="s">
        <v>1394</v>
      </c>
      <c r="O436" s="8" t="str">
        <f t="shared" si="1"/>
        <v>4338 W Wabansia Ave </v>
      </c>
      <c r="P436" s="12">
        <v>26.0</v>
      </c>
      <c r="Q436" s="13" t="s">
        <v>378</v>
      </c>
    </row>
    <row r="437">
      <c r="A437" s="7">
        <v>609744.0</v>
      </c>
      <c r="B437" s="8" t="s">
        <v>1395</v>
      </c>
      <c r="C437" s="9" t="s">
        <v>1396</v>
      </c>
      <c r="D437" s="10">
        <v>0.0</v>
      </c>
      <c r="E437" s="11" t="s">
        <v>80</v>
      </c>
      <c r="F437" s="11" t="s">
        <v>116</v>
      </c>
      <c r="G437" s="8" t="str">
        <f>VLOOKUP(F437, 'Network Chiefs'!A:B, 2, FALSE)
</f>
        <v>Dr. Laura LeMone</v>
      </c>
      <c r="H437" s="15"/>
      <c r="I437" s="8"/>
      <c r="J437" s="15" t="s">
        <v>384</v>
      </c>
      <c r="K437" s="15" t="s">
        <v>384</v>
      </c>
      <c r="L437" s="15" t="s">
        <v>384</v>
      </c>
      <c r="M437" s="15" t="s">
        <v>384</v>
      </c>
      <c r="N437" s="16" t="s">
        <v>1397</v>
      </c>
      <c r="O437" s="8" t="str">
        <f t="shared" si="1"/>
        <v>3730 W Bryn Mawr Ave </v>
      </c>
      <c r="P437" s="12">
        <v>39.0</v>
      </c>
      <c r="Q437" s="13" t="s">
        <v>224</v>
      </c>
    </row>
    <row r="438">
      <c r="A438" s="7">
        <v>609749.0</v>
      </c>
      <c r="B438" s="13" t="s">
        <v>1398</v>
      </c>
      <c r="C438" s="17" t="s">
        <v>1399</v>
      </c>
      <c r="D438" s="10">
        <v>0.0</v>
      </c>
      <c r="E438" s="11" t="s">
        <v>80</v>
      </c>
      <c r="F438" s="11" t="s">
        <v>116</v>
      </c>
      <c r="G438" s="8" t="str">
        <f>VLOOKUP(F438, 'Network Chiefs'!A:B, 2, FALSE)
</f>
        <v>Dr. Laura LeMone</v>
      </c>
      <c r="H438" s="15"/>
      <c r="I438" s="8"/>
      <c r="J438" s="14" t="s">
        <v>87</v>
      </c>
      <c r="K438" s="14">
        <v>2.0</v>
      </c>
      <c r="L438" s="14" t="str">
        <f t="array" ref="L438">INDEX('School Rep'!$A$2:$A$21, MATCH(J438, 'School Rep'!$B$2:$B$21, 0))</f>
        <v>Debby Pope</v>
      </c>
      <c r="M438" s="12">
        <v>1.4</v>
      </c>
      <c r="N438" s="16" t="s">
        <v>1400</v>
      </c>
      <c r="O438" s="8" t="str">
        <f t="shared" si="1"/>
        <v>5501 N Kedzie Ave </v>
      </c>
      <c r="P438" s="12">
        <v>39.0</v>
      </c>
      <c r="Q438" s="13" t="s">
        <v>224</v>
      </c>
    </row>
    <row r="439">
      <c r="A439" s="7">
        <v>610051.0</v>
      </c>
      <c r="B439" s="12" t="s">
        <v>1401</v>
      </c>
      <c r="C439" s="17" t="s">
        <v>1402</v>
      </c>
      <c r="D439" s="10">
        <v>0.118</v>
      </c>
      <c r="E439" s="11" t="s">
        <v>80</v>
      </c>
      <c r="F439" s="11" t="s">
        <v>231</v>
      </c>
      <c r="G439" s="8" t="str">
        <f>VLOOKUP(F439, 'Network Chiefs'!A:B, 2, FALSE)
</f>
        <v>Jennifer Farrell‐Rottman</v>
      </c>
      <c r="H439" s="12">
        <v>55.0</v>
      </c>
      <c r="I439" s="13" t="s">
        <v>20</v>
      </c>
      <c r="J439" s="14" t="s">
        <v>232</v>
      </c>
      <c r="K439" s="14">
        <v>3.0</v>
      </c>
      <c r="L439" s="14" t="str">
        <f t="array" ref="L439">INDEX('School Rep'!$A$2:$A$21, MATCH(J439, 'School Rep'!$B$2:$B$21, 0))</f>
        <v>Carlos Rivas</v>
      </c>
      <c r="M439" s="12">
        <v>3.8</v>
      </c>
      <c r="N439" s="16" t="s">
        <v>233</v>
      </c>
      <c r="O439" s="8" t="str">
        <f t="shared" si="1"/>
        <v>5252 W Palmer St </v>
      </c>
      <c r="P439" s="12">
        <v>36.0</v>
      </c>
      <c r="Q439" s="13" t="s">
        <v>67</v>
      </c>
    </row>
    <row r="440">
      <c r="A440" s="7">
        <v>610099.0</v>
      </c>
      <c r="B440" s="13" t="s">
        <v>1403</v>
      </c>
      <c r="C440" s="9" t="s">
        <v>1404</v>
      </c>
      <c r="D440" s="10">
        <v>0.0</v>
      </c>
      <c r="E440" s="11" t="s">
        <v>80</v>
      </c>
      <c r="F440" s="11" t="s">
        <v>97</v>
      </c>
      <c r="G440" s="8" t="str">
        <f>VLOOKUP(F440, 'Network Chiefs'!A:B, 2, FALSE)
</f>
        <v>Julie McGlade</v>
      </c>
      <c r="H440" s="12">
        <v>66.0</v>
      </c>
      <c r="I440" s="13" t="s">
        <v>52</v>
      </c>
      <c r="J440" s="14" t="s">
        <v>199</v>
      </c>
      <c r="K440" s="14">
        <v>1.0</v>
      </c>
      <c r="L440" s="14" t="str">
        <f t="array" ref="L440">INDEX('School Rep'!$A$2:$A$21, MATCH(J440, 'School Rep'!$B$2:$B$21, 0))</f>
        <v>Ed Bannon</v>
      </c>
      <c r="M440" s="12">
        <v>1.5</v>
      </c>
      <c r="N440" s="16" t="s">
        <v>1405</v>
      </c>
      <c r="O440" s="8" t="str">
        <f t="shared" si="1"/>
        <v>5900 N Nina Ave </v>
      </c>
      <c r="P440" s="12">
        <v>41.0</v>
      </c>
      <c r="Q440" s="13" t="s">
        <v>201</v>
      </c>
    </row>
    <row r="441">
      <c r="A441" s="7">
        <v>610101.0</v>
      </c>
      <c r="B441" s="8" t="s">
        <v>1406</v>
      </c>
      <c r="C441" s="18" t="s">
        <v>1407</v>
      </c>
      <c r="D441" s="19">
        <v>0.191</v>
      </c>
      <c r="E441" s="18" t="s">
        <v>80</v>
      </c>
      <c r="F441" s="18" t="s">
        <v>108</v>
      </c>
      <c r="G441" s="8" t="str">
        <f>VLOOKUP(F441, 'Network Chiefs'!A:B, 2, FALSE)
</f>
        <v>Michael Boraz</v>
      </c>
      <c r="H441" s="12">
        <v>33.0</v>
      </c>
      <c r="I441" s="13" t="s">
        <v>41</v>
      </c>
      <c r="J441" s="14" t="s">
        <v>462</v>
      </c>
      <c r="K441" s="14">
        <v>6.0</v>
      </c>
      <c r="L441" s="14" t="str">
        <f t="array" ref="L441">INDEX('School Rep'!$A$2:$A$21, MATCH(J441, 'School Rep'!$B$2:$B$21, 0))</f>
        <v>Anusha Thotakura</v>
      </c>
      <c r="M441" s="15">
        <v>2.2</v>
      </c>
      <c r="N441" s="16" t="s">
        <v>1408</v>
      </c>
      <c r="O441" s="8" t="str">
        <f t="shared" si="1"/>
        <v>24 W Walton St </v>
      </c>
      <c r="P441" s="12">
        <v>2.0</v>
      </c>
      <c r="Q441" s="13" t="s">
        <v>758</v>
      </c>
    </row>
    <row r="442">
      <c r="A442" s="7">
        <v>610529.0</v>
      </c>
      <c r="B442" s="12" t="s">
        <v>1409</v>
      </c>
      <c r="C442" s="11" t="s">
        <v>1410</v>
      </c>
      <c r="D442" s="10">
        <v>0.059</v>
      </c>
      <c r="E442" s="11" t="s">
        <v>80</v>
      </c>
      <c r="F442" s="11" t="s">
        <v>108</v>
      </c>
      <c r="G442" s="8" t="str">
        <f>VLOOKUP(F442, 'Network Chiefs'!A:B, 2, FALSE)
</f>
        <v>Michael Boraz</v>
      </c>
      <c r="H442" s="12">
        <v>64.0</v>
      </c>
      <c r="I442" s="13" t="s">
        <v>52</v>
      </c>
      <c r="J442" s="14" t="s">
        <v>217</v>
      </c>
      <c r="K442" s="14">
        <v>5.0</v>
      </c>
      <c r="L442" s="14" t="str">
        <f t="array" ref="L442">INDEX('School Rep'!$A$2:$A$21, MATCH(J442, 'School Rep'!$B$2:$B$21, 0))</f>
        <v>Michilla Blaise</v>
      </c>
      <c r="M442" s="12">
        <v>2.4</v>
      </c>
      <c r="N442" s="16" t="s">
        <v>1411</v>
      </c>
      <c r="O442" s="8" t="str">
        <f t="shared" si="1"/>
        <v>1250 W Erie St </v>
      </c>
      <c r="P442" s="12">
        <v>27.0</v>
      </c>
      <c r="Q442" s="13" t="s">
        <v>219</v>
      </c>
    </row>
    <row r="443">
      <c r="A443" s="7">
        <v>610102.0</v>
      </c>
      <c r="B443" s="8" t="s">
        <v>1412</v>
      </c>
      <c r="C443" s="18" t="s">
        <v>1413</v>
      </c>
      <c r="D443" s="19">
        <v>0.246</v>
      </c>
      <c r="E443" s="18" t="s">
        <v>80</v>
      </c>
      <c r="F443" s="18" t="s">
        <v>186</v>
      </c>
      <c r="G443" s="8" t="str">
        <f>VLOOKUP(F443, 'Network Chiefs'!A:B, 2, FALSE)
</f>
        <v>Latasha Geverola</v>
      </c>
      <c r="H443" s="12">
        <v>49.0</v>
      </c>
      <c r="I443" s="13" t="s">
        <v>20</v>
      </c>
      <c r="J443" s="14" t="s">
        <v>187</v>
      </c>
      <c r="K443" s="14">
        <v>9.0</v>
      </c>
      <c r="L443" s="14" t="str">
        <f t="array" ref="L443">INDEX('School Rep'!$A$2:$A$21, MATCH(J443, 'School Rep'!$B$2:$B$21, 0))</f>
        <v>Frank Niles Thomas</v>
      </c>
      <c r="M443" s="15">
        <v>3.4</v>
      </c>
      <c r="N443" s="16" t="s">
        <v>1414</v>
      </c>
      <c r="O443" s="8" t="str">
        <f t="shared" si="1"/>
        <v>7646 S Green St </v>
      </c>
      <c r="P443" s="12">
        <v>17.0</v>
      </c>
      <c r="Q443" s="13" t="s">
        <v>189</v>
      </c>
    </row>
    <row r="444">
      <c r="A444" s="7">
        <v>610103.0</v>
      </c>
      <c r="B444" s="13" t="s">
        <v>1415</v>
      </c>
      <c r="C444" s="18" t="s">
        <v>1416</v>
      </c>
      <c r="D444" s="19">
        <v>0.209</v>
      </c>
      <c r="E444" s="18" t="s">
        <v>80</v>
      </c>
      <c r="F444" s="18" t="s">
        <v>144</v>
      </c>
      <c r="G444" s="8" t="str">
        <f>VLOOKUP(F444, 'Network Chiefs'!A:B, 2, FALSE)
</f>
        <v>Shenethe Parks</v>
      </c>
      <c r="H444" s="12">
        <v>44.0</v>
      </c>
      <c r="I444" s="13" t="s">
        <v>20</v>
      </c>
      <c r="J444" s="14" t="s">
        <v>121</v>
      </c>
      <c r="K444" s="14">
        <v>10.0</v>
      </c>
      <c r="L444" s="14" t="str">
        <f t="array" ref="L444">INDEX('School Rep'!$A$2:$A$21, MATCH(J444, 'School Rep'!$B$2:$B$21, 0))</f>
        <v>Che "Rhymefest" Smith</v>
      </c>
      <c r="M444" s="12">
        <v>3.7</v>
      </c>
      <c r="N444" s="16" t="s">
        <v>1417</v>
      </c>
      <c r="O444" s="8" t="str">
        <f t="shared" si="1"/>
        <v>6940 S Merrill Ave </v>
      </c>
      <c r="P444" s="12">
        <v>5.0</v>
      </c>
      <c r="Q444" s="13" t="s">
        <v>357</v>
      </c>
    </row>
    <row r="445">
      <c r="A445" s="7">
        <v>610569.0</v>
      </c>
      <c r="B445" s="8" t="s">
        <v>1418</v>
      </c>
      <c r="C445" s="18" t="s">
        <v>1419</v>
      </c>
      <c r="D445" s="19">
        <v>0.0</v>
      </c>
      <c r="E445" s="18" t="s">
        <v>1420</v>
      </c>
      <c r="F445" s="18" t="s">
        <v>426</v>
      </c>
      <c r="G445" s="8" t="str">
        <f>VLOOKUP(F445, 'Network Chiefs'!A:B, 2, FALSE)
</f>
        <v>Richard Smith</v>
      </c>
      <c r="H445" s="12">
        <v>75.0</v>
      </c>
      <c r="I445" s="13" t="s">
        <v>52</v>
      </c>
      <c r="J445" s="15" t="s">
        <v>384</v>
      </c>
      <c r="K445" s="15" t="s">
        <v>384</v>
      </c>
      <c r="L445" s="15" t="s">
        <v>384</v>
      </c>
      <c r="M445" s="15" t="s">
        <v>384</v>
      </c>
      <c r="N445" s="16" t="s">
        <v>1421</v>
      </c>
      <c r="O445" s="8" t="str">
        <f t="shared" si="1"/>
        <v>7500 N Harlem Ave </v>
      </c>
      <c r="P445" s="12">
        <v>41.0</v>
      </c>
      <c r="Q445" s="13" t="s">
        <v>201</v>
      </c>
    </row>
    <row r="446">
      <c r="A446" s="7">
        <v>610593.0</v>
      </c>
      <c r="B446" s="8" t="s">
        <v>1422</v>
      </c>
      <c r="C446" s="18" t="s">
        <v>1423</v>
      </c>
      <c r="D446" s="19">
        <v>0.0</v>
      </c>
      <c r="E446" s="18" t="s">
        <v>1420</v>
      </c>
      <c r="F446" s="18" t="s">
        <v>426</v>
      </c>
      <c r="G446" s="8" t="str">
        <f>VLOOKUP(F446, 'Network Chiefs'!A:B, 2, FALSE)
</f>
        <v>Richard Smith</v>
      </c>
      <c r="H446" s="12">
        <v>68.0</v>
      </c>
      <c r="I446" s="13" t="s">
        <v>52</v>
      </c>
      <c r="J446" s="15" t="s">
        <v>384</v>
      </c>
      <c r="K446" s="15" t="s">
        <v>384</v>
      </c>
      <c r="L446" s="15" t="s">
        <v>384</v>
      </c>
      <c r="M446" s="15" t="s">
        <v>384</v>
      </c>
      <c r="N446" s="16" t="s">
        <v>1424</v>
      </c>
      <c r="O446" s="8" t="str">
        <f t="shared" si="1"/>
        <v>10928 S Halsted </v>
      </c>
      <c r="P446" s="12">
        <v>21.0</v>
      </c>
      <c r="Q446" s="13" t="s">
        <v>428</v>
      </c>
    </row>
    <row r="447">
      <c r="A447" s="7">
        <v>610570.0</v>
      </c>
      <c r="B447" s="8" t="s">
        <v>1425</v>
      </c>
      <c r="C447" s="9" t="s">
        <v>1426</v>
      </c>
      <c r="D447" s="10">
        <v>0.0</v>
      </c>
      <c r="E447" s="11" t="s">
        <v>1420</v>
      </c>
      <c r="F447" s="11" t="s">
        <v>426</v>
      </c>
      <c r="G447" s="8" t="str">
        <f>VLOOKUP(F447, 'Network Chiefs'!A:B, 2, FALSE)
</f>
        <v>Richard Smith</v>
      </c>
      <c r="H447" s="12">
        <v>33.0</v>
      </c>
      <c r="I447" s="13" t="s">
        <v>41</v>
      </c>
      <c r="J447" s="15" t="s">
        <v>384</v>
      </c>
      <c r="K447" s="15" t="s">
        <v>384</v>
      </c>
      <c r="L447" s="15" t="s">
        <v>384</v>
      </c>
      <c r="M447" s="15" t="s">
        <v>384</v>
      </c>
      <c r="N447" s="16" t="s">
        <v>1427</v>
      </c>
      <c r="O447" s="8" t="str">
        <f t="shared" si="1"/>
        <v>6057 S Western Ave </v>
      </c>
      <c r="P447" s="12">
        <v>16.0</v>
      </c>
      <c r="Q447" s="13" t="s">
        <v>193</v>
      </c>
    </row>
    <row r="448">
      <c r="A448" s="7">
        <v>610571.0</v>
      </c>
      <c r="B448" s="8" t="s">
        <v>1428</v>
      </c>
      <c r="C448" s="18" t="s">
        <v>1429</v>
      </c>
      <c r="D448" s="19">
        <v>0.0</v>
      </c>
      <c r="E448" s="18" t="s">
        <v>1420</v>
      </c>
      <c r="F448" s="18" t="s">
        <v>426</v>
      </c>
      <c r="G448" s="8" t="str">
        <f>VLOOKUP(F448, 'Network Chiefs'!A:B, 2, FALSE)
</f>
        <v>Richard Smith</v>
      </c>
      <c r="H448" s="12">
        <v>82.0</v>
      </c>
      <c r="I448" s="13" t="s">
        <v>248</v>
      </c>
      <c r="J448" s="15" t="s">
        <v>384</v>
      </c>
      <c r="K448" s="15" t="s">
        <v>384</v>
      </c>
      <c r="L448" s="15" t="s">
        <v>384</v>
      </c>
      <c r="M448" s="15" t="s">
        <v>384</v>
      </c>
      <c r="N448" s="16" t="s">
        <v>1430</v>
      </c>
      <c r="O448" s="8" t="str">
        <f t="shared" si="1"/>
        <v>2401 W Congress Pkwy </v>
      </c>
      <c r="P448" s="12">
        <v>28.0</v>
      </c>
      <c r="Q448" s="13" t="s">
        <v>399</v>
      </c>
    </row>
    <row r="449">
      <c r="A449" s="7">
        <v>610104.0</v>
      </c>
      <c r="B449" s="13" t="s">
        <v>1431</v>
      </c>
      <c r="C449" s="18" t="s">
        <v>1432</v>
      </c>
      <c r="D449" s="19">
        <v>0.061</v>
      </c>
      <c r="E449" s="18" t="s">
        <v>80</v>
      </c>
      <c r="F449" s="18" t="s">
        <v>97</v>
      </c>
      <c r="G449" s="8" t="str">
        <f>VLOOKUP(F449, 'Network Chiefs'!A:B, 2, FALSE)
</f>
        <v>Julie McGlade</v>
      </c>
      <c r="H449" s="12">
        <v>49.0</v>
      </c>
      <c r="I449" s="13" t="s">
        <v>20</v>
      </c>
      <c r="J449" s="14" t="s">
        <v>199</v>
      </c>
      <c r="K449" s="14">
        <v>1.0</v>
      </c>
      <c r="L449" s="14" t="str">
        <f t="array" ref="L449">INDEX('School Rep'!$A$2:$A$21, MATCH(J449, 'School Rep'!$B$2:$B$21, 0))</f>
        <v>Ed Bannon</v>
      </c>
      <c r="M449" s="12">
        <v>1.8</v>
      </c>
      <c r="N449" s="16" t="s">
        <v>1433</v>
      </c>
      <c r="O449" s="8" t="str">
        <f t="shared" si="1"/>
        <v>6634 W Raven St </v>
      </c>
      <c r="P449" s="12">
        <v>41.0</v>
      </c>
      <c r="Q449" s="13" t="s">
        <v>201</v>
      </c>
    </row>
    <row r="450">
      <c r="A450" s="7">
        <v>610105.0</v>
      </c>
      <c r="B450" s="13" t="s">
        <v>1434</v>
      </c>
      <c r="C450" s="18" t="s">
        <v>1435</v>
      </c>
      <c r="D450" s="19">
        <v>0.029</v>
      </c>
      <c r="E450" s="18" t="s">
        <v>80</v>
      </c>
      <c r="F450" s="18" t="s">
        <v>97</v>
      </c>
      <c r="G450" s="8" t="str">
        <f>VLOOKUP(F450, 'Network Chiefs'!A:B, 2, FALSE)
</f>
        <v>Julie McGlade</v>
      </c>
      <c r="H450" s="12">
        <v>59.0</v>
      </c>
      <c r="I450" s="13" t="s">
        <v>20</v>
      </c>
      <c r="J450" s="14" t="s">
        <v>199</v>
      </c>
      <c r="K450" s="14">
        <v>1.0</v>
      </c>
      <c r="L450" s="14" t="str">
        <f t="array" ref="L450">INDEX('School Rep'!$A$2:$A$21, MATCH(J450, 'School Rep'!$B$2:$B$21, 0))</f>
        <v>Ed Bannon</v>
      </c>
      <c r="M450" s="12">
        <v>1.4</v>
      </c>
      <c r="N450" s="16" t="s">
        <v>1436</v>
      </c>
      <c r="O450" s="8" t="str">
        <f t="shared" si="1"/>
        <v>5424 N Oketo Ave </v>
      </c>
      <c r="P450" s="12">
        <v>41.0</v>
      </c>
      <c r="Q450" s="13" t="s">
        <v>201</v>
      </c>
    </row>
    <row r="451">
      <c r="A451" s="7">
        <v>610329.0</v>
      </c>
      <c r="B451" s="8" t="s">
        <v>1437</v>
      </c>
      <c r="C451" s="18" t="s">
        <v>1438</v>
      </c>
      <c r="D451" s="19">
        <v>0.0</v>
      </c>
      <c r="E451" s="18" t="s">
        <v>80</v>
      </c>
      <c r="F451" s="18" t="s">
        <v>529</v>
      </c>
      <c r="G451" s="8" t="str">
        <f>VLOOKUP(F451, 'Network Chiefs'!A:B, 2, FALSE)
</f>
        <v>Dr. Antonio Acevedo</v>
      </c>
      <c r="H451" s="12">
        <v>28.0</v>
      </c>
      <c r="I451" s="13" t="s">
        <v>41</v>
      </c>
      <c r="J451" s="14" t="s">
        <v>42</v>
      </c>
      <c r="K451" s="14">
        <v>7.0</v>
      </c>
      <c r="L451" s="14" t="str">
        <f t="array" ref="L451">INDEX('School Rep'!$A$2:$A$21, MATCH(J451, 'School Rep'!$B$2:$B$21, 0))</f>
        <v>Emma Lozano</v>
      </c>
      <c r="M451" s="15">
        <v>2.9</v>
      </c>
      <c r="N451" s="16" t="s">
        <v>1439</v>
      </c>
      <c r="O451" s="8" t="str">
        <f t="shared" si="1"/>
        <v>1940 W 18th St </v>
      </c>
      <c r="P451" s="12">
        <v>25.0</v>
      </c>
      <c r="Q451" s="13" t="s">
        <v>44</v>
      </c>
    </row>
    <row r="452">
      <c r="A452" s="7">
        <v>610389.0</v>
      </c>
      <c r="B452" s="12" t="s">
        <v>1440</v>
      </c>
      <c r="C452" s="9" t="s">
        <v>1441</v>
      </c>
      <c r="D452" s="10">
        <v>0.357</v>
      </c>
      <c r="E452" s="11" t="s">
        <v>80</v>
      </c>
      <c r="F452" s="11" t="s">
        <v>108</v>
      </c>
      <c r="G452" s="8" t="str">
        <f>VLOOKUP(F452, 'Network Chiefs'!A:B, 2, FALSE)
</f>
        <v>Michael Boraz</v>
      </c>
      <c r="H452" s="12">
        <v>56.0</v>
      </c>
      <c r="I452" s="13" t="s">
        <v>20</v>
      </c>
      <c r="J452" s="14" t="s">
        <v>31</v>
      </c>
      <c r="K452" s="14">
        <v>5.0</v>
      </c>
      <c r="L452" s="14" t="str">
        <f t="array" ref="L452">INDEX('School Rep'!$A$2:$A$21, MATCH(J452, 'School Rep'!$B$2:$B$21, 0))</f>
        <v>Aaron "Jitu" Brown</v>
      </c>
      <c r="M452" s="12">
        <v>3.6</v>
      </c>
      <c r="N452" s="16" t="s">
        <v>1442</v>
      </c>
      <c r="O452" s="8" t="str">
        <f t="shared" si="1"/>
        <v>730 N Pulaski Rd </v>
      </c>
      <c r="P452" s="12">
        <v>37.0</v>
      </c>
      <c r="Q452" s="13" t="s">
        <v>162</v>
      </c>
    </row>
    <row r="453">
      <c r="A453" s="7">
        <v>609950.0</v>
      </c>
      <c r="B453" s="8" t="s">
        <v>1443</v>
      </c>
      <c r="C453" s="9" t="s">
        <v>1444</v>
      </c>
      <c r="D453" s="10">
        <v>0.12</v>
      </c>
      <c r="E453" s="11" t="s">
        <v>80</v>
      </c>
      <c r="F453" s="11" t="s">
        <v>529</v>
      </c>
      <c r="G453" s="8" t="str">
        <f>VLOOKUP(F453, 'Network Chiefs'!A:B, 2, FALSE)
</f>
        <v>Dr. Antonio Acevedo</v>
      </c>
      <c r="H453" s="15"/>
      <c r="I453" s="8"/>
      <c r="J453" s="14" t="s">
        <v>42</v>
      </c>
      <c r="K453" s="14">
        <v>7.0</v>
      </c>
      <c r="L453" s="14" t="str">
        <f t="array" ref="L453">INDEX('School Rep'!$A$2:$A$21, MATCH(J453, 'School Rep'!$B$2:$B$21, 0))</f>
        <v>Emma Lozano</v>
      </c>
      <c r="M453" s="15">
        <v>3.4</v>
      </c>
      <c r="N453" s="16" t="s">
        <v>1445</v>
      </c>
      <c r="O453" s="8" t="str">
        <f t="shared" si="1"/>
        <v>3000 S Lawndale Ave </v>
      </c>
      <c r="P453" s="12">
        <v>22.0</v>
      </c>
      <c r="Q453" s="13" t="s">
        <v>353</v>
      </c>
    </row>
    <row r="454">
      <c r="A454" s="7">
        <v>610107.0</v>
      </c>
      <c r="B454" s="8" t="s">
        <v>1446</v>
      </c>
      <c r="C454" s="18" t="s">
        <v>1447</v>
      </c>
      <c r="D454" s="19">
        <v>0.174</v>
      </c>
      <c r="E454" s="18" t="s">
        <v>80</v>
      </c>
      <c r="F454" s="18" t="s">
        <v>301</v>
      </c>
      <c r="G454" s="8" t="str">
        <f>VLOOKUP(F454, 'Network Chiefs'!A:B, 2, FALSE)
</f>
        <v>Dr. Ethan Netterstrom</v>
      </c>
      <c r="H454" s="12">
        <v>26.0</v>
      </c>
      <c r="I454" s="13" t="s">
        <v>41</v>
      </c>
      <c r="J454" s="14" t="s">
        <v>217</v>
      </c>
      <c r="K454" s="14">
        <v>5.0</v>
      </c>
      <c r="L454" s="14" t="str">
        <f t="array" ref="L454">INDEX('School Rep'!$A$2:$A$21, MATCH(J454, 'School Rep'!$B$2:$B$21, 0))</f>
        <v>Michilla Blaise</v>
      </c>
      <c r="M454" s="15">
        <v>3.3</v>
      </c>
      <c r="N454" s="16" t="s">
        <v>1448</v>
      </c>
      <c r="O454" s="8" t="str">
        <f t="shared" si="1"/>
        <v>525 N Armour St </v>
      </c>
      <c r="P454" s="12">
        <v>1.0</v>
      </c>
      <c r="Q454" s="13" t="s">
        <v>275</v>
      </c>
    </row>
    <row r="455">
      <c r="A455" s="7">
        <v>610108.0</v>
      </c>
      <c r="B455" s="8" t="s">
        <v>1449</v>
      </c>
      <c r="C455" s="18" t="s">
        <v>1450</v>
      </c>
      <c r="D455" s="19">
        <v>0.199</v>
      </c>
      <c r="E455" s="18" t="s">
        <v>80</v>
      </c>
      <c r="F455" s="18" t="s">
        <v>186</v>
      </c>
      <c r="G455" s="8" t="str">
        <f>VLOOKUP(F455, 'Network Chiefs'!A:B, 2, FALSE)
</f>
        <v>Latasha Geverola</v>
      </c>
      <c r="H455" s="12">
        <v>69.0</v>
      </c>
      <c r="I455" s="13" t="s">
        <v>52</v>
      </c>
      <c r="J455" s="14" t="s">
        <v>187</v>
      </c>
      <c r="K455" s="14">
        <v>9.0</v>
      </c>
      <c r="L455" s="14" t="str">
        <f t="array" ref="L455">INDEX('School Rep'!$A$2:$A$21, MATCH(J455, 'School Rep'!$B$2:$B$21, 0))</f>
        <v>Frank Niles Thomas</v>
      </c>
      <c r="M455" s="15">
        <v>3.5</v>
      </c>
      <c r="N455" s="16" t="s">
        <v>1451</v>
      </c>
      <c r="O455" s="8" t="str">
        <f t="shared" si="1"/>
        <v>6550 S Seeley Ave </v>
      </c>
      <c r="P455" s="12">
        <v>16.0</v>
      </c>
      <c r="Q455" s="13" t="s">
        <v>193</v>
      </c>
    </row>
    <row r="456">
      <c r="A456" s="7">
        <v>610109.0</v>
      </c>
      <c r="B456" s="8" t="s">
        <v>1452</v>
      </c>
      <c r="C456" s="18" t="s">
        <v>1453</v>
      </c>
      <c r="D456" s="19">
        <v>0.055</v>
      </c>
      <c r="E456" s="18" t="s">
        <v>80</v>
      </c>
      <c r="F456" s="18" t="s">
        <v>138</v>
      </c>
      <c r="G456" s="8" t="str">
        <f>VLOOKUP(F456, 'Network Chiefs'!A:B, 2, FALSE)
</f>
        <v>Mira Weber</v>
      </c>
      <c r="H456" s="12">
        <v>12.0</v>
      </c>
      <c r="I456" s="13" t="s">
        <v>30</v>
      </c>
      <c r="J456" s="14" t="s">
        <v>139</v>
      </c>
      <c r="K456" s="14">
        <v>8.0</v>
      </c>
      <c r="L456" s="14" t="str">
        <f t="array" ref="L456">INDEX('School Rep'!$A$2:$A$21, MATCH(J456, 'School Rep'!$B$2:$B$21, 0))</f>
        <v>Angel Gutierrez</v>
      </c>
      <c r="M456" s="15">
        <v>3.7</v>
      </c>
      <c r="N456" s="16" t="s">
        <v>1454</v>
      </c>
      <c r="O456" s="8" t="str">
        <f t="shared" si="1"/>
        <v>8247 S Christiana Ave </v>
      </c>
      <c r="P456" s="12">
        <v>18.0</v>
      </c>
      <c r="Q456" s="13" t="s">
        <v>141</v>
      </c>
    </row>
    <row r="457">
      <c r="A457" s="7">
        <v>609943.0</v>
      </c>
      <c r="B457" s="8" t="s">
        <v>1455</v>
      </c>
      <c r="C457" s="17" t="s">
        <v>1456</v>
      </c>
      <c r="D457" s="10">
        <v>0.171</v>
      </c>
      <c r="E457" s="11" t="s">
        <v>80</v>
      </c>
      <c r="F457" s="11" t="s">
        <v>81</v>
      </c>
      <c r="G457" s="8" t="str">
        <f>VLOOKUP(F457, 'Network Chiefs'!A:B, 2, FALSE)
</f>
        <v>Dr. Terrycita D. Perry</v>
      </c>
      <c r="H457" s="12">
        <v>48.0</v>
      </c>
      <c r="I457" s="13" t="s">
        <v>20</v>
      </c>
      <c r="J457" s="14" t="s">
        <v>178</v>
      </c>
      <c r="K457" s="14">
        <v>9.0</v>
      </c>
      <c r="L457" s="14" t="str">
        <f t="array" ref="L457">INDEX('School Rep'!$A$2:$A$21, MATCH(J457, 'School Rep'!$B$2:$B$21, 0))</f>
        <v>Therese Boyle</v>
      </c>
      <c r="M457" s="15">
        <v>4.1</v>
      </c>
      <c r="N457" s="16" t="s">
        <v>1457</v>
      </c>
      <c r="O457" s="8" t="str">
        <f t="shared" si="1"/>
        <v>12302 S State St </v>
      </c>
      <c r="P457" s="12">
        <v>9.0</v>
      </c>
      <c r="Q457" s="13" t="s">
        <v>237</v>
      </c>
    </row>
    <row r="458">
      <c r="A458" s="7">
        <v>610111.0</v>
      </c>
      <c r="B458" s="13" t="s">
        <v>1458</v>
      </c>
      <c r="C458" s="18" t="s">
        <v>1459</v>
      </c>
      <c r="D458" s="19">
        <v>0.096</v>
      </c>
      <c r="E458" s="18" t="s">
        <v>80</v>
      </c>
      <c r="F458" s="18" t="s">
        <v>126</v>
      </c>
      <c r="G458" s="8" t="str">
        <f>VLOOKUP(F458, 'Network Chiefs'!A:B, 2, FALSE)
</f>
        <v>#N/A</v>
      </c>
      <c r="H458" s="12">
        <v>53.0</v>
      </c>
      <c r="I458" s="13" t="s">
        <v>20</v>
      </c>
      <c r="J458" s="14" t="s">
        <v>222</v>
      </c>
      <c r="K458" s="14">
        <v>1.0</v>
      </c>
      <c r="L458" s="14" t="str">
        <f t="array" ref="L458">INDEX('School Rep'!$A$2:$A$21, MATCH(J458, 'School Rep'!$B$2:$B$21, 0))</f>
        <v>Jennifer Custer</v>
      </c>
      <c r="M458" s="12">
        <v>1.8</v>
      </c>
      <c r="N458" s="16" t="s">
        <v>1460</v>
      </c>
      <c r="O458" s="8" t="str">
        <f t="shared" si="1"/>
        <v>5051 N Kenneth Ave </v>
      </c>
      <c r="P458" s="12">
        <v>39.0</v>
      </c>
      <c r="Q458" s="13" t="s">
        <v>224</v>
      </c>
    </row>
    <row r="459">
      <c r="A459" s="7">
        <v>610115.0</v>
      </c>
      <c r="B459" s="8" t="s">
        <v>1461</v>
      </c>
      <c r="C459" s="9" t="s">
        <v>1462</v>
      </c>
      <c r="D459" s="10">
        <v>0.219</v>
      </c>
      <c r="E459" s="11" t="s">
        <v>80</v>
      </c>
      <c r="F459" s="11" t="s">
        <v>144</v>
      </c>
      <c r="G459" s="8" t="str">
        <f>VLOOKUP(F459, 'Network Chiefs'!A:B, 2, FALSE)
</f>
        <v>Shenethe Parks</v>
      </c>
      <c r="H459" s="12">
        <v>39.0</v>
      </c>
      <c r="I459" s="13" t="s">
        <v>41</v>
      </c>
      <c r="J459" s="14" t="s">
        <v>204</v>
      </c>
      <c r="K459" s="14">
        <v>6.0</v>
      </c>
      <c r="L459" s="14" t="str">
        <f t="array" ref="L459">INDEX('School Rep'!$A$2:$A$21, MATCH(J459, 'School Rep'!$B$2:$B$21, 0))</f>
        <v>Jessica Biggs</v>
      </c>
      <c r="M459" s="15">
        <v>3.5</v>
      </c>
      <c r="N459" s="16" t="s">
        <v>1463</v>
      </c>
      <c r="O459" s="8" t="str">
        <f t="shared" si="1"/>
        <v>7037 S Rhodes Ave </v>
      </c>
      <c r="P459" s="12">
        <v>6.0</v>
      </c>
      <c r="Q459" s="13" t="s">
        <v>306</v>
      </c>
    </row>
    <row r="460">
      <c r="A460" s="7">
        <v>610112.0</v>
      </c>
      <c r="B460" s="8" t="s">
        <v>1464</v>
      </c>
      <c r="C460" s="18" t="s">
        <v>1465</v>
      </c>
      <c r="D460" s="19">
        <v>0.158</v>
      </c>
      <c r="E460" s="18" t="s">
        <v>80</v>
      </c>
      <c r="F460" s="18" t="s">
        <v>186</v>
      </c>
      <c r="G460" s="8" t="str">
        <f>VLOOKUP(F460, 'Network Chiefs'!A:B, 2, FALSE)
</f>
        <v>Latasha Geverola</v>
      </c>
      <c r="H460" s="12">
        <v>43.0</v>
      </c>
      <c r="I460" s="13" t="s">
        <v>20</v>
      </c>
      <c r="J460" s="14" t="s">
        <v>204</v>
      </c>
      <c r="K460" s="14">
        <v>6.0</v>
      </c>
      <c r="L460" s="14" t="str">
        <f t="array" ref="L460">INDEX('School Rep'!$A$2:$A$21, MATCH(J460, 'School Rep'!$B$2:$B$21, 0))</f>
        <v>Jessica Biggs</v>
      </c>
      <c r="M460" s="15">
        <v>3.1</v>
      </c>
      <c r="N460" s="16" t="s">
        <v>1466</v>
      </c>
      <c r="O460" s="8" t="str">
        <f t="shared" si="1"/>
        <v>6800 S Stewart Ave </v>
      </c>
      <c r="P460" s="12">
        <v>6.0</v>
      </c>
      <c r="Q460" s="13" t="s">
        <v>306</v>
      </c>
    </row>
    <row r="461">
      <c r="A461" s="7">
        <v>610116.0</v>
      </c>
      <c r="B461" s="13" t="s">
        <v>1467</v>
      </c>
      <c r="C461" s="18" t="s">
        <v>1468</v>
      </c>
      <c r="D461" s="19">
        <v>0.247</v>
      </c>
      <c r="E461" s="18" t="s">
        <v>80</v>
      </c>
      <c r="F461" s="18" t="s">
        <v>144</v>
      </c>
      <c r="G461" s="8" t="str">
        <f>VLOOKUP(F461, 'Network Chiefs'!A:B, 2, FALSE)
</f>
        <v>Shenethe Parks</v>
      </c>
      <c r="H461" s="15"/>
      <c r="I461" s="8"/>
      <c r="J461" s="14" t="s">
        <v>121</v>
      </c>
      <c r="K461" s="14">
        <v>10.0</v>
      </c>
      <c r="L461" s="14" t="str">
        <f t="array" ref="L461">INDEX('School Rep'!$A$2:$A$21, MATCH(J461, 'School Rep'!$B$2:$B$21, 0))</f>
        <v>Che "Rhymefest" Smith</v>
      </c>
      <c r="M461" s="12">
        <v>3.6</v>
      </c>
      <c r="N461" s="16" t="s">
        <v>1469</v>
      </c>
      <c r="O461" s="8" t="str">
        <f t="shared" si="1"/>
        <v>6938 S East End Ave </v>
      </c>
      <c r="P461" s="12">
        <v>5.0</v>
      </c>
      <c r="Q461" s="13" t="s">
        <v>357</v>
      </c>
    </row>
    <row r="462">
      <c r="A462" s="7">
        <v>610117.0</v>
      </c>
      <c r="B462" s="8" t="s">
        <v>1470</v>
      </c>
      <c r="C462" s="18" t="s">
        <v>1471</v>
      </c>
      <c r="D462" s="19">
        <v>0.069</v>
      </c>
      <c r="E462" s="18" t="s">
        <v>80</v>
      </c>
      <c r="F462" s="18" t="s">
        <v>285</v>
      </c>
      <c r="G462" s="8" t="str">
        <f>VLOOKUP(F462, 'Network Chiefs'!A:B, 2, FALSE)
</f>
        <v>Gilberto Piedrahita</v>
      </c>
      <c r="H462" s="12">
        <v>71.0</v>
      </c>
      <c r="I462" s="13" t="s">
        <v>52</v>
      </c>
      <c r="J462" s="14" t="s">
        <v>139</v>
      </c>
      <c r="K462" s="14">
        <v>8.0</v>
      </c>
      <c r="L462" s="14" t="str">
        <f t="array" ref="L462">INDEX('School Rep'!$A$2:$A$21, MATCH(J462, 'School Rep'!$B$2:$B$21, 0))</f>
        <v>Angel Gutierrez</v>
      </c>
      <c r="M462" s="15">
        <v>3.3</v>
      </c>
      <c r="N462" s="16" t="s">
        <v>1472</v>
      </c>
      <c r="O462" s="8" t="str">
        <f t="shared" si="1"/>
        <v>5825 S Kostner Ave </v>
      </c>
      <c r="P462" s="12">
        <v>13.0</v>
      </c>
      <c r="Q462" s="13" t="s">
        <v>250</v>
      </c>
    </row>
    <row r="463">
      <c r="A463" s="7">
        <v>610557.0</v>
      </c>
      <c r="B463" s="8" t="s">
        <v>1473</v>
      </c>
      <c r="C463" s="9" t="s">
        <v>1474</v>
      </c>
      <c r="D463" s="10">
        <v>0.0</v>
      </c>
      <c r="E463" s="11" t="s">
        <v>1420</v>
      </c>
      <c r="F463" s="11" t="s">
        <v>426</v>
      </c>
      <c r="G463" s="8" t="str">
        <f>VLOOKUP(F463, 'Network Chiefs'!A:B, 2, FALSE)
</f>
        <v>Richard Smith</v>
      </c>
      <c r="H463" s="12">
        <v>67.0</v>
      </c>
      <c r="I463" s="13" t="s">
        <v>52</v>
      </c>
      <c r="J463" s="15" t="s">
        <v>384</v>
      </c>
      <c r="K463" s="15" t="s">
        <v>384</v>
      </c>
      <c r="L463" s="15" t="s">
        <v>384</v>
      </c>
      <c r="M463" s="15" t="s">
        <v>384</v>
      </c>
      <c r="N463" s="16" t="s">
        <v>1475</v>
      </c>
      <c r="O463" s="8" t="str">
        <f t="shared" si="1"/>
        <v>3284 W 87th St </v>
      </c>
      <c r="P463" s="12">
        <v>18.0</v>
      </c>
      <c r="Q463" s="13" t="s">
        <v>141</v>
      </c>
    </row>
    <row r="464">
      <c r="A464" s="7">
        <v>610568.0</v>
      </c>
      <c r="B464" s="8" t="s">
        <v>1476</v>
      </c>
      <c r="C464" s="18" t="s">
        <v>1477</v>
      </c>
      <c r="D464" s="19">
        <v>0.0</v>
      </c>
      <c r="E464" s="18" t="s">
        <v>1420</v>
      </c>
      <c r="F464" s="18" t="s">
        <v>426</v>
      </c>
      <c r="G464" s="8" t="str">
        <f>VLOOKUP(F464, 'Network Chiefs'!A:B, 2, FALSE)
</f>
        <v>Richard Smith</v>
      </c>
      <c r="H464" s="12">
        <v>68.0</v>
      </c>
      <c r="I464" s="13" t="s">
        <v>52</v>
      </c>
      <c r="J464" s="15" t="s">
        <v>384</v>
      </c>
      <c r="K464" s="15" t="s">
        <v>384</v>
      </c>
      <c r="L464" s="15" t="s">
        <v>384</v>
      </c>
      <c r="M464" s="15" t="s">
        <v>384</v>
      </c>
      <c r="N464" s="16" t="s">
        <v>1478</v>
      </c>
      <c r="O464" s="8" t="str">
        <f t="shared" si="1"/>
        <v>3100 W Belmont Ave </v>
      </c>
      <c r="P464" s="12">
        <v>33.0</v>
      </c>
      <c r="Q464" s="13" t="s">
        <v>99</v>
      </c>
    </row>
    <row r="465">
      <c r="A465" s="7">
        <v>400173.0</v>
      </c>
      <c r="B465" s="8" t="s">
        <v>1479</v>
      </c>
      <c r="C465" s="18" t="s">
        <v>1480</v>
      </c>
      <c r="D465" s="19">
        <v>0.0</v>
      </c>
      <c r="E465" s="18" t="s">
        <v>1420</v>
      </c>
      <c r="F465" s="18" t="s">
        <v>426</v>
      </c>
      <c r="G465" s="8" t="str">
        <f>VLOOKUP(F465, 'Network Chiefs'!A:B, 2, FALSE)
</f>
        <v>Richard Smith</v>
      </c>
      <c r="H465" s="12">
        <v>60.0</v>
      </c>
      <c r="I465" s="13" t="s">
        <v>52</v>
      </c>
      <c r="J465" s="15" t="s">
        <v>384</v>
      </c>
      <c r="K465" s="15" t="s">
        <v>384</v>
      </c>
      <c r="L465" s="15" t="s">
        <v>384</v>
      </c>
      <c r="M465" s="15" t="s">
        <v>384</v>
      </c>
      <c r="N465" s="16" t="s">
        <v>1481</v>
      </c>
      <c r="O465" s="8" t="str">
        <f t="shared" si="1"/>
        <v>3124 W 47th St </v>
      </c>
      <c r="P465" s="12">
        <v>14.0</v>
      </c>
      <c r="Q465" s="13" t="s">
        <v>54</v>
      </c>
    </row>
    <row r="466">
      <c r="A466" s="7">
        <v>610594.0</v>
      </c>
      <c r="B466" s="8" t="s">
        <v>1482</v>
      </c>
      <c r="C466" s="18" t="s">
        <v>1483</v>
      </c>
      <c r="D466" s="19">
        <v>0.0</v>
      </c>
      <c r="E466" s="18" t="s">
        <v>1420</v>
      </c>
      <c r="F466" s="18" t="s">
        <v>426</v>
      </c>
      <c r="G466" s="8" t="str">
        <f>VLOOKUP(F466, 'Network Chiefs'!A:B, 2, FALSE)
</f>
        <v>Richard Smith</v>
      </c>
      <c r="H466" s="15"/>
      <c r="I466" s="8"/>
      <c r="J466" s="15" t="s">
        <v>384</v>
      </c>
      <c r="K466" s="15" t="s">
        <v>384</v>
      </c>
      <c r="L466" s="15" t="s">
        <v>384</v>
      </c>
      <c r="M466" s="15" t="s">
        <v>384</v>
      </c>
      <c r="N466" s="16" t="s">
        <v>1484</v>
      </c>
      <c r="O466" s="8" t="str">
        <f t="shared" si="1"/>
        <v>2421 W Division </v>
      </c>
      <c r="P466" s="12">
        <v>26.0</v>
      </c>
      <c r="Q466" s="13" t="s">
        <v>378</v>
      </c>
    </row>
    <row r="467">
      <c r="A467" s="7">
        <v>609680.0</v>
      </c>
      <c r="B467" s="8" t="s">
        <v>1485</v>
      </c>
      <c r="C467" s="18" t="s">
        <v>1486</v>
      </c>
      <c r="D467" s="19">
        <v>0.0</v>
      </c>
      <c r="E467" s="18" t="s">
        <v>80</v>
      </c>
      <c r="F467" s="18" t="s">
        <v>108</v>
      </c>
      <c r="G467" s="8" t="str">
        <f>VLOOKUP(F467, 'Network Chiefs'!A:B, 2, FALSE)
</f>
        <v>Michael Boraz</v>
      </c>
      <c r="H467" s="12">
        <v>32.0</v>
      </c>
      <c r="I467" s="13" t="s">
        <v>41</v>
      </c>
      <c r="J467" s="14" t="s">
        <v>462</v>
      </c>
      <c r="K467" s="14">
        <v>6.0</v>
      </c>
      <c r="L467" s="14" t="str">
        <f t="array" ref="L467">INDEX('School Rep'!$A$2:$A$21, MATCH(J467, 'School Rep'!$B$2:$B$21, 0))</f>
        <v>Anusha Thotakura</v>
      </c>
      <c r="M467" s="15">
        <v>1.3</v>
      </c>
      <c r="N467" s="16" t="s">
        <v>1487</v>
      </c>
      <c r="O467" s="8" t="str">
        <f t="shared" si="1"/>
        <v>1034 N Wells St </v>
      </c>
      <c r="P467" s="12">
        <v>27.0</v>
      </c>
      <c r="Q467" s="13" t="s">
        <v>219</v>
      </c>
    </row>
    <row r="468">
      <c r="A468" s="7">
        <v>610386.0</v>
      </c>
      <c r="B468" s="8" t="s">
        <v>1488</v>
      </c>
      <c r="C468" s="18" t="s">
        <v>1489</v>
      </c>
      <c r="D468" s="19">
        <v>0.0</v>
      </c>
      <c r="E468" s="18" t="s">
        <v>80</v>
      </c>
      <c r="F468" s="18" t="s">
        <v>426</v>
      </c>
      <c r="G468" s="8" t="str">
        <f>VLOOKUP(F468, 'Network Chiefs'!A:B, 2, FALSE)
</f>
        <v>Richard Smith</v>
      </c>
      <c r="H468" s="12">
        <v>64.0</v>
      </c>
      <c r="I468" s="13" t="s">
        <v>52</v>
      </c>
      <c r="J468" s="15" t="s">
        <v>384</v>
      </c>
      <c r="K468" s="15" t="s">
        <v>384</v>
      </c>
      <c r="L468" s="15" t="s">
        <v>384</v>
      </c>
      <c r="M468" s="15" t="s">
        <v>384</v>
      </c>
      <c r="N468" s="16" t="s">
        <v>1490</v>
      </c>
      <c r="O468" s="8" t="str">
        <f t="shared" si="1"/>
        <v>4946 S Paulina St </v>
      </c>
      <c r="P468" s="12">
        <v>20.0</v>
      </c>
      <c r="Q468" s="13" t="s">
        <v>368</v>
      </c>
    </row>
    <row r="469">
      <c r="A469" s="7">
        <v>610120.0</v>
      </c>
      <c r="B469" s="8" t="s">
        <v>1491</v>
      </c>
      <c r="C469" s="18" t="s">
        <v>1492</v>
      </c>
      <c r="D469" s="19">
        <v>0.055</v>
      </c>
      <c r="E469" s="18" t="s">
        <v>80</v>
      </c>
      <c r="F469" s="18" t="s">
        <v>126</v>
      </c>
      <c r="G469" s="8" t="str">
        <f>VLOOKUP(F469, 'Network Chiefs'!A:B, 2, FALSE)
</f>
        <v>#N/A</v>
      </c>
      <c r="H469" s="12">
        <v>24.0</v>
      </c>
      <c r="I469" s="13" t="s">
        <v>41</v>
      </c>
      <c r="J469" s="14" t="s">
        <v>21</v>
      </c>
      <c r="K469" s="14">
        <v>7.0</v>
      </c>
      <c r="L469" s="14" t="str">
        <f t="array" ref="L469">INDEX('School Rep'!$A$2:$A$21, MATCH(J469, 'School Rep'!$B$2:$B$21, 0))</f>
        <v>Yesenia Lopez</v>
      </c>
      <c r="M469" s="15">
        <v>2.9</v>
      </c>
      <c r="N469" s="16" t="s">
        <v>1493</v>
      </c>
      <c r="O469" s="8" t="str">
        <f t="shared" si="1"/>
        <v>3826 W 58th St </v>
      </c>
      <c r="P469" s="12">
        <v>23.0</v>
      </c>
      <c r="Q469" s="13" t="s">
        <v>172</v>
      </c>
    </row>
    <row r="470">
      <c r="A470" s="7">
        <v>610122.0</v>
      </c>
      <c r="B470" s="13" t="s">
        <v>1494</v>
      </c>
      <c r="C470" s="18" t="s">
        <v>1495</v>
      </c>
      <c r="D470" s="19">
        <v>0.044</v>
      </c>
      <c r="E470" s="18" t="s">
        <v>80</v>
      </c>
      <c r="F470" s="18" t="s">
        <v>126</v>
      </c>
      <c r="G470" s="8" t="str">
        <f>VLOOKUP(F470, 'Network Chiefs'!A:B, 2, FALSE)
</f>
        <v>#N/A</v>
      </c>
      <c r="H470" s="12">
        <v>23.0</v>
      </c>
      <c r="I470" s="13" t="s">
        <v>41</v>
      </c>
      <c r="J470" s="14" t="s">
        <v>87</v>
      </c>
      <c r="K470" s="14">
        <v>2.0</v>
      </c>
      <c r="L470" s="14" t="str">
        <f t="array" ref="L470">INDEX('School Rep'!$A$2:$A$21, MATCH(J470, 'School Rep'!$B$2:$B$21, 0))</f>
        <v>Debby Pope</v>
      </c>
      <c r="M470" s="12">
        <v>1.7</v>
      </c>
      <c r="N470" s="16" t="s">
        <v>1496</v>
      </c>
      <c r="O470" s="8" t="str">
        <f t="shared" si="1"/>
        <v>1423 W Bryn Mawr Ave </v>
      </c>
      <c r="P470" s="12">
        <v>48.0</v>
      </c>
      <c r="Q470" s="13" t="s">
        <v>807</v>
      </c>
    </row>
    <row r="471">
      <c r="A471" s="7">
        <v>610123.0</v>
      </c>
      <c r="B471" s="8" t="s">
        <v>1497</v>
      </c>
      <c r="C471" s="18" t="s">
        <v>1498</v>
      </c>
      <c r="D471" s="19">
        <v>0.215</v>
      </c>
      <c r="E471" s="18" t="s">
        <v>80</v>
      </c>
      <c r="F471" s="18" t="s">
        <v>529</v>
      </c>
      <c r="G471" s="8" t="str">
        <f>VLOOKUP(F471, 'Network Chiefs'!A:B, 2, FALSE)
</f>
        <v>Dr. Antonio Acevedo</v>
      </c>
      <c r="H471" s="12">
        <v>49.0</v>
      </c>
      <c r="I471" s="13" t="s">
        <v>20</v>
      </c>
      <c r="J471" s="14" t="s">
        <v>217</v>
      </c>
      <c r="K471" s="14">
        <v>5.0</v>
      </c>
      <c r="L471" s="14" t="str">
        <f t="array" ref="L471">INDEX('School Rep'!$A$2:$A$21, MATCH(J471, 'School Rep'!$B$2:$B$21, 0))</f>
        <v>Michilla Blaise</v>
      </c>
      <c r="M471" s="15">
        <v>3.6</v>
      </c>
      <c r="N471" s="16" t="s">
        <v>1063</v>
      </c>
      <c r="O471" s="8" t="str">
        <f t="shared" si="1"/>
        <v>1616 S Avers Ave </v>
      </c>
      <c r="P471" s="12">
        <v>24.0</v>
      </c>
      <c r="Q471" s="13" t="s">
        <v>517</v>
      </c>
    </row>
    <row r="472">
      <c r="A472" s="7">
        <v>609872.0</v>
      </c>
      <c r="B472" s="8" t="s">
        <v>1499</v>
      </c>
      <c r="C472" s="18" t="s">
        <v>1500</v>
      </c>
      <c r="D472" s="19">
        <v>0.097</v>
      </c>
      <c r="E472" s="18" t="s">
        <v>80</v>
      </c>
      <c r="F472" s="18" t="s">
        <v>529</v>
      </c>
      <c r="G472" s="8" t="str">
        <f>VLOOKUP(F472, 'Network Chiefs'!A:B, 2, FALSE)
</f>
        <v>Dr. Antonio Acevedo</v>
      </c>
      <c r="H472" s="12">
        <v>56.0</v>
      </c>
      <c r="I472" s="13" t="s">
        <v>20</v>
      </c>
      <c r="J472" s="14" t="s">
        <v>42</v>
      </c>
      <c r="K472" s="14">
        <v>7.0</v>
      </c>
      <c r="L472" s="14" t="str">
        <f t="array" ref="L472">INDEX('School Rep'!$A$2:$A$21, MATCH(J472, 'School Rep'!$B$2:$B$21, 0))</f>
        <v>Emma Lozano</v>
      </c>
      <c r="M472" s="15">
        <v>2.8</v>
      </c>
      <c r="N472" s="16" t="s">
        <v>1501</v>
      </c>
      <c r="O472" s="8" t="str">
        <f t="shared" si="1"/>
        <v>1241 W 19th St </v>
      </c>
      <c r="P472" s="12">
        <v>25.0</v>
      </c>
      <c r="Q472" s="13" t="s">
        <v>44</v>
      </c>
    </row>
    <row r="473">
      <c r="A473" s="7">
        <v>610126.0</v>
      </c>
      <c r="B473" s="8" t="s">
        <v>1502</v>
      </c>
      <c r="C473" s="18" t="s">
        <v>1503</v>
      </c>
      <c r="D473" s="19">
        <v>0.107</v>
      </c>
      <c r="E473" s="18" t="s">
        <v>80</v>
      </c>
      <c r="F473" s="18" t="s">
        <v>120</v>
      </c>
      <c r="G473" s="8" t="str">
        <f>VLOOKUP(F473, 'Network Chiefs'!A:B, 2, FALSE)
</f>
        <v>Alene Mason</v>
      </c>
      <c r="H473" s="12">
        <v>42.0</v>
      </c>
      <c r="I473" s="13" t="s">
        <v>20</v>
      </c>
      <c r="J473" s="14" t="s">
        <v>204</v>
      </c>
      <c r="K473" s="14">
        <v>6.0</v>
      </c>
      <c r="L473" s="14" t="str">
        <f t="array" ref="L473">INDEX('School Rep'!$A$2:$A$21, MATCH(J473, 'School Rep'!$B$2:$B$21, 0))</f>
        <v>Jessica Biggs</v>
      </c>
      <c r="M473" s="15">
        <v>2.8</v>
      </c>
      <c r="N473" s="16" t="s">
        <v>1504</v>
      </c>
      <c r="O473" s="8" t="str">
        <f t="shared" si="1"/>
        <v>3200 S Calumet Ave </v>
      </c>
      <c r="P473" s="12">
        <v>4.0</v>
      </c>
      <c r="Q473" s="13" t="s">
        <v>123</v>
      </c>
    </row>
    <row r="474">
      <c r="A474" s="7">
        <v>400064.0</v>
      </c>
      <c r="B474" s="8" t="s">
        <v>1505</v>
      </c>
      <c r="C474" s="18" t="s">
        <v>1506</v>
      </c>
      <c r="D474" s="19">
        <v>0.142</v>
      </c>
      <c r="E474" s="18" t="s">
        <v>19</v>
      </c>
      <c r="F474" s="18" t="s">
        <v>19</v>
      </c>
      <c r="G474" s="8" t="str">
        <f>VLOOKUP(F474, 'Network Chiefs'!A:B, 2, FALSE)
</f>
        <v>#N/A</v>
      </c>
      <c r="H474" s="12">
        <v>48.0</v>
      </c>
      <c r="I474" s="13" t="s">
        <v>20</v>
      </c>
      <c r="J474" s="14" t="s">
        <v>26</v>
      </c>
      <c r="K474" s="14">
        <v>8.0</v>
      </c>
      <c r="L474" s="14" t="str">
        <f t="array" ref="L474">INDEX('School Rep'!$A$2:$A$21, MATCH(J474, 'School Rep'!$B$2:$B$21, 0))</f>
        <v>Cydney Wallace</v>
      </c>
      <c r="M474" s="15">
        <v>2.8</v>
      </c>
      <c r="N474" s="16" t="s">
        <v>1507</v>
      </c>
      <c r="O474" s="8" t="str">
        <f t="shared" si="1"/>
        <v>1930 S Archer Ave </v>
      </c>
      <c r="P474" s="12">
        <v>3.0</v>
      </c>
      <c r="Q474" s="13" t="s">
        <v>206</v>
      </c>
    </row>
    <row r="475">
      <c r="A475" s="7">
        <v>400061.0</v>
      </c>
      <c r="B475" s="13" t="s">
        <v>1508</v>
      </c>
      <c r="C475" s="9" t="s">
        <v>1509</v>
      </c>
      <c r="D475" s="10">
        <v>0.113</v>
      </c>
      <c r="E475" s="11" t="s">
        <v>19</v>
      </c>
      <c r="F475" s="11" t="s">
        <v>19</v>
      </c>
      <c r="G475" s="8" t="str">
        <f>VLOOKUP(F475, 'Network Chiefs'!A:B, 2, FALSE)
</f>
        <v>#N/A</v>
      </c>
      <c r="H475" s="15"/>
      <c r="I475" s="8"/>
      <c r="J475" s="14" t="s">
        <v>82</v>
      </c>
      <c r="K475" s="14">
        <v>10.0</v>
      </c>
      <c r="L475" s="14" t="str">
        <f t="array" ref="L475">INDEX('School Rep'!$A$2:$A$21, MATCH(J475, 'School Rep'!$B$2:$B$21, 0))</f>
        <v>Olga Bautista</v>
      </c>
      <c r="M475" s="12">
        <v>3.4</v>
      </c>
      <c r="N475" s="16" t="s">
        <v>1510</v>
      </c>
      <c r="O475" s="8" t="str">
        <f t="shared" si="1"/>
        <v>8522 S Lafayette Ave </v>
      </c>
      <c r="P475" s="12">
        <v>21.0</v>
      </c>
      <c r="Q475" s="13" t="s">
        <v>428</v>
      </c>
    </row>
    <row r="476">
      <c r="A476" s="7">
        <v>400066.0</v>
      </c>
      <c r="B476" s="8" t="s">
        <v>1511</v>
      </c>
      <c r="C476" s="17" t="s">
        <v>1512</v>
      </c>
      <c r="D476" s="10">
        <v>0.122</v>
      </c>
      <c r="E476" s="11" t="s">
        <v>19</v>
      </c>
      <c r="F476" s="11" t="s">
        <v>19</v>
      </c>
      <c r="G476" s="8" t="str">
        <f>VLOOKUP(F476, 'Network Chiefs'!A:B, 2, FALSE)
</f>
        <v>#N/A</v>
      </c>
      <c r="H476" s="15"/>
      <c r="I476" s="8"/>
      <c r="J476" s="14" t="s">
        <v>204</v>
      </c>
      <c r="K476" s="14">
        <v>6.0</v>
      </c>
      <c r="L476" s="14" t="str">
        <f t="array" ref="L476">INDEX('School Rep'!$A$2:$A$21, MATCH(J476, 'School Rep'!$B$2:$B$21, 0))</f>
        <v>Jessica Biggs</v>
      </c>
      <c r="M476" s="15">
        <v>3.2</v>
      </c>
      <c r="N476" s="16" t="s">
        <v>1513</v>
      </c>
      <c r="O476" s="8" t="str">
        <f t="shared" si="1"/>
        <v>3663 S Wabash Ave </v>
      </c>
      <c r="P476" s="12">
        <v>3.0</v>
      </c>
      <c r="Q476" s="13" t="s">
        <v>206</v>
      </c>
    </row>
    <row r="477">
      <c r="A477" s="7">
        <v>400062.0</v>
      </c>
      <c r="B477" s="13" t="s">
        <v>1514</v>
      </c>
      <c r="C477" s="17" t="s">
        <v>1515</v>
      </c>
      <c r="D477" s="10">
        <v>0.108</v>
      </c>
      <c r="E477" s="11" t="s">
        <v>19</v>
      </c>
      <c r="F477" s="11" t="s">
        <v>19</v>
      </c>
      <c r="G477" s="8" t="str">
        <f>VLOOKUP(F477, 'Network Chiefs'!A:B, 2, FALSE)
</f>
        <v>#N/A</v>
      </c>
      <c r="H477" s="15"/>
      <c r="I477" s="8"/>
      <c r="J477" s="14" t="s">
        <v>82</v>
      </c>
      <c r="K477" s="14">
        <v>10.0</v>
      </c>
      <c r="L477" s="14" t="str">
        <f t="array" ref="L477">INDEX('School Rep'!$A$2:$A$21, MATCH(J477, 'School Rep'!$B$2:$B$21, 0))</f>
        <v>Olga Bautista</v>
      </c>
      <c r="M477" s="12">
        <v>3.4</v>
      </c>
      <c r="N477" s="16" t="s">
        <v>1510</v>
      </c>
      <c r="O477" s="8" t="str">
        <f t="shared" si="1"/>
        <v>8522 S Lafayette Ave </v>
      </c>
      <c r="P477" s="12">
        <v>21.0</v>
      </c>
      <c r="Q477" s="13" t="s">
        <v>428</v>
      </c>
    </row>
    <row r="478">
      <c r="A478" s="7">
        <v>610127.0</v>
      </c>
      <c r="B478" s="13" t="s">
        <v>1516</v>
      </c>
      <c r="C478" s="18" t="s">
        <v>1517</v>
      </c>
      <c r="D478" s="19">
        <v>0.079</v>
      </c>
      <c r="E478" s="18" t="s">
        <v>80</v>
      </c>
      <c r="F478" s="18" t="s">
        <v>97</v>
      </c>
      <c r="G478" s="8" t="str">
        <f>VLOOKUP(F478, 'Network Chiefs'!A:B, 2, FALSE)
</f>
        <v>Julie McGlade</v>
      </c>
      <c r="H478" s="12">
        <v>26.0</v>
      </c>
      <c r="I478" s="13" t="s">
        <v>41</v>
      </c>
      <c r="J478" s="14" t="s">
        <v>87</v>
      </c>
      <c r="K478" s="14">
        <v>2.0</v>
      </c>
      <c r="L478" s="14" t="str">
        <f t="array" ref="L478">INDEX('School Rep'!$A$2:$A$21, MATCH(J478, 'School Rep'!$B$2:$B$21, 0))</f>
        <v>Debby Pope</v>
      </c>
      <c r="M478" s="12">
        <v>2.1</v>
      </c>
      <c r="N478" s="16" t="s">
        <v>1518</v>
      </c>
      <c r="O478" s="8" t="str">
        <f t="shared" si="1"/>
        <v>5510 N Christiana Ave </v>
      </c>
      <c r="P478" s="12">
        <v>39.0</v>
      </c>
      <c r="Q478" s="13" t="s">
        <v>224</v>
      </c>
    </row>
    <row r="479">
      <c r="A479" s="7">
        <v>609727.0</v>
      </c>
      <c r="B479" s="8" t="s">
        <v>1519</v>
      </c>
      <c r="C479" s="17" t="s">
        <v>1520</v>
      </c>
      <c r="D479" s="10">
        <v>0.268</v>
      </c>
      <c r="E479" s="11" t="s">
        <v>80</v>
      </c>
      <c r="F479" s="11" t="s">
        <v>263</v>
      </c>
      <c r="G479" s="8" t="str">
        <f>VLOOKUP(F479, 'Network Chiefs'!A:B, 2, FALSE)
</f>
        <v>Myron Hester</v>
      </c>
      <c r="H479" s="12">
        <v>32.0</v>
      </c>
      <c r="I479" s="13" t="s">
        <v>41</v>
      </c>
      <c r="J479" s="14" t="s">
        <v>204</v>
      </c>
      <c r="K479" s="14">
        <v>6.0</v>
      </c>
      <c r="L479" s="14" t="str">
        <f t="array" ref="L479">INDEX('School Rep'!$A$2:$A$21, MATCH(J479, 'School Rep'!$B$2:$B$21, 0))</f>
        <v>Jessica Biggs</v>
      </c>
      <c r="M479" s="15">
        <v>3.2</v>
      </c>
      <c r="N479" s="16" t="s">
        <v>1521</v>
      </c>
      <c r="O479" s="8" t="str">
        <f t="shared" si="1"/>
        <v>244 E Pershing Rd </v>
      </c>
      <c r="P479" s="12">
        <v>3.0</v>
      </c>
      <c r="Q479" s="13" t="s">
        <v>206</v>
      </c>
    </row>
    <row r="480">
      <c r="A480" s="7">
        <v>610304.0</v>
      </c>
      <c r="B480" s="12" t="s">
        <v>1522</v>
      </c>
      <c r="C480" s="17" t="s">
        <v>1523</v>
      </c>
      <c r="D480" s="10">
        <v>0.053</v>
      </c>
      <c r="E480" s="11" t="s">
        <v>80</v>
      </c>
      <c r="F480" s="11" t="s">
        <v>126</v>
      </c>
      <c r="G480" s="8" t="str">
        <f>VLOOKUP(F480, 'Network Chiefs'!A:B, 2, FALSE)
</f>
        <v>#N/A</v>
      </c>
      <c r="H480" s="12">
        <v>41.0</v>
      </c>
      <c r="I480" s="13" t="s">
        <v>20</v>
      </c>
      <c r="J480" s="14" t="s">
        <v>217</v>
      </c>
      <c r="K480" s="14">
        <v>5.0</v>
      </c>
      <c r="L480" s="14" t="str">
        <f t="array" ref="L480">INDEX('School Rep'!$A$2:$A$21, MATCH(J480, 'School Rep'!$B$2:$B$21, 0))</f>
        <v>Michilla Blaise</v>
      </c>
      <c r="M480" s="12">
        <v>3.0</v>
      </c>
      <c r="N480" s="16" t="s">
        <v>1524</v>
      </c>
      <c r="O480" s="8" t="str">
        <f t="shared" si="1"/>
        <v>145 S Campbell Ave </v>
      </c>
      <c r="P480" s="12">
        <v>27.0</v>
      </c>
      <c r="Q480" s="13" t="s">
        <v>219</v>
      </c>
    </row>
    <row r="481">
      <c r="A481" s="7">
        <v>610106.0</v>
      </c>
      <c r="B481" s="12" t="s">
        <v>1525</v>
      </c>
      <c r="C481" s="18" t="s">
        <v>1526</v>
      </c>
      <c r="D481" s="19">
        <v>0.138</v>
      </c>
      <c r="E481" s="18" t="s">
        <v>80</v>
      </c>
      <c r="F481" s="18" t="s">
        <v>216</v>
      </c>
      <c r="G481" s="8" t="str">
        <f>VLOOKUP(F481, 'Network Chiefs'!A:B, 2, FALSE)
</f>
        <v>Shontae Higginbottom</v>
      </c>
      <c r="H481" s="12">
        <v>42.0</v>
      </c>
      <c r="I481" s="13" t="s">
        <v>20</v>
      </c>
      <c r="J481" s="14" t="s">
        <v>232</v>
      </c>
      <c r="K481" s="14">
        <v>3.0</v>
      </c>
      <c r="L481" s="14" t="str">
        <f t="array" ref="L481">INDEX('School Rep'!$A$2:$A$21, MATCH(J481, 'School Rep'!$B$2:$B$21, 0))</f>
        <v>Carlos Rivas</v>
      </c>
      <c r="M481" s="12">
        <v>3.6</v>
      </c>
      <c r="N481" s="16" t="s">
        <v>1527</v>
      </c>
      <c r="O481" s="8" t="str">
        <f t="shared" si="1"/>
        <v>1040 N Keeler Ave </v>
      </c>
      <c r="P481" s="12">
        <v>37.0</v>
      </c>
      <c r="Q481" s="13" t="s">
        <v>162</v>
      </c>
    </row>
    <row r="482">
      <c r="A482" s="7">
        <v>610129.0</v>
      </c>
      <c r="B482" s="8" t="s">
        <v>1528</v>
      </c>
      <c r="C482" s="18" t="s">
        <v>1529</v>
      </c>
      <c r="D482" s="19">
        <v>0.082</v>
      </c>
      <c r="E482" s="18" t="s">
        <v>80</v>
      </c>
      <c r="F482" s="18" t="s">
        <v>529</v>
      </c>
      <c r="G482" s="8" t="str">
        <f>VLOOKUP(F482, 'Network Chiefs'!A:B, 2, FALSE)
</f>
        <v>Dr. Antonio Acevedo</v>
      </c>
      <c r="H482" s="12">
        <v>56.0</v>
      </c>
      <c r="I482" s="13" t="s">
        <v>20</v>
      </c>
      <c r="J482" s="14" t="s">
        <v>42</v>
      </c>
      <c r="K482" s="14">
        <v>7.0</v>
      </c>
      <c r="L482" s="14" t="str">
        <f t="array" ref="L482">INDEX('School Rep'!$A$2:$A$21, MATCH(J482, 'School Rep'!$B$2:$B$21, 0))</f>
        <v>Emma Lozano</v>
      </c>
      <c r="M482" s="15">
        <v>3.4</v>
      </c>
      <c r="N482" s="16" t="s">
        <v>1530</v>
      </c>
      <c r="O482" s="8" t="str">
        <f t="shared" si="1"/>
        <v>2301 W 21st Pl </v>
      </c>
      <c r="P482" s="12">
        <v>25.0</v>
      </c>
      <c r="Q482" s="13" t="s">
        <v>44</v>
      </c>
    </row>
    <row r="483">
      <c r="A483" s="7">
        <v>610013.0</v>
      </c>
      <c r="B483" s="8" t="s">
        <v>1531</v>
      </c>
      <c r="C483" s="18" t="s">
        <v>1532</v>
      </c>
      <c r="D483" s="19">
        <v>0.074</v>
      </c>
      <c r="E483" s="18" t="s">
        <v>80</v>
      </c>
      <c r="F483" s="18" t="s">
        <v>529</v>
      </c>
      <c r="G483" s="8" t="str">
        <f>VLOOKUP(F483, 'Network Chiefs'!A:B, 2, FALSE)
</f>
        <v>Dr. Antonio Acevedo</v>
      </c>
      <c r="H483" s="12">
        <v>59.0</v>
      </c>
      <c r="I483" s="13" t="s">
        <v>20</v>
      </c>
      <c r="J483" s="14" t="s">
        <v>42</v>
      </c>
      <c r="K483" s="14">
        <v>7.0</v>
      </c>
      <c r="L483" s="14" t="str">
        <f t="array" ref="L483">INDEX('School Rep'!$A$2:$A$21, MATCH(J483, 'School Rep'!$B$2:$B$21, 0))</f>
        <v>Emma Lozano</v>
      </c>
      <c r="M483" s="15">
        <v>3.6</v>
      </c>
      <c r="N483" s="16" t="s">
        <v>1533</v>
      </c>
      <c r="O483" s="8" t="str">
        <f t="shared" si="1"/>
        <v>1420 W 17th St </v>
      </c>
      <c r="P483" s="12">
        <v>25.0</v>
      </c>
      <c r="Q483" s="13" t="s">
        <v>44</v>
      </c>
    </row>
    <row r="484">
      <c r="A484" s="7">
        <v>610130.0</v>
      </c>
      <c r="B484" s="13" t="s">
        <v>1534</v>
      </c>
      <c r="C484" s="18" t="s">
        <v>1535</v>
      </c>
      <c r="D484" s="19">
        <v>0.128</v>
      </c>
      <c r="E484" s="18" t="s">
        <v>80</v>
      </c>
      <c r="F484" s="18" t="s">
        <v>144</v>
      </c>
      <c r="G484" s="8" t="str">
        <f>VLOOKUP(F484, 'Network Chiefs'!A:B, 2, FALSE)
</f>
        <v>Shenethe Parks</v>
      </c>
      <c r="H484" s="15"/>
      <c r="I484" s="8"/>
      <c r="J484" s="14" t="s">
        <v>82</v>
      </c>
      <c r="K484" s="14">
        <v>10.0</v>
      </c>
      <c r="L484" s="14" t="str">
        <f t="array" ref="L484">INDEX('School Rep'!$A$2:$A$21, MATCH(J484, 'School Rep'!$B$2:$B$21, 0))</f>
        <v>Olga Bautista</v>
      </c>
      <c r="M484" s="12">
        <v>3.4</v>
      </c>
      <c r="N484" s="16" t="s">
        <v>1536</v>
      </c>
      <c r="O484" s="8" t="str">
        <f t="shared" si="1"/>
        <v>650 E 85th St </v>
      </c>
      <c r="P484" s="12">
        <v>6.0</v>
      </c>
      <c r="Q484" s="13" t="s">
        <v>306</v>
      </c>
    </row>
    <row r="485">
      <c r="A485" s="7">
        <v>610131.0</v>
      </c>
      <c r="B485" s="12" t="s">
        <v>1537</v>
      </c>
      <c r="C485" s="18" t="s">
        <v>1538</v>
      </c>
      <c r="D485" s="19">
        <v>0.171</v>
      </c>
      <c r="E485" s="18" t="s">
        <v>80</v>
      </c>
      <c r="F485" s="18" t="s">
        <v>126</v>
      </c>
      <c r="G485" s="8" t="str">
        <f>VLOOKUP(F485, 'Network Chiefs'!A:B, 2, FALSE)
</f>
        <v>#N/A</v>
      </c>
      <c r="H485" s="12">
        <v>35.0</v>
      </c>
      <c r="I485" s="13" t="s">
        <v>41</v>
      </c>
      <c r="J485" s="14" t="s">
        <v>217</v>
      </c>
      <c r="K485" s="14">
        <v>5.0</v>
      </c>
      <c r="L485" s="14" t="str">
        <f t="array" ref="L485">INDEX('School Rep'!$A$2:$A$21, MATCH(J485, 'School Rep'!$B$2:$B$21, 0))</f>
        <v>Michilla Blaise</v>
      </c>
      <c r="M485" s="12">
        <v>3.8</v>
      </c>
      <c r="N485" s="16" t="s">
        <v>1539</v>
      </c>
      <c r="O485" s="8" t="str">
        <f t="shared" si="1"/>
        <v>2642 W 15th Pl </v>
      </c>
      <c r="P485" s="12">
        <v>28.0</v>
      </c>
      <c r="Q485" s="13" t="s">
        <v>399</v>
      </c>
    </row>
    <row r="486">
      <c r="A486" s="7">
        <v>400068.0</v>
      </c>
      <c r="B486" s="12" t="s">
        <v>1540</v>
      </c>
      <c r="C486" s="17" t="s">
        <v>1541</v>
      </c>
      <c r="D486" s="10">
        <v>0.127</v>
      </c>
      <c r="E486" s="11" t="s">
        <v>411</v>
      </c>
      <c r="F486" s="11" t="s">
        <v>411</v>
      </c>
      <c r="G486" s="8" t="str">
        <f>VLOOKUP(F486, 'Network Chiefs'!A:B, 2, FALSE)
</f>
        <v>#N/A</v>
      </c>
      <c r="H486" s="12">
        <v>34.0</v>
      </c>
      <c r="I486" s="13" t="s">
        <v>41</v>
      </c>
      <c r="J486" s="14" t="s">
        <v>31</v>
      </c>
      <c r="K486" s="14">
        <v>5.0</v>
      </c>
      <c r="L486" s="14" t="str">
        <f t="array" ref="L486">INDEX('School Rep'!$A$2:$A$21, MATCH(J486, 'School Rep'!$B$2:$B$21, 0))</f>
        <v>Aaron "Jitu" Brown</v>
      </c>
      <c r="M486" s="12">
        <v>3.4</v>
      </c>
      <c r="N486" s="16" t="s">
        <v>1542</v>
      </c>
      <c r="O486" s="8" t="str">
        <f t="shared" si="1"/>
        <v>5545 W Harrison St </v>
      </c>
      <c r="P486" s="12">
        <v>29.0</v>
      </c>
      <c r="Q486" s="13" t="s">
        <v>33</v>
      </c>
    </row>
    <row r="487">
      <c r="A487" s="7">
        <v>610132.0</v>
      </c>
      <c r="B487" s="13" t="s">
        <v>1543</v>
      </c>
      <c r="C487" s="18" t="s">
        <v>1544</v>
      </c>
      <c r="D487" s="19">
        <v>0.0</v>
      </c>
      <c r="E487" s="18" t="s">
        <v>80</v>
      </c>
      <c r="F487" s="18" t="s">
        <v>81</v>
      </c>
      <c r="G487" s="8" t="str">
        <f>VLOOKUP(F487, 'Network Chiefs'!A:B, 2, FALSE)
</f>
        <v>Dr. Terrycita D. Perry</v>
      </c>
      <c r="H487" s="12">
        <v>18.0</v>
      </c>
      <c r="I487" s="13" t="s">
        <v>30</v>
      </c>
      <c r="J487" s="14" t="s">
        <v>82</v>
      </c>
      <c r="K487" s="14">
        <v>10.0</v>
      </c>
      <c r="L487" s="14" t="str">
        <f t="array" ref="L487">INDEX('School Rep'!$A$2:$A$21, MATCH(J487, 'School Rep'!$B$2:$B$21, 0))</f>
        <v>Olga Bautista</v>
      </c>
      <c r="M487" s="12">
        <v>2.3</v>
      </c>
      <c r="N487" s="16" t="s">
        <v>1545</v>
      </c>
      <c r="O487" s="8" t="str">
        <f t="shared" si="1"/>
        <v>10538 S Langley Ave </v>
      </c>
      <c r="P487" s="12">
        <v>9.0</v>
      </c>
      <c r="Q487" s="13" t="s">
        <v>237</v>
      </c>
    </row>
    <row r="488">
      <c r="A488" s="7">
        <v>400069.0</v>
      </c>
      <c r="B488" s="12" t="s">
        <v>1546</v>
      </c>
      <c r="C488" s="17" t="s">
        <v>1547</v>
      </c>
      <c r="D488" s="10">
        <v>0.152</v>
      </c>
      <c r="E488" s="11" t="s">
        <v>19</v>
      </c>
      <c r="F488" s="11" t="s">
        <v>19</v>
      </c>
      <c r="G488" s="8" t="str">
        <f>VLOOKUP(F488, 'Network Chiefs'!A:B, 2, FALSE)
</f>
        <v>#N/A</v>
      </c>
      <c r="H488" s="12">
        <v>51.0</v>
      </c>
      <c r="I488" s="13" t="s">
        <v>20</v>
      </c>
      <c r="J488" s="14" t="s">
        <v>31</v>
      </c>
      <c r="K488" s="14">
        <v>5.0</v>
      </c>
      <c r="L488" s="14" t="str">
        <f t="array" ref="L488">INDEX('School Rep'!$A$2:$A$21, MATCH(J488, 'School Rep'!$B$2:$B$21, 0))</f>
        <v>Aaron "Jitu" Brown</v>
      </c>
      <c r="M488" s="12">
        <v>3.2</v>
      </c>
      <c r="N488" s="16" t="s">
        <v>1548</v>
      </c>
      <c r="O488" s="8" t="str">
        <f t="shared" si="1"/>
        <v>620 N Sawyer Ave </v>
      </c>
      <c r="P488" s="12">
        <v>27.0</v>
      </c>
      <c r="Q488" s="13" t="s">
        <v>219</v>
      </c>
    </row>
    <row r="489">
      <c r="A489" s="7">
        <v>610135.0</v>
      </c>
      <c r="B489" s="13" t="s">
        <v>1549</v>
      </c>
      <c r="C489" s="17" t="s">
        <v>1550</v>
      </c>
      <c r="D489" s="10">
        <v>0.098</v>
      </c>
      <c r="E489" s="11" t="s">
        <v>80</v>
      </c>
      <c r="F489" s="11" t="s">
        <v>97</v>
      </c>
      <c r="G489" s="8" t="str">
        <f>VLOOKUP(F489, 'Network Chiefs'!A:B, 2, FALSE)
</f>
        <v>Julie McGlade</v>
      </c>
      <c r="H489" s="12">
        <v>42.0</v>
      </c>
      <c r="I489" s="13" t="s">
        <v>20</v>
      </c>
      <c r="J489" s="14" t="s">
        <v>222</v>
      </c>
      <c r="K489" s="14">
        <v>1.0</v>
      </c>
      <c r="L489" s="14" t="str">
        <f t="array" ref="L489">INDEX('School Rep'!$A$2:$A$21, MATCH(J489, 'School Rep'!$B$2:$B$21, 0))</f>
        <v>Jennifer Custer</v>
      </c>
      <c r="M489" s="12">
        <v>2.7</v>
      </c>
      <c r="N489" s="16" t="s">
        <v>1551</v>
      </c>
      <c r="O489" s="8" t="str">
        <f t="shared" si="1"/>
        <v>5330 W Berteau Ave </v>
      </c>
      <c r="P489" s="12">
        <v>38.0</v>
      </c>
      <c r="Q489" s="13" t="s">
        <v>279</v>
      </c>
    </row>
    <row r="490">
      <c r="A490" s="7">
        <v>610281.0</v>
      </c>
      <c r="B490" s="13" t="s">
        <v>1552</v>
      </c>
      <c r="C490" s="18" t="s">
        <v>1553</v>
      </c>
      <c r="D490" s="19">
        <v>0.257</v>
      </c>
      <c r="E490" s="18" t="s">
        <v>80</v>
      </c>
      <c r="F490" s="18" t="s">
        <v>144</v>
      </c>
      <c r="G490" s="8" t="str">
        <f>VLOOKUP(F490, 'Network Chiefs'!A:B, 2, FALSE)
</f>
        <v>Shenethe Parks</v>
      </c>
      <c r="H490" s="12">
        <v>41.0</v>
      </c>
      <c r="I490" s="13" t="s">
        <v>20</v>
      </c>
      <c r="J490" s="14" t="s">
        <v>121</v>
      </c>
      <c r="K490" s="14">
        <v>10.0</v>
      </c>
      <c r="L490" s="14" t="str">
        <f t="array" ref="L490">INDEX('School Rep'!$A$2:$A$21, MATCH(J490, 'School Rep'!$B$2:$B$21, 0))</f>
        <v>Che "Rhymefest" Smith</v>
      </c>
      <c r="M490" s="12">
        <v>3.6</v>
      </c>
      <c r="N490" s="16" t="s">
        <v>1554</v>
      </c>
      <c r="O490" s="8" t="str">
        <f t="shared" si="1"/>
        <v>7511 S South Shore Dr </v>
      </c>
      <c r="P490" s="12">
        <v>7.0</v>
      </c>
      <c r="Q490" s="13" t="s">
        <v>260</v>
      </c>
    </row>
    <row r="491">
      <c r="A491" s="7">
        <v>610136.0</v>
      </c>
      <c r="B491" s="12" t="s">
        <v>1555</v>
      </c>
      <c r="C491" s="18" t="s">
        <v>1556</v>
      </c>
      <c r="D491" s="19">
        <v>0.047</v>
      </c>
      <c r="E491" s="18" t="s">
        <v>80</v>
      </c>
      <c r="F491" s="18" t="s">
        <v>102</v>
      </c>
      <c r="G491" s="8" t="str">
        <f>VLOOKUP(F491, 'Network Chiefs'!A:B, 2, FALSE)
</f>
        <v>Jerry Travlos</v>
      </c>
      <c r="H491" s="12">
        <v>46.0</v>
      </c>
      <c r="I491" s="13" t="s">
        <v>20</v>
      </c>
      <c r="J491" s="14" t="s">
        <v>103</v>
      </c>
      <c r="K491" s="14">
        <v>4.0</v>
      </c>
      <c r="L491" s="14" t="str">
        <f t="array" ref="L491">INDEX('School Rep'!$A$2:$A$21, MATCH(J491, 'School Rep'!$B$2:$B$21, 0))</f>
        <v>Ellen Rosenfeld</v>
      </c>
      <c r="M491" s="12">
        <v>2.3</v>
      </c>
      <c r="N491" s="16" t="s">
        <v>1557</v>
      </c>
      <c r="O491" s="8" t="str">
        <f t="shared" si="1"/>
        <v>1632 W Wrightwood Ave </v>
      </c>
      <c r="P491" s="12">
        <v>32.0</v>
      </c>
      <c r="Q491" s="13" t="s">
        <v>110</v>
      </c>
    </row>
    <row r="492">
      <c r="A492" s="7">
        <v>610533.0</v>
      </c>
      <c r="B492" s="12" t="s">
        <v>1558</v>
      </c>
      <c r="C492" s="9" t="s">
        <v>1559</v>
      </c>
      <c r="D492" s="10">
        <v>0.108</v>
      </c>
      <c r="E492" s="11" t="s">
        <v>80</v>
      </c>
      <c r="F492" s="11" t="s">
        <v>231</v>
      </c>
      <c r="G492" s="8" t="str">
        <f>VLOOKUP(F492, 'Network Chiefs'!A:B, 2, FALSE)
</f>
        <v>Jennifer Farrell‐Rottman</v>
      </c>
      <c r="H492" s="12">
        <v>65.0</v>
      </c>
      <c r="I492" s="13" t="s">
        <v>52</v>
      </c>
      <c r="J492" s="14" t="s">
        <v>232</v>
      </c>
      <c r="K492" s="14">
        <v>3.0</v>
      </c>
      <c r="L492" s="14" t="str">
        <f t="array" ref="L492">INDEX('School Rep'!$A$2:$A$21, MATCH(J492, 'School Rep'!$B$2:$B$21, 0))</f>
        <v>Carlos Rivas</v>
      </c>
      <c r="M492" s="12">
        <v>3.6</v>
      </c>
      <c r="N492" s="16" t="s">
        <v>1560</v>
      </c>
      <c r="O492" s="8" t="str">
        <f t="shared" si="1"/>
        <v>2231 N Central Ave </v>
      </c>
      <c r="P492" s="12">
        <v>36.0</v>
      </c>
      <c r="Q492" s="13" t="s">
        <v>67</v>
      </c>
    </row>
    <row r="493">
      <c r="A493" s="7">
        <v>610229.0</v>
      </c>
      <c r="B493" s="8" t="s">
        <v>1561</v>
      </c>
      <c r="C493" s="11" t="s">
        <v>1562</v>
      </c>
      <c r="D493" s="10">
        <v>0.043</v>
      </c>
      <c r="E493" s="11" t="s">
        <v>80</v>
      </c>
      <c r="F493" s="11" t="s">
        <v>301</v>
      </c>
      <c r="G493" s="8" t="str">
        <f>VLOOKUP(F493, 'Network Chiefs'!A:B, 2, FALSE)
</f>
        <v>Dr. Ethan Netterstrom</v>
      </c>
      <c r="H493" s="12">
        <v>55.0</v>
      </c>
      <c r="I493" s="13" t="s">
        <v>20</v>
      </c>
      <c r="J493" s="14" t="s">
        <v>462</v>
      </c>
      <c r="K493" s="14">
        <v>6.0</v>
      </c>
      <c r="L493" s="14" t="str">
        <f t="array" ref="L493">INDEX('School Rep'!$A$2:$A$21, MATCH(J493, 'School Rep'!$B$2:$B$21, 0))</f>
        <v>Anusha Thotakura</v>
      </c>
      <c r="M493" s="15">
        <v>2.1</v>
      </c>
      <c r="N493" s="16" t="s">
        <v>1563</v>
      </c>
      <c r="O493" s="8" t="str">
        <f t="shared" si="1"/>
        <v>2009 W Schiller St </v>
      </c>
      <c r="P493" s="12">
        <v>1.0</v>
      </c>
      <c r="Q493" s="13" t="s">
        <v>275</v>
      </c>
    </row>
    <row r="494">
      <c r="A494" s="7">
        <v>609679.0</v>
      </c>
      <c r="B494" s="12" t="s">
        <v>1564</v>
      </c>
      <c r="C494" s="9" t="s">
        <v>1565</v>
      </c>
      <c r="D494" s="10">
        <v>0.043</v>
      </c>
      <c r="E494" s="11" t="s">
        <v>80</v>
      </c>
      <c r="F494" s="11" t="s">
        <v>108</v>
      </c>
      <c r="G494" s="8" t="str">
        <f>VLOOKUP(F494, 'Network Chiefs'!A:B, 2, FALSE)
</f>
        <v>Michael Boraz</v>
      </c>
      <c r="H494" s="12">
        <v>49.0</v>
      </c>
      <c r="I494" s="13" t="s">
        <v>20</v>
      </c>
      <c r="J494" s="14" t="s">
        <v>232</v>
      </c>
      <c r="K494" s="14">
        <v>3.0</v>
      </c>
      <c r="L494" s="14" t="str">
        <f t="array" ref="L494">INDEX('School Rep'!$A$2:$A$21, MATCH(J494, 'School Rep'!$B$2:$B$21, 0))</f>
        <v>Carlos Rivas</v>
      </c>
      <c r="M494" s="12">
        <v>2.8</v>
      </c>
      <c r="N494" s="16" t="s">
        <v>1566</v>
      </c>
      <c r="O494" s="8" t="str">
        <f t="shared" si="1"/>
        <v>2148 N Long Ave </v>
      </c>
      <c r="P494" s="12">
        <v>36.0</v>
      </c>
      <c r="Q494" s="13" t="s">
        <v>67</v>
      </c>
    </row>
    <row r="495">
      <c r="A495" s="7">
        <v>400071.0</v>
      </c>
      <c r="B495" s="8" t="s">
        <v>1567</v>
      </c>
      <c r="C495" s="11" t="s">
        <v>1568</v>
      </c>
      <c r="D495" s="10">
        <v>0.104</v>
      </c>
      <c r="E495" s="11" t="s">
        <v>19</v>
      </c>
      <c r="F495" s="11" t="s">
        <v>19</v>
      </c>
      <c r="G495" s="8" t="str">
        <f>VLOOKUP(F495, 'Network Chiefs'!A:B, 2, FALSE)
</f>
        <v>#N/A</v>
      </c>
      <c r="H495" s="12">
        <v>61.0</v>
      </c>
      <c r="I495" s="13" t="s">
        <v>52</v>
      </c>
      <c r="J495" s="14" t="s">
        <v>187</v>
      </c>
      <c r="K495" s="14">
        <v>9.0</v>
      </c>
      <c r="L495" s="14" t="str">
        <f t="array" ref="L495">INDEX('School Rep'!$A$2:$A$21, MATCH(J495, 'School Rep'!$B$2:$B$21, 0))</f>
        <v>Frank Niles Thomas</v>
      </c>
      <c r="M495" s="15">
        <v>3.6</v>
      </c>
      <c r="N495" s="16" t="s">
        <v>1569</v>
      </c>
      <c r="O495" s="8" t="str">
        <f t="shared" si="1"/>
        <v>6515 S Ashland Ave </v>
      </c>
      <c r="P495" s="12">
        <v>16.0</v>
      </c>
      <c r="Q495" s="13" t="s">
        <v>193</v>
      </c>
    </row>
    <row r="496">
      <c r="A496" s="7">
        <v>610137.0</v>
      </c>
      <c r="B496" s="13" t="s">
        <v>1570</v>
      </c>
      <c r="C496" s="18" t="s">
        <v>1571</v>
      </c>
      <c r="D496" s="19">
        <v>0.103</v>
      </c>
      <c r="E496" s="18" t="s">
        <v>80</v>
      </c>
      <c r="F496" s="18" t="s">
        <v>97</v>
      </c>
      <c r="G496" s="8" t="str">
        <f>VLOOKUP(F496, 'Network Chiefs'!A:B, 2, FALSE)
</f>
        <v>Julie McGlade</v>
      </c>
      <c r="H496" s="12">
        <v>30.0</v>
      </c>
      <c r="I496" s="13" t="s">
        <v>41</v>
      </c>
      <c r="J496" s="14" t="s">
        <v>199</v>
      </c>
      <c r="K496" s="14">
        <v>1.0</v>
      </c>
      <c r="L496" s="14" t="str">
        <f t="array" ref="L496">INDEX('School Rep'!$A$2:$A$21, MATCH(J496, 'School Rep'!$B$2:$B$21, 0))</f>
        <v>Ed Bannon</v>
      </c>
      <c r="M496" s="12">
        <v>2.4</v>
      </c>
      <c r="N496" s="16" t="s">
        <v>1572</v>
      </c>
      <c r="O496" s="8" t="str">
        <f t="shared" si="1"/>
        <v>4650 N Menard Ave </v>
      </c>
      <c r="P496" s="12">
        <v>45.0</v>
      </c>
      <c r="Q496" s="13" t="s">
        <v>210</v>
      </c>
    </row>
    <row r="497">
      <c r="A497" s="7">
        <v>610138.0</v>
      </c>
      <c r="B497" s="8" t="s">
        <v>1573</v>
      </c>
      <c r="C497" s="18" t="s">
        <v>1574</v>
      </c>
      <c r="D497" s="19">
        <v>0.04</v>
      </c>
      <c r="E497" s="18" t="s">
        <v>80</v>
      </c>
      <c r="F497" s="18" t="s">
        <v>301</v>
      </c>
      <c r="G497" s="8" t="str">
        <f>VLOOKUP(F497, 'Network Chiefs'!A:B, 2, FALSE)
</f>
        <v>Dr. Ethan Netterstrom</v>
      </c>
      <c r="H497" s="12">
        <v>35.0</v>
      </c>
      <c r="I497" s="13" t="s">
        <v>41</v>
      </c>
      <c r="J497" s="14" t="s">
        <v>462</v>
      </c>
      <c r="K497" s="14">
        <v>6.0</v>
      </c>
      <c r="L497" s="14" t="str">
        <f t="array" ref="L497">INDEX('School Rep'!$A$2:$A$21, MATCH(J497, 'School Rep'!$B$2:$B$21, 0))</f>
        <v>Anusha Thotakura</v>
      </c>
      <c r="M497" s="15">
        <v>1.9</v>
      </c>
      <c r="N497" s="16" t="s">
        <v>1575</v>
      </c>
      <c r="O497" s="8" t="str">
        <f t="shared" si="1"/>
        <v>2230 W Mclean Ave </v>
      </c>
      <c r="P497" s="12">
        <v>32.0</v>
      </c>
      <c r="Q497" s="13" t="s">
        <v>110</v>
      </c>
    </row>
    <row r="498">
      <c r="A498" s="7">
        <v>610139.0</v>
      </c>
      <c r="B498" s="12" t="s">
        <v>1576</v>
      </c>
      <c r="C498" s="18" t="s">
        <v>1577</v>
      </c>
      <c r="D498" s="19">
        <v>0.138</v>
      </c>
      <c r="E498" s="18" t="s">
        <v>80</v>
      </c>
      <c r="F498" s="18" t="s">
        <v>81</v>
      </c>
      <c r="G498" s="8" t="str">
        <f>VLOOKUP(F498, 'Network Chiefs'!A:B, 2, FALSE)
</f>
        <v>Dr. Terrycita D. Perry</v>
      </c>
      <c r="H498" s="12">
        <v>38.0</v>
      </c>
      <c r="I498" s="13" t="s">
        <v>41</v>
      </c>
      <c r="J498" s="14" t="s">
        <v>82</v>
      </c>
      <c r="K498" s="14">
        <v>10.0</v>
      </c>
      <c r="L498" s="14" t="str">
        <f t="array" ref="L498">INDEX('School Rep'!$A$2:$A$21, MATCH(J498, 'School Rep'!$B$2:$B$21, 0))</f>
        <v>Olga Bautista</v>
      </c>
      <c r="M498" s="12">
        <v>3.0</v>
      </c>
      <c r="N498" s="16" t="s">
        <v>1578</v>
      </c>
      <c r="O498" s="8" t="str">
        <f t="shared" si="1"/>
        <v>11311 S Forrestville Ave </v>
      </c>
      <c r="P498" s="12">
        <v>9.0</v>
      </c>
      <c r="Q498" s="13" t="s">
        <v>237</v>
      </c>
    </row>
    <row r="499">
      <c r="A499" s="7">
        <v>610334.0</v>
      </c>
      <c r="B499" s="12" t="s">
        <v>1579</v>
      </c>
      <c r="C499" s="9" t="s">
        <v>1580</v>
      </c>
      <c r="D499" s="10">
        <v>0.115</v>
      </c>
      <c r="E499" s="11" t="s">
        <v>80</v>
      </c>
      <c r="F499" s="11" t="s">
        <v>108</v>
      </c>
      <c r="G499" s="8" t="str">
        <f>VLOOKUP(F499, 'Network Chiefs'!A:B, 2, FALSE)
</f>
        <v>Michael Boraz</v>
      </c>
      <c r="H499" s="12">
        <v>16.0</v>
      </c>
      <c r="I499" s="13" t="s">
        <v>30</v>
      </c>
      <c r="J499" s="14" t="s">
        <v>217</v>
      </c>
      <c r="K499" s="14">
        <v>5.0</v>
      </c>
      <c r="L499" s="14" t="str">
        <f t="array" ref="L499">INDEX('School Rep'!$A$2:$A$21, MATCH(J499, 'School Rep'!$B$2:$B$21, 0))</f>
        <v>Michilla Blaise</v>
      </c>
      <c r="M499" s="12">
        <v>4.0</v>
      </c>
      <c r="N499" s="16" t="s">
        <v>1581</v>
      </c>
      <c r="O499" s="8" t="str">
        <f t="shared" si="1"/>
        <v>3545 W Fulton Blvd </v>
      </c>
      <c r="P499" s="12">
        <v>28.0</v>
      </c>
      <c r="Q499" s="13" t="s">
        <v>399</v>
      </c>
    </row>
    <row r="500">
      <c r="A500" s="7">
        <v>609941.0</v>
      </c>
      <c r="B500" s="8" t="s">
        <v>1582</v>
      </c>
      <c r="C500" s="18" t="s">
        <v>1583</v>
      </c>
      <c r="D500" s="19">
        <v>0.198</v>
      </c>
      <c r="E500" s="18" t="s">
        <v>80</v>
      </c>
      <c r="F500" s="18" t="s">
        <v>186</v>
      </c>
      <c r="G500" s="8" t="str">
        <f>VLOOKUP(F500, 'Network Chiefs'!A:B, 2, FALSE)
</f>
        <v>Latasha Geverola</v>
      </c>
      <c r="H500" s="12">
        <v>74.0</v>
      </c>
      <c r="I500" s="13" t="s">
        <v>52</v>
      </c>
      <c r="J500" s="14" t="s">
        <v>187</v>
      </c>
      <c r="K500" s="14">
        <v>9.0</v>
      </c>
      <c r="L500" s="14" t="str">
        <f t="array" ref="L500">INDEX('School Rep'!$A$2:$A$21, MATCH(J500, 'School Rep'!$B$2:$B$21, 0))</f>
        <v>Frank Niles Thomas</v>
      </c>
      <c r="M500" s="15">
        <v>3.4</v>
      </c>
      <c r="N500" s="16" t="s">
        <v>1584</v>
      </c>
      <c r="O500" s="8" t="str">
        <f t="shared" si="1"/>
        <v>7316 S Hoyne Ave </v>
      </c>
      <c r="P500" s="12">
        <v>17.0</v>
      </c>
      <c r="Q500" s="13" t="s">
        <v>189</v>
      </c>
    </row>
    <row r="501">
      <c r="A501" s="7">
        <v>610141.0</v>
      </c>
      <c r="B501" s="12" t="s">
        <v>1585</v>
      </c>
      <c r="C501" s="18" t="s">
        <v>1586</v>
      </c>
      <c r="D501" s="19">
        <v>0.032</v>
      </c>
      <c r="E501" s="18" t="s">
        <v>80</v>
      </c>
      <c r="F501" s="18" t="s">
        <v>270</v>
      </c>
      <c r="G501" s="8" t="str">
        <f>VLOOKUP(F501, 'Network Chiefs'!A:B, 2, FALSE)
</f>
        <v>Marilou Rebolledo</v>
      </c>
      <c r="H501" s="12">
        <v>57.0</v>
      </c>
      <c r="I501" s="13" t="s">
        <v>20</v>
      </c>
      <c r="J501" s="14" t="s">
        <v>243</v>
      </c>
      <c r="K501" s="14">
        <v>4.0</v>
      </c>
      <c r="L501" s="14" t="str">
        <f t="array" ref="L501">INDEX('School Rep'!$A$2:$A$21, MATCH(J501, 'School Rep'!$B$2:$B$21, 0))</f>
        <v>Karen Zaccor</v>
      </c>
      <c r="M501" s="12">
        <v>1.8</v>
      </c>
      <c r="N501" s="16" t="s">
        <v>1587</v>
      </c>
      <c r="O501" s="8" t="str">
        <f t="shared" si="1"/>
        <v>4332 N Paulina St </v>
      </c>
      <c r="P501" s="12">
        <v>47.0</v>
      </c>
      <c r="Q501" s="13" t="s">
        <v>228</v>
      </c>
    </row>
    <row r="502">
      <c r="A502" s="7">
        <v>610142.0</v>
      </c>
      <c r="B502" s="13" t="s">
        <v>1588</v>
      </c>
      <c r="C502" s="18" t="s">
        <v>1589</v>
      </c>
      <c r="D502" s="19">
        <v>0.078</v>
      </c>
      <c r="E502" s="18" t="s">
        <v>80</v>
      </c>
      <c r="F502" s="18" t="s">
        <v>120</v>
      </c>
      <c r="G502" s="8" t="str">
        <f>VLOOKUP(F502, 'Network Chiefs'!A:B, 2, FALSE)
</f>
        <v>Alene Mason</v>
      </c>
      <c r="H502" s="12">
        <v>69.0</v>
      </c>
      <c r="I502" s="13" t="s">
        <v>52</v>
      </c>
      <c r="J502" s="14" t="s">
        <v>121</v>
      </c>
      <c r="K502" s="14">
        <v>10.0</v>
      </c>
      <c r="L502" s="14" t="str">
        <f t="array" ref="L502">INDEX('School Rep'!$A$2:$A$21, MATCH(J502, 'School Rep'!$B$2:$B$21, 0))</f>
        <v>Che "Rhymefest" Smith</v>
      </c>
      <c r="M502" s="12">
        <v>2.3</v>
      </c>
      <c r="N502" s="16" t="s">
        <v>1590</v>
      </c>
      <c r="O502" s="8" t="str">
        <f t="shared" si="1"/>
        <v>5631 S Kimbark Ave </v>
      </c>
      <c r="P502" s="12">
        <v>5.0</v>
      </c>
      <c r="Q502" s="13" t="s">
        <v>357</v>
      </c>
    </row>
    <row r="503">
      <c r="A503" s="7">
        <v>610143.0</v>
      </c>
      <c r="B503" s="13" t="s">
        <v>1591</v>
      </c>
      <c r="C503" s="18" t="s">
        <v>1592</v>
      </c>
      <c r="D503" s="19">
        <v>0.19</v>
      </c>
      <c r="E503" s="18" t="s">
        <v>80</v>
      </c>
      <c r="F503" s="18" t="s">
        <v>120</v>
      </c>
      <c r="G503" s="8" t="str">
        <f>VLOOKUP(F503, 'Network Chiefs'!A:B, 2, FALSE)
</f>
        <v>Alene Mason</v>
      </c>
      <c r="H503" s="12">
        <v>54.0</v>
      </c>
      <c r="I503" s="13" t="s">
        <v>20</v>
      </c>
      <c r="J503" s="14" t="s">
        <v>121</v>
      </c>
      <c r="K503" s="14">
        <v>10.0</v>
      </c>
      <c r="L503" s="14" t="str">
        <f t="array" ref="L503">INDEX('School Rep'!$A$2:$A$21, MATCH(J503, 'School Rep'!$B$2:$B$21, 0))</f>
        <v>Che "Rhymefest" Smith</v>
      </c>
      <c r="M503" s="12">
        <v>2.9</v>
      </c>
      <c r="N503" s="16" t="s">
        <v>1593</v>
      </c>
      <c r="O503" s="8" t="str">
        <f t="shared" si="1"/>
        <v>834 E 50th St </v>
      </c>
      <c r="P503" s="12">
        <v>4.0</v>
      </c>
      <c r="Q503" s="13" t="s">
        <v>123</v>
      </c>
    </row>
    <row r="504">
      <c r="A504" s="7">
        <v>610144.0</v>
      </c>
      <c r="B504" s="12" t="s">
        <v>1594</v>
      </c>
      <c r="C504" s="18" t="s">
        <v>1595</v>
      </c>
      <c r="D504" s="19">
        <v>0.095</v>
      </c>
      <c r="E504" s="18" t="s">
        <v>80</v>
      </c>
      <c r="F504" s="18" t="s">
        <v>102</v>
      </c>
      <c r="G504" s="8" t="str">
        <f>VLOOKUP(F504, 'Network Chiefs'!A:B, 2, FALSE)
</f>
        <v>Jerry Travlos</v>
      </c>
      <c r="H504" s="12">
        <v>57.0</v>
      </c>
      <c r="I504" s="13" t="s">
        <v>20</v>
      </c>
      <c r="J504" s="14" t="s">
        <v>47</v>
      </c>
      <c r="K504" s="14">
        <v>3.0</v>
      </c>
      <c r="L504" s="14" t="str">
        <f t="array" ref="L504">INDEX('School Rep'!$A$2:$A$21, MATCH(J504, 'School Rep'!$B$2:$B$21, 0))</f>
        <v>Norma Rios-Sierra</v>
      </c>
      <c r="M504" s="12">
        <v>2.8</v>
      </c>
      <c r="N504" s="16" t="s">
        <v>1596</v>
      </c>
      <c r="O504" s="8" t="str">
        <f t="shared" si="1"/>
        <v>3650 W School St </v>
      </c>
      <c r="P504" s="12">
        <v>30.0</v>
      </c>
      <c r="Q504" s="13" t="s">
        <v>346</v>
      </c>
    </row>
    <row r="505">
      <c r="A505" s="7">
        <v>610145.0</v>
      </c>
      <c r="B505" s="13" t="s">
        <v>1597</v>
      </c>
      <c r="C505" s="18" t="s">
        <v>1598</v>
      </c>
      <c r="D505" s="19">
        <v>0.065</v>
      </c>
      <c r="E505" s="18" t="s">
        <v>80</v>
      </c>
      <c r="F505" s="18" t="s">
        <v>97</v>
      </c>
      <c r="G505" s="8" t="str">
        <f>VLOOKUP(F505, 'Network Chiefs'!A:B, 2, FALSE)
</f>
        <v>Julie McGlade</v>
      </c>
      <c r="H505" s="12">
        <v>40.0</v>
      </c>
      <c r="I505" s="13" t="s">
        <v>20</v>
      </c>
      <c r="J505" s="14" t="s">
        <v>222</v>
      </c>
      <c r="K505" s="14">
        <v>1.0</v>
      </c>
      <c r="L505" s="14" t="str">
        <f t="array" ref="L505">INDEX('School Rep'!$A$2:$A$21, MATCH(J505, 'School Rep'!$B$2:$B$21, 0))</f>
        <v>Jennifer Custer</v>
      </c>
      <c r="M505" s="12">
        <v>2.7</v>
      </c>
      <c r="N505" s="16" t="s">
        <v>1599</v>
      </c>
      <c r="O505" s="8" t="str">
        <f t="shared" si="1"/>
        <v>3425 N Major Ave </v>
      </c>
      <c r="P505" s="12">
        <v>30.0</v>
      </c>
      <c r="Q505" s="13" t="s">
        <v>346</v>
      </c>
    </row>
    <row r="506">
      <c r="A506" s="7">
        <v>610146.0</v>
      </c>
      <c r="B506" s="13" t="s">
        <v>1600</v>
      </c>
      <c r="C506" s="18" t="s">
        <v>1601</v>
      </c>
      <c r="D506" s="19">
        <v>0.162</v>
      </c>
      <c r="E506" s="18" t="s">
        <v>80</v>
      </c>
      <c r="F506" s="18" t="s">
        <v>144</v>
      </c>
      <c r="G506" s="8" t="str">
        <f>VLOOKUP(F506, 'Network Chiefs'!A:B, 2, FALSE)
</f>
        <v>Shenethe Parks</v>
      </c>
      <c r="H506" s="12">
        <v>48.0</v>
      </c>
      <c r="I506" s="13" t="s">
        <v>20</v>
      </c>
      <c r="J506" s="14" t="s">
        <v>121</v>
      </c>
      <c r="K506" s="14">
        <v>10.0</v>
      </c>
      <c r="L506" s="14" t="str">
        <f t="array" ref="L506">INDEX('School Rep'!$A$2:$A$21, MATCH(J506, 'School Rep'!$B$2:$B$21, 0))</f>
        <v>Che "Rhymefest" Smith</v>
      </c>
      <c r="M506" s="12">
        <v>3.1</v>
      </c>
      <c r="N506" s="16" t="s">
        <v>1602</v>
      </c>
      <c r="O506" s="8" t="str">
        <f t="shared" si="1"/>
        <v>1010 E 72Nd St </v>
      </c>
      <c r="P506" s="12">
        <v>5.0</v>
      </c>
      <c r="Q506" s="13" t="s">
        <v>357</v>
      </c>
    </row>
    <row r="507">
      <c r="A507" s="7">
        <v>609682.0</v>
      </c>
      <c r="B507" s="8" t="s">
        <v>1603</v>
      </c>
      <c r="C507" s="9" t="s">
        <v>1604</v>
      </c>
      <c r="D507" s="10">
        <v>0.221</v>
      </c>
      <c r="E507" s="11" t="s">
        <v>80</v>
      </c>
      <c r="F507" s="11" t="s">
        <v>92</v>
      </c>
      <c r="G507" s="8" t="str">
        <f>VLOOKUP(F507, 'Network Chiefs'!A:B, 2, FALSE)
</f>
        <v>Devon LaRosa</v>
      </c>
      <c r="H507" s="12">
        <v>52.0</v>
      </c>
      <c r="I507" s="13" t="s">
        <v>20</v>
      </c>
      <c r="J507" s="14" t="s">
        <v>26</v>
      </c>
      <c r="K507" s="14">
        <v>8.0</v>
      </c>
      <c r="L507" s="14" t="str">
        <f t="array" ref="L507">INDEX('School Rep'!$A$2:$A$21, MATCH(J507, 'School Rep'!$B$2:$B$21, 0))</f>
        <v>Cydney Wallace</v>
      </c>
      <c r="M507" s="15">
        <v>3.6</v>
      </c>
      <c r="N507" s="16" t="s">
        <v>1605</v>
      </c>
      <c r="O507" s="8" t="str">
        <f t="shared" si="1"/>
        <v>5009 S Laflin St </v>
      </c>
      <c r="P507" s="12">
        <v>20.0</v>
      </c>
      <c r="Q507" s="13" t="s">
        <v>368</v>
      </c>
    </row>
    <row r="508">
      <c r="A508" s="7">
        <v>610588.0</v>
      </c>
      <c r="B508" s="8" t="s">
        <v>1606</v>
      </c>
      <c r="C508" s="17" t="s">
        <v>1607</v>
      </c>
      <c r="D508" s="10">
        <v>0.043</v>
      </c>
      <c r="E508" s="11" t="s">
        <v>80</v>
      </c>
      <c r="F508" s="11" t="s">
        <v>138</v>
      </c>
      <c r="G508" s="8" t="str">
        <f>VLOOKUP(F508, 'Network Chiefs'!A:B, 2, FALSE)
</f>
        <v>Mira Weber</v>
      </c>
      <c r="H508" s="12">
        <v>58.0</v>
      </c>
      <c r="I508" s="13" t="s">
        <v>20</v>
      </c>
      <c r="J508" s="14" t="s">
        <v>139</v>
      </c>
      <c r="K508" s="14">
        <v>8.0</v>
      </c>
      <c r="L508" s="14" t="str">
        <f t="array" ref="L508">INDEX('School Rep'!$A$2:$A$21, MATCH(J508, 'School Rep'!$B$2:$B$21, 0))</f>
        <v>Angel Gutierrez</v>
      </c>
      <c r="M508" s="15">
        <v>3.2</v>
      </c>
      <c r="N508" s="16" t="s">
        <v>1608</v>
      </c>
      <c r="O508" s="8" t="str">
        <f t="shared" si="1"/>
        <v>6018 S Karlov </v>
      </c>
      <c r="P508" s="12">
        <v>13.0</v>
      </c>
      <c r="Q508" s="13" t="s">
        <v>250</v>
      </c>
    </row>
    <row r="509">
      <c r="A509" s="7">
        <v>610390.0</v>
      </c>
      <c r="B509" s="13" t="s">
        <v>1609</v>
      </c>
      <c r="C509" s="18" t="s">
        <v>1610</v>
      </c>
      <c r="D509" s="19">
        <v>0.048</v>
      </c>
      <c r="E509" s="18" t="s">
        <v>80</v>
      </c>
      <c r="F509" s="18" t="s">
        <v>126</v>
      </c>
      <c r="G509" s="8" t="str">
        <f>VLOOKUP(F509, 'Network Chiefs'!A:B, 2, FALSE)
</f>
        <v>#N/A</v>
      </c>
      <c r="H509" s="15"/>
      <c r="I509" s="8"/>
      <c r="J509" s="14" t="s">
        <v>222</v>
      </c>
      <c r="K509" s="14">
        <v>1.0</v>
      </c>
      <c r="L509" s="14" t="str">
        <f t="array" ref="L509">INDEX('School Rep'!$A$2:$A$21, MATCH(J509, 'School Rep'!$B$2:$B$21, 0))</f>
        <v>Jennifer Custer</v>
      </c>
      <c r="M509" s="12">
        <v>2.2</v>
      </c>
      <c r="N509" s="16" t="s">
        <v>1611</v>
      </c>
      <c r="O509" s="8" t="str">
        <f t="shared" si="1"/>
        <v>5700 W Berteau Ave </v>
      </c>
      <c r="P509" s="12">
        <v>38.0</v>
      </c>
      <c r="Q509" s="13" t="s">
        <v>279</v>
      </c>
    </row>
    <row r="510">
      <c r="A510" s="7">
        <v>610256.0</v>
      </c>
      <c r="B510" s="13" t="s">
        <v>1612</v>
      </c>
      <c r="C510" s="18" t="s">
        <v>1613</v>
      </c>
      <c r="D510" s="19">
        <v>0.194</v>
      </c>
      <c r="E510" s="18" t="s">
        <v>80</v>
      </c>
      <c r="F510" s="18" t="s">
        <v>120</v>
      </c>
      <c r="G510" s="8" t="str">
        <f>VLOOKUP(F510, 'Network Chiefs'!A:B, 2, FALSE)
</f>
        <v>Alene Mason</v>
      </c>
      <c r="H510" s="12">
        <v>72.0</v>
      </c>
      <c r="I510" s="13" t="s">
        <v>52</v>
      </c>
      <c r="J510" s="14" t="s">
        <v>121</v>
      </c>
      <c r="K510" s="14">
        <v>10.0</v>
      </c>
      <c r="L510" s="14" t="str">
        <f t="array" ref="L510">INDEX('School Rep'!$A$2:$A$21, MATCH(J510, 'School Rep'!$B$2:$B$21, 0))</f>
        <v>Che "Rhymefest" Smith</v>
      </c>
      <c r="M510" s="12">
        <v>3.2</v>
      </c>
      <c r="N510" s="16" t="s">
        <v>1614</v>
      </c>
      <c r="O510" s="8" t="str">
        <f t="shared" si="1"/>
        <v>4225 S Lake Park Ave </v>
      </c>
      <c r="P510" s="12">
        <v>4.0</v>
      </c>
      <c r="Q510" s="13" t="s">
        <v>123</v>
      </c>
    </row>
    <row r="511">
      <c r="A511" s="7">
        <v>610147.0</v>
      </c>
      <c r="B511" s="13" t="s">
        <v>1615</v>
      </c>
      <c r="C511" s="18" t="s">
        <v>1616</v>
      </c>
      <c r="D511" s="19">
        <v>0.058</v>
      </c>
      <c r="E511" s="18" t="s">
        <v>80</v>
      </c>
      <c r="F511" s="18" t="s">
        <v>270</v>
      </c>
      <c r="G511" s="8" t="str">
        <f>VLOOKUP(F511, 'Network Chiefs'!A:B, 2, FALSE)
</f>
        <v>Marilou Rebolledo</v>
      </c>
      <c r="H511" s="12">
        <v>63.0</v>
      </c>
      <c r="I511" s="13" t="s">
        <v>52</v>
      </c>
      <c r="J511" s="14" t="s">
        <v>36</v>
      </c>
      <c r="K511" s="14">
        <v>2.0</v>
      </c>
      <c r="L511" s="14" t="str">
        <f t="array" ref="L511">INDEX('School Rep'!$A$2:$A$21, MATCH(J511, 'School Rep'!$B$2:$B$21, 0))</f>
        <v>Ebony DeBerry</v>
      </c>
      <c r="M511" s="12">
        <v>2.6</v>
      </c>
      <c r="N511" s="16" t="s">
        <v>1617</v>
      </c>
      <c r="O511" s="8" t="str">
        <f t="shared" si="1"/>
        <v>7345 N Washtenaw Ave </v>
      </c>
      <c r="P511" s="12">
        <v>50.0</v>
      </c>
      <c r="Q511" s="13" t="s">
        <v>131</v>
      </c>
    </row>
    <row r="512">
      <c r="A512" s="7">
        <v>609728.0</v>
      </c>
      <c r="B512" s="13" t="s">
        <v>1618</v>
      </c>
      <c r="C512" s="9" t="s">
        <v>1619</v>
      </c>
      <c r="D512" s="10">
        <v>0.193</v>
      </c>
      <c r="E512" s="11" t="s">
        <v>80</v>
      </c>
      <c r="F512" s="11" t="s">
        <v>116</v>
      </c>
      <c r="G512" s="8" t="str">
        <f>VLOOKUP(F512, 'Network Chiefs'!A:B, 2, FALSE)
</f>
        <v>Dr. Laura LeMone</v>
      </c>
      <c r="H512" s="12">
        <v>54.0</v>
      </c>
      <c r="I512" s="13" t="s">
        <v>20</v>
      </c>
      <c r="J512" s="14" t="s">
        <v>47</v>
      </c>
      <c r="K512" s="14">
        <v>3.0</v>
      </c>
      <c r="L512" s="14" t="str">
        <f t="array" ref="L512">INDEX('School Rep'!$A$2:$A$21, MATCH(J512, 'School Rep'!$B$2:$B$21, 0))</f>
        <v>Norma Rios-Sierra</v>
      </c>
      <c r="M512" s="12">
        <v>2.2</v>
      </c>
      <c r="N512" s="16" t="s">
        <v>1620</v>
      </c>
      <c r="O512" s="8" t="str">
        <f t="shared" si="1"/>
        <v>3436 W Wilson Ave </v>
      </c>
      <c r="P512" s="12">
        <v>33.0</v>
      </c>
      <c r="Q512" s="13" t="s">
        <v>99</v>
      </c>
    </row>
    <row r="513">
      <c r="A513" s="7">
        <v>400096.0</v>
      </c>
      <c r="B513" s="8" t="s">
        <v>1621</v>
      </c>
      <c r="C513" s="9" t="s">
        <v>1622</v>
      </c>
      <c r="D513" s="10">
        <v>0.058</v>
      </c>
      <c r="E513" s="11" t="s">
        <v>19</v>
      </c>
      <c r="F513" s="11" t="s">
        <v>19</v>
      </c>
      <c r="G513" s="8" t="str">
        <f>VLOOKUP(F513, 'Network Chiefs'!A:B, 2, FALSE)
</f>
        <v>#N/A</v>
      </c>
      <c r="H513" s="12">
        <v>45.0</v>
      </c>
      <c r="I513" s="13" t="s">
        <v>20</v>
      </c>
      <c r="J513" s="14" t="s">
        <v>462</v>
      </c>
      <c r="K513" s="14">
        <v>6.0</v>
      </c>
      <c r="L513" s="14" t="str">
        <f t="array" ref="L513">INDEX('School Rep'!$A$2:$A$21, MATCH(J513, 'School Rep'!$B$2:$B$21, 0))</f>
        <v>Anusha Thotakura</v>
      </c>
      <c r="M513" s="15">
        <v>2.7</v>
      </c>
      <c r="N513" s="16" t="s">
        <v>1623</v>
      </c>
      <c r="O513" s="8" t="str">
        <f t="shared" si="1"/>
        <v>1424 N Cleaver St </v>
      </c>
      <c r="P513" s="12">
        <v>1.0</v>
      </c>
      <c r="Q513" s="13" t="s">
        <v>275</v>
      </c>
    </row>
    <row r="514">
      <c r="A514" s="7">
        <v>610308.0</v>
      </c>
      <c r="B514" s="8" t="s">
        <v>1624</v>
      </c>
      <c r="C514" s="18" t="s">
        <v>1625</v>
      </c>
      <c r="D514" s="19">
        <v>0.0</v>
      </c>
      <c r="E514" s="18" t="s">
        <v>80</v>
      </c>
      <c r="F514" s="18" t="s">
        <v>301</v>
      </c>
      <c r="G514" s="8" t="str">
        <f>VLOOKUP(F514, 'Network Chiefs'!A:B, 2, FALSE)
</f>
        <v>Dr. Ethan Netterstrom</v>
      </c>
      <c r="H514" s="15"/>
      <c r="I514" s="8"/>
      <c r="J514" s="15" t="s">
        <v>384</v>
      </c>
      <c r="K514" s="15" t="s">
        <v>384</v>
      </c>
      <c r="L514" s="15" t="s">
        <v>384</v>
      </c>
      <c r="M514" s="15">
        <v>2.9</v>
      </c>
      <c r="N514" s="16" t="s">
        <v>1626</v>
      </c>
      <c r="O514" s="8" t="str">
        <f t="shared" si="1"/>
        <v>1628 W Washington Blvd </v>
      </c>
      <c r="P514" s="12">
        <v>27.0</v>
      </c>
      <c r="Q514" s="13" t="s">
        <v>219</v>
      </c>
    </row>
    <row r="515">
      <c r="A515" s="7">
        <v>610152.0</v>
      </c>
      <c r="B515" s="13" t="s">
        <v>1627</v>
      </c>
      <c r="C515" s="18" t="s">
        <v>1628</v>
      </c>
      <c r="D515" s="19">
        <v>0.149</v>
      </c>
      <c r="E515" s="18" t="s">
        <v>80</v>
      </c>
      <c r="F515" s="18" t="s">
        <v>144</v>
      </c>
      <c r="G515" s="8" t="str">
        <f>VLOOKUP(F515, 'Network Chiefs'!A:B, 2, FALSE)
</f>
        <v>Shenethe Parks</v>
      </c>
      <c r="H515" s="12">
        <v>46.0</v>
      </c>
      <c r="I515" s="13" t="s">
        <v>20</v>
      </c>
      <c r="J515" s="14" t="s">
        <v>121</v>
      </c>
      <c r="K515" s="14">
        <v>10.0</v>
      </c>
      <c r="L515" s="14" t="str">
        <f t="array" ref="L515">INDEX('School Rep'!$A$2:$A$21, MATCH(J515, 'School Rep'!$B$2:$B$21, 0))</f>
        <v>Che "Rhymefest" Smith</v>
      </c>
      <c r="M515" s="12">
        <v>3.3</v>
      </c>
      <c r="N515" s="16" t="s">
        <v>1629</v>
      </c>
      <c r="O515" s="8" t="str">
        <f t="shared" si="1"/>
        <v>7831 S Prairie Ave </v>
      </c>
      <c r="P515" s="12">
        <v>6.0</v>
      </c>
      <c r="Q515" s="13" t="s">
        <v>306</v>
      </c>
    </row>
    <row r="516">
      <c r="A516" s="7">
        <v>610125.0</v>
      </c>
      <c r="B516" s="8" t="s">
        <v>1630</v>
      </c>
      <c r="C516" s="18" t="s">
        <v>1631</v>
      </c>
      <c r="D516" s="19">
        <v>0.09</v>
      </c>
      <c r="E516" s="18" t="s">
        <v>80</v>
      </c>
      <c r="F516" s="18" t="s">
        <v>529</v>
      </c>
      <c r="G516" s="8" t="str">
        <f>VLOOKUP(F516, 'Network Chiefs'!A:B, 2, FALSE)
</f>
        <v>Dr. Antonio Acevedo</v>
      </c>
      <c r="H516" s="12">
        <v>57.0</v>
      </c>
      <c r="I516" s="13" t="s">
        <v>20</v>
      </c>
      <c r="J516" s="14" t="s">
        <v>42</v>
      </c>
      <c r="K516" s="14">
        <v>7.0</v>
      </c>
      <c r="L516" s="14" t="str">
        <f t="array" ref="L516">INDEX('School Rep'!$A$2:$A$21, MATCH(J516, 'School Rep'!$B$2:$B$21, 0))</f>
        <v>Emma Lozano</v>
      </c>
      <c r="M516" s="15">
        <v>3.8</v>
      </c>
      <c r="N516" s="16" t="s">
        <v>1632</v>
      </c>
      <c r="O516" s="8" t="str">
        <f t="shared" si="1"/>
        <v>2410 S Leavitt St </v>
      </c>
      <c r="P516" s="12">
        <v>25.0</v>
      </c>
      <c r="Q516" s="13" t="s">
        <v>44</v>
      </c>
    </row>
    <row r="517">
      <c r="A517" s="7">
        <v>610153.0</v>
      </c>
      <c r="B517" s="8" t="s">
        <v>1633</v>
      </c>
      <c r="C517" s="18" t="s">
        <v>1634</v>
      </c>
      <c r="D517" s="19">
        <v>0.148</v>
      </c>
      <c r="E517" s="18" t="s">
        <v>80</v>
      </c>
      <c r="F517" s="18" t="s">
        <v>186</v>
      </c>
      <c r="G517" s="8" t="str">
        <f>VLOOKUP(F517, 'Network Chiefs'!A:B, 2, FALSE)
</f>
        <v>Latasha Geverola</v>
      </c>
      <c r="H517" s="12">
        <v>59.0</v>
      </c>
      <c r="I517" s="13" t="s">
        <v>20</v>
      </c>
      <c r="J517" s="14" t="s">
        <v>187</v>
      </c>
      <c r="K517" s="14">
        <v>9.0</v>
      </c>
      <c r="L517" s="14" t="str">
        <f t="array" ref="L517">INDEX('School Rep'!$A$2:$A$21, MATCH(J517, 'School Rep'!$B$2:$B$21, 0))</f>
        <v>Frank Niles Thomas</v>
      </c>
      <c r="M517" s="15">
        <v>3.7</v>
      </c>
      <c r="N517" s="16" t="s">
        <v>1635</v>
      </c>
      <c r="O517" s="8" t="str">
        <f t="shared" si="1"/>
        <v>8716 S Wallace St </v>
      </c>
      <c r="P517" s="12">
        <v>21.0</v>
      </c>
      <c r="Q517" s="13" t="s">
        <v>428</v>
      </c>
    </row>
    <row r="518">
      <c r="A518" s="7">
        <v>610342.0</v>
      </c>
      <c r="B518" s="8" t="s">
        <v>1636</v>
      </c>
      <c r="C518" s="18" t="s">
        <v>1637</v>
      </c>
      <c r="D518" s="19">
        <v>0.102</v>
      </c>
      <c r="E518" s="18" t="s">
        <v>80</v>
      </c>
      <c r="F518" s="18" t="s">
        <v>301</v>
      </c>
      <c r="G518" s="8" t="str">
        <f>VLOOKUP(F518, 'Network Chiefs'!A:B, 2, FALSE)
</f>
        <v>Dr. Ethan Netterstrom</v>
      </c>
      <c r="H518" s="12">
        <v>45.0</v>
      </c>
      <c r="I518" s="13" t="s">
        <v>20</v>
      </c>
      <c r="J518" s="14" t="s">
        <v>462</v>
      </c>
      <c r="K518" s="14">
        <v>6.0</v>
      </c>
      <c r="L518" s="14" t="str">
        <f t="array" ref="L518">INDEX('School Rep'!$A$2:$A$21, MATCH(J518, 'School Rep'!$B$2:$B$21, 0))</f>
        <v>Anusha Thotakura</v>
      </c>
      <c r="M518" s="15">
        <v>2.5</v>
      </c>
      <c r="N518" s="16" t="s">
        <v>1638</v>
      </c>
      <c r="O518" s="8" t="str">
        <f t="shared" si="1"/>
        <v>2216 W Hirsch St </v>
      </c>
      <c r="P518" s="12">
        <v>1.0</v>
      </c>
      <c r="Q518" s="13" t="s">
        <v>275</v>
      </c>
    </row>
    <row r="519">
      <c r="A519" s="7">
        <v>610586.0</v>
      </c>
      <c r="B519" s="13" t="s">
        <v>1639</v>
      </c>
      <c r="C519" s="11" t="s">
        <v>1640</v>
      </c>
      <c r="D519" s="10">
        <v>0.074</v>
      </c>
      <c r="E519" s="11" t="s">
        <v>80</v>
      </c>
      <c r="F519" s="11" t="s">
        <v>81</v>
      </c>
      <c r="G519" s="8" t="str">
        <f>VLOOKUP(F519, 'Network Chiefs'!A:B, 2, FALSE)
</f>
        <v>Dr. Terrycita D. Perry</v>
      </c>
      <c r="H519" s="12">
        <v>52.0</v>
      </c>
      <c r="I519" s="13" t="s">
        <v>20</v>
      </c>
      <c r="J519" s="14" t="s">
        <v>82</v>
      </c>
      <c r="K519" s="14">
        <v>10.0</v>
      </c>
      <c r="L519" s="14" t="str">
        <f t="array" ref="L519">INDEX('School Rep'!$A$2:$A$21, MATCH(J519, 'School Rep'!$B$2:$B$21, 0))</f>
        <v>Olga Bautista</v>
      </c>
      <c r="M519" s="12">
        <v>3.1</v>
      </c>
      <c r="N519" s="16" t="s">
        <v>1641</v>
      </c>
      <c r="O519" s="8" t="str">
        <f t="shared" si="1"/>
        <v>3930 E 105Th </v>
      </c>
      <c r="P519" s="12">
        <v>10.0</v>
      </c>
      <c r="Q519" s="13" t="s">
        <v>84</v>
      </c>
    </row>
    <row r="520">
      <c r="A520" s="7">
        <v>610572.0</v>
      </c>
      <c r="B520" s="8" t="s">
        <v>1642</v>
      </c>
      <c r="C520" s="9" t="s">
        <v>1643</v>
      </c>
      <c r="D520" s="10">
        <v>0.0</v>
      </c>
      <c r="E520" s="11" t="s">
        <v>1644</v>
      </c>
      <c r="F520" s="11" t="s">
        <v>426</v>
      </c>
      <c r="G520" s="8" t="str">
        <f>VLOOKUP(F520, 'Network Chiefs'!A:B, 2, FALSE)
</f>
        <v>Richard Smith</v>
      </c>
      <c r="H520" s="12">
        <v>95.0</v>
      </c>
      <c r="I520" s="13" t="s">
        <v>248</v>
      </c>
      <c r="J520" s="15" t="s">
        <v>384</v>
      </c>
      <c r="K520" s="15" t="s">
        <v>384</v>
      </c>
      <c r="L520" s="15" t="s">
        <v>384</v>
      </c>
      <c r="M520" s="15" t="s">
        <v>384</v>
      </c>
      <c r="N520" s="16" t="s">
        <v>1645</v>
      </c>
      <c r="O520" s="8" t="str">
        <f t="shared" si="1"/>
        <v>7877 S Coles Ave </v>
      </c>
      <c r="P520" s="12">
        <v>7.0</v>
      </c>
      <c r="Q520" s="13" t="s">
        <v>260</v>
      </c>
    </row>
    <row r="521">
      <c r="A521" s="7">
        <v>610573.0</v>
      </c>
      <c r="B521" s="8" t="s">
        <v>1646</v>
      </c>
      <c r="C521" s="18" t="s">
        <v>1647</v>
      </c>
      <c r="D521" s="19">
        <v>0.0</v>
      </c>
      <c r="E521" s="18" t="s">
        <v>1644</v>
      </c>
      <c r="F521" s="18" t="s">
        <v>426</v>
      </c>
      <c r="G521" s="8" t="str">
        <f>VLOOKUP(F521, 'Network Chiefs'!A:B, 2, FALSE)
</f>
        <v>Richard Smith</v>
      </c>
      <c r="H521" s="12">
        <v>95.0</v>
      </c>
      <c r="I521" s="13" t="s">
        <v>248</v>
      </c>
      <c r="J521" s="15" t="s">
        <v>384</v>
      </c>
      <c r="K521" s="15" t="s">
        <v>384</v>
      </c>
      <c r="L521" s="15" t="s">
        <v>384</v>
      </c>
      <c r="M521" s="15" t="s">
        <v>384</v>
      </c>
      <c r="N521" s="16" t="s">
        <v>1645</v>
      </c>
      <c r="O521" s="8" t="str">
        <f t="shared" si="1"/>
        <v>7877 S Coles Ave </v>
      </c>
      <c r="P521" s="12">
        <v>7.0</v>
      </c>
      <c r="Q521" s="13" t="s">
        <v>260</v>
      </c>
    </row>
    <row r="522">
      <c r="A522" s="7">
        <v>610601.0</v>
      </c>
      <c r="B522" s="8" t="s">
        <v>1648</v>
      </c>
      <c r="C522" s="18" t="s">
        <v>1649</v>
      </c>
      <c r="D522" s="19">
        <v>0.0</v>
      </c>
      <c r="E522" s="18" t="s">
        <v>1644</v>
      </c>
      <c r="F522" s="18" t="s">
        <v>426</v>
      </c>
      <c r="G522" s="8" t="str">
        <f>VLOOKUP(F522, 'Network Chiefs'!A:B, 2, FALSE)
</f>
        <v>Richard Smith</v>
      </c>
      <c r="H522" s="12">
        <v>95.0</v>
      </c>
      <c r="I522" s="13" t="s">
        <v>248</v>
      </c>
      <c r="J522" s="15" t="s">
        <v>384</v>
      </c>
      <c r="K522" s="15" t="s">
        <v>384</v>
      </c>
      <c r="L522" s="15" t="s">
        <v>384</v>
      </c>
      <c r="M522" s="15" t="s">
        <v>384</v>
      </c>
      <c r="N522" s="16" t="s">
        <v>1645</v>
      </c>
      <c r="O522" s="8" t="str">
        <f t="shared" si="1"/>
        <v>7877 S Coles Ave </v>
      </c>
      <c r="P522" s="12">
        <v>7.0</v>
      </c>
      <c r="Q522" s="13" t="s">
        <v>260</v>
      </c>
    </row>
    <row r="523">
      <c r="A523" s="7">
        <v>610250.0</v>
      </c>
      <c r="B523" s="8" t="s">
        <v>1650</v>
      </c>
      <c r="C523" s="18" t="s">
        <v>1651</v>
      </c>
      <c r="D523" s="19">
        <v>0.344</v>
      </c>
      <c r="E523" s="18" t="s">
        <v>80</v>
      </c>
      <c r="F523" s="18" t="s">
        <v>126</v>
      </c>
      <c r="G523" s="8" t="str">
        <f>VLOOKUP(F523, 'Network Chiefs'!A:B, 2, FALSE)
</f>
        <v>#N/A</v>
      </c>
      <c r="H523" s="12">
        <v>48.0</v>
      </c>
      <c r="I523" s="13" t="s">
        <v>20</v>
      </c>
      <c r="J523" s="14" t="s">
        <v>462</v>
      </c>
      <c r="K523" s="14">
        <v>6.0</v>
      </c>
      <c r="L523" s="14" t="str">
        <f t="array" ref="L523">INDEX('School Rep'!$A$2:$A$21, MATCH(J523, 'School Rep'!$B$2:$B$21, 0))</f>
        <v>Anusha Thotakura</v>
      </c>
      <c r="M523" s="15">
        <v>3.3</v>
      </c>
      <c r="N523" s="16" t="s">
        <v>1652</v>
      </c>
      <c r="O523" s="8" t="str">
        <f t="shared" si="1"/>
        <v>160 W Wendell St </v>
      </c>
      <c r="P523" s="12">
        <v>27.0</v>
      </c>
      <c r="Q523" s="13" t="s">
        <v>219</v>
      </c>
    </row>
    <row r="524">
      <c r="A524" s="7">
        <v>610226.0</v>
      </c>
      <c r="B524" s="8" t="s">
        <v>1653</v>
      </c>
      <c r="C524" s="9" t="s">
        <v>1654</v>
      </c>
      <c r="D524" s="10">
        <v>0.082</v>
      </c>
      <c r="E524" s="11" t="s">
        <v>80</v>
      </c>
      <c r="F524" s="11" t="s">
        <v>285</v>
      </c>
      <c r="G524" s="8" t="str">
        <f>VLOOKUP(F524, 'Network Chiefs'!A:B, 2, FALSE)
</f>
        <v>Gilberto Piedrahita</v>
      </c>
      <c r="H524" s="12">
        <v>60.0</v>
      </c>
      <c r="I524" s="13" t="s">
        <v>52</v>
      </c>
      <c r="J524" s="14" t="s">
        <v>21</v>
      </c>
      <c r="K524" s="14">
        <v>7.0</v>
      </c>
      <c r="L524" s="14" t="str">
        <f t="array" ref="L524">INDEX('School Rep'!$A$2:$A$21, MATCH(J524, 'School Rep'!$B$2:$B$21, 0))</f>
        <v>Yesenia Lopez</v>
      </c>
      <c r="M524" s="15">
        <v>3.5</v>
      </c>
      <c r="N524" s="16" t="s">
        <v>1655</v>
      </c>
      <c r="O524" s="8" t="str">
        <f t="shared" si="1"/>
        <v>5534 S Saint Louis Ave </v>
      </c>
      <c r="P524" s="12">
        <v>14.0</v>
      </c>
      <c r="Q524" s="13" t="s">
        <v>54</v>
      </c>
    </row>
    <row r="525">
      <c r="A525" s="7">
        <v>610017.0</v>
      </c>
      <c r="B525" s="8" t="s">
        <v>1656</v>
      </c>
      <c r="C525" s="18" t="s">
        <v>1657</v>
      </c>
      <c r="D525" s="19">
        <v>0.057</v>
      </c>
      <c r="E525" s="18" t="s">
        <v>80</v>
      </c>
      <c r="F525" s="18" t="s">
        <v>529</v>
      </c>
      <c r="G525" s="8" t="str">
        <f>VLOOKUP(F525, 'Network Chiefs'!A:B, 2, FALSE)
</f>
        <v>Dr. Antonio Acevedo</v>
      </c>
      <c r="H525" s="15"/>
      <c r="I525" s="8"/>
      <c r="J525" s="14" t="s">
        <v>42</v>
      </c>
      <c r="K525" s="14">
        <v>7.0</v>
      </c>
      <c r="L525" s="14" t="str">
        <f t="array" ref="L525">INDEX('School Rep'!$A$2:$A$21, MATCH(J525, 'School Rep'!$B$2:$B$21, 0))</f>
        <v>Emma Lozano</v>
      </c>
      <c r="M525" s="15">
        <v>3.8</v>
      </c>
      <c r="N525" s="16" t="s">
        <v>1658</v>
      </c>
      <c r="O525" s="8" t="str">
        <f t="shared" si="1"/>
        <v>2850 W 24th Blvd </v>
      </c>
      <c r="P525" s="12">
        <v>24.0</v>
      </c>
      <c r="Q525" s="13" t="s">
        <v>517</v>
      </c>
    </row>
    <row r="526">
      <c r="A526" s="7">
        <v>610155.0</v>
      </c>
      <c r="B526" s="13" t="s">
        <v>1659</v>
      </c>
      <c r="C526" s="17" t="s">
        <v>1660</v>
      </c>
      <c r="D526" s="10">
        <v>0.039</v>
      </c>
      <c r="E526" s="11" t="s">
        <v>80</v>
      </c>
      <c r="F526" s="11" t="s">
        <v>97</v>
      </c>
      <c r="G526" s="8" t="str">
        <f>VLOOKUP(F526, 'Network Chiefs'!A:B, 2, FALSE)
</f>
        <v>Julie McGlade</v>
      </c>
      <c r="H526" s="12">
        <v>64.0</v>
      </c>
      <c r="I526" s="13" t="s">
        <v>52</v>
      </c>
      <c r="J526" s="14" t="s">
        <v>199</v>
      </c>
      <c r="K526" s="14">
        <v>1.0</v>
      </c>
      <c r="L526" s="14" t="str">
        <f t="array" ref="L526">INDEX('School Rep'!$A$2:$A$21, MATCH(J526, 'School Rep'!$B$2:$B$21, 0))</f>
        <v>Ed Bannon</v>
      </c>
      <c r="M526" s="12">
        <v>1.5</v>
      </c>
      <c r="N526" s="16" t="s">
        <v>1661</v>
      </c>
      <c r="O526" s="8" t="str">
        <f t="shared" si="1"/>
        <v>6040 N Kilpatrick Ave </v>
      </c>
      <c r="P526" s="12">
        <v>39.0</v>
      </c>
      <c r="Q526" s="13" t="s">
        <v>224</v>
      </c>
    </row>
    <row r="527">
      <c r="A527" s="7">
        <v>610157.0</v>
      </c>
      <c r="B527" s="8" t="s">
        <v>1662</v>
      </c>
      <c r="C527" s="18" t="s">
        <v>1663</v>
      </c>
      <c r="D527" s="19">
        <v>0.076</v>
      </c>
      <c r="E527" s="18" t="s">
        <v>80</v>
      </c>
      <c r="F527" s="18" t="s">
        <v>285</v>
      </c>
      <c r="G527" s="8" t="str">
        <f>VLOOKUP(F527, 'Network Chiefs'!A:B, 2, FALSE)
</f>
        <v>Gilberto Piedrahita</v>
      </c>
      <c r="H527" s="12">
        <v>24.0</v>
      </c>
      <c r="I527" s="13" t="s">
        <v>41</v>
      </c>
      <c r="J527" s="14" t="s">
        <v>21</v>
      </c>
      <c r="K527" s="14">
        <v>7.0</v>
      </c>
      <c r="L527" s="14" t="str">
        <f t="array" ref="L527">INDEX('School Rep'!$A$2:$A$21, MATCH(J527, 'School Rep'!$B$2:$B$21, 0))</f>
        <v>Yesenia Lopez</v>
      </c>
      <c r="M527" s="15">
        <v>3.4</v>
      </c>
      <c r="N527" s="16" t="s">
        <v>1664</v>
      </c>
      <c r="O527" s="8" t="str">
        <f t="shared" si="1"/>
        <v>5248 S Sawyer Ave </v>
      </c>
      <c r="P527" s="12">
        <v>14.0</v>
      </c>
      <c r="Q527" s="13" t="s">
        <v>54</v>
      </c>
    </row>
    <row r="528">
      <c r="A528" s="7">
        <v>610158.0</v>
      </c>
      <c r="B528" s="12" t="s">
        <v>1665</v>
      </c>
      <c r="C528" s="18" t="s">
        <v>1666</v>
      </c>
      <c r="D528" s="19">
        <v>0.109</v>
      </c>
      <c r="E528" s="18" t="s">
        <v>80</v>
      </c>
      <c r="F528" s="18" t="s">
        <v>231</v>
      </c>
      <c r="G528" s="8" t="str">
        <f>VLOOKUP(F528, 'Network Chiefs'!A:B, 2, FALSE)
</f>
        <v>Jennifer Farrell‐Rottman</v>
      </c>
      <c r="H528" s="12">
        <v>27.0</v>
      </c>
      <c r="I528" s="13" t="s">
        <v>41</v>
      </c>
      <c r="J528" s="14" t="s">
        <v>31</v>
      </c>
      <c r="K528" s="14">
        <v>5.0</v>
      </c>
      <c r="L528" s="14" t="str">
        <f t="array" ref="L528">INDEX('School Rep'!$A$2:$A$21, MATCH(J528, 'School Rep'!$B$2:$B$21, 0))</f>
        <v>Aaron "Jitu" Brown</v>
      </c>
      <c r="M528" s="12">
        <v>2.8</v>
      </c>
      <c r="N528" s="16" t="s">
        <v>1667</v>
      </c>
      <c r="O528" s="8" t="str">
        <f t="shared" si="1"/>
        <v>1850 N Newland Ave </v>
      </c>
      <c r="P528" s="12">
        <v>29.0</v>
      </c>
      <c r="Q528" s="13" t="s">
        <v>33</v>
      </c>
    </row>
    <row r="529">
      <c r="A529" s="7">
        <v>610159.0</v>
      </c>
      <c r="B529" s="12" t="s">
        <v>1668</v>
      </c>
      <c r="C529" s="18" t="s">
        <v>1669</v>
      </c>
      <c r="D529" s="19">
        <v>0.102</v>
      </c>
      <c r="E529" s="18" t="s">
        <v>80</v>
      </c>
      <c r="F529" s="18" t="s">
        <v>97</v>
      </c>
      <c r="G529" s="8" t="str">
        <f>VLOOKUP(F529, 'Network Chiefs'!A:B, 2, FALSE)
</f>
        <v>Julie McGlade</v>
      </c>
      <c r="H529" s="12">
        <v>44.0</v>
      </c>
      <c r="I529" s="13" t="s">
        <v>20</v>
      </c>
      <c r="J529" s="14" t="s">
        <v>47</v>
      </c>
      <c r="K529" s="14">
        <v>3.0</v>
      </c>
      <c r="L529" s="14" t="str">
        <f t="array" ref="L529">INDEX('School Rep'!$A$2:$A$21, MATCH(J529, 'School Rep'!$B$2:$B$21, 0))</f>
        <v>Norma Rios-Sierra</v>
      </c>
      <c r="M529" s="12">
        <v>2.6</v>
      </c>
      <c r="N529" s="16" t="s">
        <v>1670</v>
      </c>
      <c r="O529" s="8" t="str">
        <f t="shared" si="1"/>
        <v>4201 W Henderson St </v>
      </c>
      <c r="P529" s="12">
        <v>30.0</v>
      </c>
      <c r="Q529" s="13" t="s">
        <v>346</v>
      </c>
    </row>
    <row r="530">
      <c r="A530" s="7">
        <v>610178.0</v>
      </c>
      <c r="B530" s="13" t="s">
        <v>1671</v>
      </c>
      <c r="C530" s="18" t="s">
        <v>1672</v>
      </c>
      <c r="D530" s="19">
        <v>0.112</v>
      </c>
      <c r="E530" s="18" t="s">
        <v>80</v>
      </c>
      <c r="F530" s="18" t="s">
        <v>144</v>
      </c>
      <c r="G530" s="8" t="str">
        <f>VLOOKUP(F530, 'Network Chiefs'!A:B, 2, FALSE)
</f>
        <v>Shenethe Parks</v>
      </c>
      <c r="H530" s="12">
        <v>46.0</v>
      </c>
      <c r="I530" s="13" t="s">
        <v>20</v>
      </c>
      <c r="J530" s="14" t="s">
        <v>82</v>
      </c>
      <c r="K530" s="14">
        <v>10.0</v>
      </c>
      <c r="L530" s="14" t="str">
        <f t="array" ref="L530">INDEX('School Rep'!$A$2:$A$21, MATCH(J530, 'School Rep'!$B$2:$B$21, 0))</f>
        <v>Olga Bautista</v>
      </c>
      <c r="M530" s="12">
        <v>3.1</v>
      </c>
      <c r="N530" s="16" t="s">
        <v>1673</v>
      </c>
      <c r="O530" s="8" t="str">
        <f t="shared" si="1"/>
        <v>9755 S Greenwood Ave </v>
      </c>
      <c r="P530" s="12">
        <v>8.0</v>
      </c>
      <c r="Q530" s="13" t="s">
        <v>135</v>
      </c>
    </row>
    <row r="531">
      <c r="A531" s="7">
        <v>610165.0</v>
      </c>
      <c r="B531" s="12" t="s">
        <v>1674</v>
      </c>
      <c r="C531" s="18" t="s">
        <v>1675</v>
      </c>
      <c r="D531" s="19">
        <v>0.128</v>
      </c>
      <c r="E531" s="18" t="s">
        <v>80</v>
      </c>
      <c r="F531" s="18" t="s">
        <v>231</v>
      </c>
      <c r="G531" s="8" t="str">
        <f>VLOOKUP(F531, 'Network Chiefs'!A:B, 2, FALSE)
</f>
        <v>Jennifer Farrell‐Rottman</v>
      </c>
      <c r="H531" s="12">
        <v>60.0</v>
      </c>
      <c r="I531" s="13" t="s">
        <v>52</v>
      </c>
      <c r="J531" s="14" t="s">
        <v>232</v>
      </c>
      <c r="K531" s="14">
        <v>3.0</v>
      </c>
      <c r="L531" s="14" t="str">
        <f t="array" ref="L531">INDEX('School Rep'!$A$2:$A$21, MATCH(J531, 'School Rep'!$B$2:$B$21, 0))</f>
        <v>Carlos Rivas</v>
      </c>
      <c r="M531" s="12">
        <v>3.5</v>
      </c>
      <c r="N531" s="16" t="s">
        <v>1676</v>
      </c>
      <c r="O531" s="8" t="str">
        <f t="shared" si="1"/>
        <v>2727 N Long Ave </v>
      </c>
      <c r="P531" s="12">
        <v>31.0</v>
      </c>
      <c r="Q531" s="13" t="s">
        <v>152</v>
      </c>
    </row>
    <row r="532">
      <c r="A532" s="7">
        <v>609729.0</v>
      </c>
      <c r="B532" s="13" t="s">
        <v>1677</v>
      </c>
      <c r="C532" s="17" t="s">
        <v>1678</v>
      </c>
      <c r="D532" s="10">
        <v>0.148</v>
      </c>
      <c r="E532" s="11" t="s">
        <v>80</v>
      </c>
      <c r="F532" s="11" t="s">
        <v>116</v>
      </c>
      <c r="G532" s="8" t="str">
        <f>VLOOKUP(F532, 'Network Chiefs'!A:B, 2, FALSE)
</f>
        <v>Dr. Laura LeMone</v>
      </c>
      <c r="H532" s="12">
        <v>52.0</v>
      </c>
      <c r="I532" s="13" t="s">
        <v>20</v>
      </c>
      <c r="J532" s="14" t="s">
        <v>222</v>
      </c>
      <c r="K532" s="14">
        <v>1.0</v>
      </c>
      <c r="L532" s="14" t="str">
        <f t="array" ref="L532">INDEX('School Rep'!$A$2:$A$21, MATCH(J532, 'School Rep'!$B$2:$B$21, 0))</f>
        <v>Jennifer Custer</v>
      </c>
      <c r="M532" s="12">
        <v>2.5</v>
      </c>
      <c r="N532" s="16" t="s">
        <v>1679</v>
      </c>
      <c r="O532" s="8" t="str">
        <f t="shared" si="1"/>
        <v>3601 N Milwaukee Ave </v>
      </c>
      <c r="P532" s="12">
        <v>30.0</v>
      </c>
      <c r="Q532" s="13" t="s">
        <v>346</v>
      </c>
    </row>
    <row r="533">
      <c r="A533" s="7">
        <v>609730.0</v>
      </c>
      <c r="B533" s="12" t="s">
        <v>1680</v>
      </c>
      <c r="C533" s="9" t="s">
        <v>1681</v>
      </c>
      <c r="D533" s="10">
        <v>0.146</v>
      </c>
      <c r="E533" s="11" t="s">
        <v>80</v>
      </c>
      <c r="F533" s="11" t="s">
        <v>116</v>
      </c>
      <c r="G533" s="8" t="str">
        <f>VLOOKUP(F533, 'Network Chiefs'!A:B, 2, FALSE)
</f>
        <v>Dr. Laura LeMone</v>
      </c>
      <c r="H533" s="12">
        <v>61.0</v>
      </c>
      <c r="I533" s="13" t="s">
        <v>52</v>
      </c>
      <c r="J533" s="14" t="s">
        <v>87</v>
      </c>
      <c r="K533" s="14">
        <v>2.0</v>
      </c>
      <c r="L533" s="14" t="str">
        <f t="array" ref="L533">INDEX('School Rep'!$A$2:$A$21, MATCH(J533, 'School Rep'!$B$2:$B$21, 0))</f>
        <v>Debby Pope</v>
      </c>
      <c r="M533" s="12">
        <v>2.0</v>
      </c>
      <c r="N533" s="16" t="s">
        <v>1682</v>
      </c>
      <c r="O533" s="8" t="str">
        <f t="shared" si="1"/>
        <v>5900 N Glenwood Ave </v>
      </c>
      <c r="P533" s="12">
        <v>48.0</v>
      </c>
      <c r="Q533" s="13" t="s">
        <v>807</v>
      </c>
    </row>
    <row r="534">
      <c r="A534" s="7">
        <v>610167.0</v>
      </c>
      <c r="B534" s="8" t="s">
        <v>1683</v>
      </c>
      <c r="C534" s="9" t="s">
        <v>1684</v>
      </c>
      <c r="D534" s="10">
        <v>0.077</v>
      </c>
      <c r="E534" s="11" t="s">
        <v>80</v>
      </c>
      <c r="F534" s="11" t="s">
        <v>285</v>
      </c>
      <c r="G534" s="8" t="str">
        <f>VLOOKUP(F534, 'Network Chiefs'!A:B, 2, FALSE)
</f>
        <v>Gilberto Piedrahita</v>
      </c>
      <c r="H534" s="12">
        <v>37.0</v>
      </c>
      <c r="I534" s="13" t="s">
        <v>41</v>
      </c>
      <c r="J534" s="14" t="s">
        <v>26</v>
      </c>
      <c r="K534" s="14">
        <v>8.0</v>
      </c>
      <c r="L534" s="14" t="str">
        <f t="array" ref="L534">INDEX('School Rep'!$A$2:$A$21, MATCH(J534, 'School Rep'!$B$2:$B$21, 0))</f>
        <v>Cydney Wallace</v>
      </c>
      <c r="M534" s="15">
        <v>4.1</v>
      </c>
      <c r="N534" s="16" t="s">
        <v>1685</v>
      </c>
      <c r="O534" s="8" t="str">
        <f t="shared" si="1"/>
        <v>4600 S Hermitage Ave </v>
      </c>
      <c r="P534" s="12">
        <v>15.0</v>
      </c>
      <c r="Q534" s="13" t="s">
        <v>364</v>
      </c>
    </row>
    <row r="535">
      <c r="A535" s="7">
        <v>610081.0</v>
      </c>
      <c r="B535" s="8" t="s">
        <v>1686</v>
      </c>
      <c r="C535" s="9" t="s">
        <v>1687</v>
      </c>
      <c r="D535" s="10">
        <v>0.0</v>
      </c>
      <c r="E535" s="11" t="s">
        <v>80</v>
      </c>
      <c r="F535" s="11" t="s">
        <v>301</v>
      </c>
      <c r="G535" s="8" t="str">
        <f>VLOOKUP(F535, 'Network Chiefs'!A:B, 2, FALSE)
</f>
        <v>Dr. Ethan Netterstrom</v>
      </c>
      <c r="H535" s="12">
        <v>74.0</v>
      </c>
      <c r="I535" s="13" t="s">
        <v>52</v>
      </c>
      <c r="J535" s="14" t="s">
        <v>21</v>
      </c>
      <c r="K535" s="14">
        <v>7.0</v>
      </c>
      <c r="L535" s="14" t="str">
        <f t="array" ref="L535">INDEX('School Rep'!$A$2:$A$21, MATCH(J535, 'School Rep'!$B$2:$B$21, 0))</f>
        <v>Yesenia Lopez</v>
      </c>
      <c r="M535" s="15">
        <v>2.0</v>
      </c>
      <c r="N535" s="16" t="s">
        <v>1688</v>
      </c>
      <c r="O535" s="8" t="str">
        <f t="shared" si="1"/>
        <v>533 W 27th St </v>
      </c>
      <c r="P535" s="12">
        <v>11.0</v>
      </c>
      <c r="Q535" s="13" t="s">
        <v>94</v>
      </c>
    </row>
    <row r="536">
      <c r="A536" s="7">
        <v>610172.0</v>
      </c>
      <c r="B536" s="8" t="s">
        <v>1689</v>
      </c>
      <c r="C536" s="18" t="s">
        <v>1690</v>
      </c>
      <c r="D536" s="19">
        <v>0.19</v>
      </c>
      <c r="E536" s="18" t="s">
        <v>80</v>
      </c>
      <c r="F536" s="18" t="s">
        <v>285</v>
      </c>
      <c r="G536" s="8" t="str">
        <f>VLOOKUP(F536, 'Network Chiefs'!A:B, 2, FALSE)
</f>
        <v>Gilberto Piedrahita</v>
      </c>
      <c r="H536" s="12">
        <v>74.0</v>
      </c>
      <c r="I536" s="13" t="s">
        <v>52</v>
      </c>
      <c r="J536" s="14" t="s">
        <v>187</v>
      </c>
      <c r="K536" s="14">
        <v>9.0</v>
      </c>
      <c r="L536" s="14" t="str">
        <f t="array" ref="L536">INDEX('School Rep'!$A$2:$A$21, MATCH(J536, 'School Rep'!$B$2:$B$21, 0))</f>
        <v>Frank Niles Thomas</v>
      </c>
      <c r="M536" s="15">
        <v>3.8</v>
      </c>
      <c r="N536" s="16" t="s">
        <v>1691</v>
      </c>
      <c r="O536" s="8" t="str">
        <f t="shared" si="1"/>
        <v>1000 W 52Nd St </v>
      </c>
      <c r="P536" s="12">
        <v>20.0</v>
      </c>
      <c r="Q536" s="13" t="s">
        <v>368</v>
      </c>
    </row>
    <row r="537">
      <c r="A537" s="7">
        <v>610173.0</v>
      </c>
      <c r="B537" s="8" t="s">
        <v>1692</v>
      </c>
      <c r="C537" s="18" t="s">
        <v>1693</v>
      </c>
      <c r="D537" s="19">
        <v>0.155</v>
      </c>
      <c r="E537" s="18" t="s">
        <v>80</v>
      </c>
      <c r="F537" s="18" t="s">
        <v>126</v>
      </c>
      <c r="G537" s="8" t="str">
        <f>VLOOKUP(F537, 'Network Chiefs'!A:B, 2, FALSE)
</f>
        <v>#N/A</v>
      </c>
      <c r="H537" s="12">
        <v>54.0</v>
      </c>
      <c r="I537" s="13" t="s">
        <v>20</v>
      </c>
      <c r="J537" s="14" t="s">
        <v>204</v>
      </c>
      <c r="K537" s="14">
        <v>6.0</v>
      </c>
      <c r="L537" s="14" t="str">
        <f t="array" ref="L537">INDEX('School Rep'!$A$2:$A$21, MATCH(J537, 'School Rep'!$B$2:$B$21, 0))</f>
        <v>Jessica Biggs</v>
      </c>
      <c r="M537" s="15">
        <v>3.9</v>
      </c>
      <c r="N537" s="16" t="s">
        <v>1694</v>
      </c>
      <c r="O537" s="8" t="str">
        <f t="shared" si="1"/>
        <v>245 W 57th St </v>
      </c>
      <c r="P537" s="12">
        <v>20.0</v>
      </c>
      <c r="Q537" s="13" t="s">
        <v>368</v>
      </c>
    </row>
    <row r="538">
      <c r="A538" s="7">
        <v>610174.0</v>
      </c>
      <c r="B538" s="8" t="s">
        <v>1695</v>
      </c>
      <c r="C538" s="9" t="s">
        <v>1696</v>
      </c>
      <c r="D538" s="10">
        <v>0.105</v>
      </c>
      <c r="E538" s="11" t="s">
        <v>80</v>
      </c>
      <c r="F538" s="11" t="s">
        <v>285</v>
      </c>
      <c r="G538" s="8" t="str">
        <f>VLOOKUP(F538, 'Network Chiefs'!A:B, 2, FALSE)
</f>
        <v>Gilberto Piedrahita</v>
      </c>
      <c r="H538" s="12">
        <v>72.0</v>
      </c>
      <c r="I538" s="13" t="s">
        <v>52</v>
      </c>
      <c r="J538" s="14" t="s">
        <v>21</v>
      </c>
      <c r="K538" s="14">
        <v>7.0</v>
      </c>
      <c r="L538" s="14" t="str">
        <f t="array" ref="L538">INDEX('School Rep'!$A$2:$A$21, MATCH(J538, 'School Rep'!$B$2:$B$21, 0))</f>
        <v>Yesenia Lopez</v>
      </c>
      <c r="M538" s="15">
        <v>3.4</v>
      </c>
      <c r="N538" s="16" t="s">
        <v>1697</v>
      </c>
      <c r="O538" s="8" t="str">
        <f t="shared" si="1"/>
        <v>4250 S Rockwell St </v>
      </c>
      <c r="P538" s="12">
        <v>12.0</v>
      </c>
      <c r="Q538" s="13" t="s">
        <v>23</v>
      </c>
    </row>
    <row r="539">
      <c r="A539" s="7">
        <v>610559.0</v>
      </c>
      <c r="B539" s="8" t="s">
        <v>1698</v>
      </c>
      <c r="C539" s="17" t="s">
        <v>1699</v>
      </c>
      <c r="D539" s="10">
        <v>0.088</v>
      </c>
      <c r="E539" s="11" t="s">
        <v>80</v>
      </c>
      <c r="F539" s="11" t="s">
        <v>285</v>
      </c>
      <c r="G539" s="8" t="str">
        <f>VLOOKUP(F539, 'Network Chiefs'!A:B, 2, FALSE)
</f>
        <v>Gilberto Piedrahita</v>
      </c>
      <c r="H539" s="12">
        <v>73.0</v>
      </c>
      <c r="I539" s="13" t="s">
        <v>52</v>
      </c>
      <c r="J539" s="14" t="s">
        <v>26</v>
      </c>
      <c r="K539" s="14">
        <v>8.0</v>
      </c>
      <c r="L539" s="14" t="str">
        <f t="array" ref="L539">INDEX('School Rep'!$A$2:$A$21, MATCH(J539, 'School Rep'!$B$2:$B$21, 0))</f>
        <v>Cydney Wallace</v>
      </c>
      <c r="M539" s="15">
        <v>3.5</v>
      </c>
      <c r="N539" s="16" t="s">
        <v>1700</v>
      </c>
      <c r="O539" s="8" t="str">
        <f t="shared" si="1"/>
        <v>2611 W 48th St </v>
      </c>
      <c r="P539" s="12">
        <v>15.0</v>
      </c>
      <c r="Q539" s="13" t="s">
        <v>364</v>
      </c>
    </row>
    <row r="540">
      <c r="A540" s="7">
        <v>610175.0</v>
      </c>
      <c r="B540" s="13" t="s">
        <v>1701</v>
      </c>
      <c r="C540" s="18" t="s">
        <v>1702</v>
      </c>
      <c r="D540" s="19">
        <v>0.105</v>
      </c>
      <c r="E540" s="18" t="s">
        <v>80</v>
      </c>
      <c r="F540" s="18" t="s">
        <v>120</v>
      </c>
      <c r="G540" s="8" t="str">
        <f>VLOOKUP(F540, 'Network Chiefs'!A:B, 2, FALSE)
</f>
        <v>Alene Mason</v>
      </c>
      <c r="H540" s="12">
        <v>38.0</v>
      </c>
      <c r="I540" s="13" t="s">
        <v>41</v>
      </c>
      <c r="J540" s="14" t="s">
        <v>121</v>
      </c>
      <c r="K540" s="14">
        <v>10.0</v>
      </c>
      <c r="L540" s="14" t="str">
        <f t="array" ref="L540">INDEX('School Rep'!$A$2:$A$21, MATCH(J540, 'School Rep'!$B$2:$B$21, 0))</f>
        <v>Che "Rhymefest" Smith</v>
      </c>
      <c r="M540" s="12">
        <v>2.8</v>
      </c>
      <c r="N540" s="16" t="s">
        <v>1703</v>
      </c>
      <c r="O540" s="8" t="str">
        <f t="shared" si="1"/>
        <v>1330 E 50th St </v>
      </c>
      <c r="P540" s="12">
        <v>4.0</v>
      </c>
      <c r="Q540" s="13" t="s">
        <v>123</v>
      </c>
    </row>
    <row r="541">
      <c r="A541" s="7">
        <v>610176.0</v>
      </c>
      <c r="B541" s="8" t="s">
        <v>1704</v>
      </c>
      <c r="C541" s="18" t="s">
        <v>1705</v>
      </c>
      <c r="D541" s="19">
        <v>0.136</v>
      </c>
      <c r="E541" s="18" t="s">
        <v>80</v>
      </c>
      <c r="F541" s="18" t="s">
        <v>81</v>
      </c>
      <c r="G541" s="8" t="str">
        <f>VLOOKUP(F541, 'Network Chiefs'!A:B, 2, FALSE)
</f>
        <v>Dr. Terrycita D. Perry</v>
      </c>
      <c r="H541" s="12">
        <v>64.0</v>
      </c>
      <c r="I541" s="13" t="s">
        <v>52</v>
      </c>
      <c r="J541" s="14" t="s">
        <v>178</v>
      </c>
      <c r="K541" s="14">
        <v>9.0</v>
      </c>
      <c r="L541" s="14" t="str">
        <f t="array" ref="L541">INDEX('School Rep'!$A$2:$A$21, MATCH(J541, 'School Rep'!$B$2:$B$21, 0))</f>
        <v>Therese Boyle</v>
      </c>
      <c r="M541" s="15">
        <v>2.9</v>
      </c>
      <c r="N541" s="16" t="s">
        <v>1706</v>
      </c>
      <c r="O541" s="8" t="str">
        <f t="shared" si="1"/>
        <v>11140 S Bishop St </v>
      </c>
      <c r="P541" s="12">
        <v>21.0</v>
      </c>
      <c r="Q541" s="13" t="s">
        <v>428</v>
      </c>
    </row>
    <row r="542">
      <c r="A542" s="7">
        <v>609692.0</v>
      </c>
      <c r="B542" s="13" t="s">
        <v>1707</v>
      </c>
      <c r="C542" s="9" t="s">
        <v>1708</v>
      </c>
      <c r="D542" s="10">
        <v>0.08</v>
      </c>
      <c r="E542" s="11" t="s">
        <v>80</v>
      </c>
      <c r="F542" s="11" t="s">
        <v>263</v>
      </c>
      <c r="G542" s="8" t="str">
        <f>VLOOKUP(F542, 'Network Chiefs'!A:B, 2, FALSE)
</f>
        <v>Myron Hester</v>
      </c>
      <c r="H542" s="15"/>
      <c r="I542" s="8"/>
      <c r="J542" s="14" t="s">
        <v>82</v>
      </c>
      <c r="K542" s="14">
        <v>10.0</v>
      </c>
      <c r="L542" s="14" t="str">
        <f t="array" ref="L542">INDEX('School Rep'!$A$2:$A$21, MATCH(J542, 'School Rep'!$B$2:$B$21, 0))</f>
        <v>Olga Bautista</v>
      </c>
      <c r="M542" s="12">
        <v>3.4</v>
      </c>
      <c r="N542" s="16" t="s">
        <v>1709</v>
      </c>
      <c r="O542" s="8" t="str">
        <f t="shared" si="1"/>
        <v>8147 S Vincennes Ave </v>
      </c>
      <c r="P542" s="12">
        <v>6.0</v>
      </c>
      <c r="Q542" s="13" t="s">
        <v>306</v>
      </c>
    </row>
    <row r="543">
      <c r="A543" s="7">
        <v>609750.0</v>
      </c>
      <c r="B543" s="8" t="s">
        <v>1710</v>
      </c>
      <c r="C543" s="18" t="s">
        <v>1711</v>
      </c>
      <c r="D543" s="19">
        <v>0.0</v>
      </c>
      <c r="E543" s="18" t="s">
        <v>80</v>
      </c>
      <c r="F543" s="18" t="s">
        <v>426</v>
      </c>
      <c r="G543" s="8" t="str">
        <f>VLOOKUP(F543, 'Network Chiefs'!A:B, 2, FALSE)
</f>
        <v>Richard Smith</v>
      </c>
      <c r="H543" s="15"/>
      <c r="I543" s="8"/>
      <c r="J543" s="15" t="s">
        <v>384</v>
      </c>
      <c r="K543" s="15" t="s">
        <v>384</v>
      </c>
      <c r="L543" s="15" t="s">
        <v>384</v>
      </c>
      <c r="M543" s="15" t="s">
        <v>384</v>
      </c>
      <c r="N543" s="16" t="s">
        <v>1712</v>
      </c>
      <c r="O543" s="8" t="str">
        <f t="shared" si="1"/>
        <v>1321 S Paulina St </v>
      </c>
      <c r="P543" s="12">
        <v>28.0</v>
      </c>
      <c r="Q543" s="13" t="s">
        <v>399</v>
      </c>
    </row>
    <row r="544">
      <c r="A544" s="7">
        <v>610177.0</v>
      </c>
      <c r="B544" s="12" t="s">
        <v>1713</v>
      </c>
      <c r="C544" s="18" t="s">
        <v>1714</v>
      </c>
      <c r="D544" s="19">
        <v>0.067</v>
      </c>
      <c r="E544" s="18" t="s">
        <v>80</v>
      </c>
      <c r="F544" s="18" t="s">
        <v>301</v>
      </c>
      <c r="G544" s="8" t="str">
        <f>VLOOKUP(F544, 'Network Chiefs'!A:B, 2, FALSE)
</f>
        <v>Dr. Ethan Netterstrom</v>
      </c>
      <c r="H544" s="12">
        <v>49.0</v>
      </c>
      <c r="I544" s="13" t="s">
        <v>20</v>
      </c>
      <c r="J544" s="14" t="s">
        <v>217</v>
      </c>
      <c r="K544" s="14">
        <v>5.0</v>
      </c>
      <c r="L544" s="14" t="str">
        <f t="array" ref="L544">INDEX('School Rep'!$A$2:$A$21, MATCH(J544, 'School Rep'!$B$2:$B$21, 0))</f>
        <v>Michilla Blaise</v>
      </c>
      <c r="M544" s="12">
        <v>2.1</v>
      </c>
      <c r="N544" s="16" t="s">
        <v>1715</v>
      </c>
      <c r="O544" s="8" t="str">
        <f t="shared" si="1"/>
        <v>1260 W Adams St </v>
      </c>
      <c r="P544" s="12">
        <v>27.0</v>
      </c>
      <c r="Q544" s="13" t="s">
        <v>219</v>
      </c>
    </row>
    <row r="545">
      <c r="A545" s="7">
        <v>610534.0</v>
      </c>
      <c r="B545" s="8" t="s">
        <v>1716</v>
      </c>
      <c r="C545" s="17" t="s">
        <v>1717</v>
      </c>
      <c r="D545" s="10">
        <v>0.0</v>
      </c>
      <c r="E545" s="11" t="s">
        <v>80</v>
      </c>
      <c r="F545" s="11" t="s">
        <v>102</v>
      </c>
      <c r="G545" s="8" t="str">
        <f>VLOOKUP(F545, 'Network Chiefs'!A:B, 2, FALSE)
</f>
        <v>Jerry Travlos</v>
      </c>
      <c r="H545" s="12">
        <v>66.0</v>
      </c>
      <c r="I545" s="13" t="s">
        <v>52</v>
      </c>
      <c r="J545" s="14" t="s">
        <v>462</v>
      </c>
      <c r="K545" s="14">
        <v>6.0</v>
      </c>
      <c r="L545" s="14" t="str">
        <f t="array" ref="L545">INDEX('School Rep'!$A$2:$A$21, MATCH(J545, 'School Rep'!$B$2:$B$21, 0))</f>
        <v>Anusha Thotakura</v>
      </c>
      <c r="M545" s="15">
        <v>1.7</v>
      </c>
      <c r="N545" s="16" t="s">
        <v>1718</v>
      </c>
      <c r="O545" s="8" t="str">
        <f t="shared" si="1"/>
        <v>640 W Scott St </v>
      </c>
      <c r="P545" s="12">
        <v>27.0</v>
      </c>
      <c r="Q545" s="13" t="s">
        <v>219</v>
      </c>
    </row>
    <row r="546">
      <c r="A546" s="7">
        <v>609978.0</v>
      </c>
      <c r="B546" s="13" t="s">
        <v>1719</v>
      </c>
      <c r="C546" s="18" t="s">
        <v>1720</v>
      </c>
      <c r="D546" s="19">
        <v>0.152</v>
      </c>
      <c r="E546" s="18" t="s">
        <v>80</v>
      </c>
      <c r="F546" s="18" t="s">
        <v>81</v>
      </c>
      <c r="G546" s="8" t="str">
        <f>VLOOKUP(F546, 'Network Chiefs'!A:B, 2, FALSE)
</f>
        <v>Dr. Terrycita D. Perry</v>
      </c>
      <c r="H546" s="12">
        <v>81.0</v>
      </c>
      <c r="I546" s="13" t="s">
        <v>248</v>
      </c>
      <c r="J546" s="14" t="s">
        <v>82</v>
      </c>
      <c r="K546" s="14">
        <v>10.0</v>
      </c>
      <c r="L546" s="14" t="str">
        <f t="array" ref="L546">INDEX('School Rep'!$A$2:$A$21, MATCH(J546, 'School Rep'!$B$2:$B$21, 0))</f>
        <v>Olga Bautista</v>
      </c>
      <c r="M546" s="12">
        <v>3.7</v>
      </c>
      <c r="N546" s="16" t="s">
        <v>1721</v>
      </c>
      <c r="O546" s="8" t="str">
        <f t="shared" si="1"/>
        <v>744 E 103rd St </v>
      </c>
      <c r="P546" s="12">
        <v>8.0</v>
      </c>
      <c r="Q546" s="13" t="s">
        <v>135</v>
      </c>
    </row>
    <row r="547">
      <c r="A547" s="7">
        <v>610179.0</v>
      </c>
      <c r="B547" s="13" t="s">
        <v>1722</v>
      </c>
      <c r="C547" s="18" t="s">
        <v>1723</v>
      </c>
      <c r="D547" s="19">
        <v>0.073</v>
      </c>
      <c r="E547" s="18" t="s">
        <v>80</v>
      </c>
      <c r="F547" s="18" t="s">
        <v>97</v>
      </c>
      <c r="G547" s="8" t="str">
        <f>VLOOKUP(F547, 'Network Chiefs'!A:B, 2, FALSE)
</f>
        <v>Julie McGlade</v>
      </c>
      <c r="H547" s="12">
        <v>56.0</v>
      </c>
      <c r="I547" s="13" t="s">
        <v>20</v>
      </c>
      <c r="J547" s="14" t="s">
        <v>222</v>
      </c>
      <c r="K547" s="14">
        <v>1.0</v>
      </c>
      <c r="L547" s="14" t="str">
        <f t="array" ref="L547">INDEX('School Rep'!$A$2:$A$21, MATCH(J547, 'School Rep'!$B$2:$B$21, 0))</f>
        <v>Jennifer Custer</v>
      </c>
      <c r="M547" s="12">
        <v>1.9</v>
      </c>
      <c r="N547" s="16" t="s">
        <v>1724</v>
      </c>
      <c r="O547" s="8" t="str">
        <f t="shared" si="1"/>
        <v>4310 N Melvina Ave </v>
      </c>
      <c r="P547" s="12">
        <v>38.0</v>
      </c>
      <c r="Q547" s="13" t="s">
        <v>279</v>
      </c>
    </row>
    <row r="548">
      <c r="A548" s="7">
        <v>610180.0</v>
      </c>
      <c r="B548" s="8" t="s">
        <v>1725</v>
      </c>
      <c r="C548" s="9" t="s">
        <v>1726</v>
      </c>
      <c r="D548" s="10">
        <v>0.134</v>
      </c>
      <c r="E548" s="11" t="s">
        <v>80</v>
      </c>
      <c r="F548" s="11" t="s">
        <v>301</v>
      </c>
      <c r="G548" s="8" t="str">
        <f>VLOOKUP(F548, 'Network Chiefs'!A:B, 2, FALSE)
</f>
        <v>Dr. Ethan Netterstrom</v>
      </c>
      <c r="H548" s="12">
        <v>58.0</v>
      </c>
      <c r="I548" s="13" t="s">
        <v>20</v>
      </c>
      <c r="J548" s="14" t="s">
        <v>42</v>
      </c>
      <c r="K548" s="14">
        <v>7.0</v>
      </c>
      <c r="L548" s="14" t="str">
        <f t="array" ref="L548">INDEX('School Rep'!$A$2:$A$21, MATCH(J548, 'School Rep'!$B$2:$B$21, 0))</f>
        <v>Emma Lozano</v>
      </c>
      <c r="M548" s="15">
        <v>3.2</v>
      </c>
      <c r="N548" s="16" t="s">
        <v>1727</v>
      </c>
      <c r="O548" s="8" t="str">
        <f t="shared" si="1"/>
        <v>1059 W 13th St </v>
      </c>
      <c r="P548" s="12">
        <v>28.0</v>
      </c>
      <c r="Q548" s="13" t="s">
        <v>399</v>
      </c>
    </row>
    <row r="549">
      <c r="A549" s="7">
        <v>610383.0</v>
      </c>
      <c r="B549" s="8" t="s">
        <v>1728</v>
      </c>
      <c r="C549" s="17" t="s">
        <v>1729</v>
      </c>
      <c r="D549" s="10">
        <v>0.161</v>
      </c>
      <c r="E549" s="11" t="s">
        <v>80</v>
      </c>
      <c r="F549" s="11" t="s">
        <v>108</v>
      </c>
      <c r="G549" s="8" t="str">
        <f>VLOOKUP(F549, 'Network Chiefs'!A:B, 2, FALSE)
</f>
        <v>Michael Boraz</v>
      </c>
      <c r="H549" s="12">
        <v>25.0</v>
      </c>
      <c r="I549" s="13" t="s">
        <v>41</v>
      </c>
      <c r="J549" s="14" t="s">
        <v>42</v>
      </c>
      <c r="K549" s="14">
        <v>7.0</v>
      </c>
      <c r="L549" s="14" t="str">
        <f t="array" ref="L549">INDEX('School Rep'!$A$2:$A$21, MATCH(J549, 'School Rep'!$B$2:$B$21, 0))</f>
        <v>Emma Lozano</v>
      </c>
      <c r="M549" s="15">
        <v>3.5</v>
      </c>
      <c r="N549" s="16" t="s">
        <v>964</v>
      </c>
      <c r="O549" s="8" t="str">
        <f t="shared" si="1"/>
        <v>3120 S Kostner Ave </v>
      </c>
      <c r="P549" s="12">
        <v>22.0</v>
      </c>
      <c r="Q549" s="13" t="s">
        <v>353</v>
      </c>
    </row>
    <row r="550">
      <c r="A550" s="7">
        <v>610182.0</v>
      </c>
      <c r="B550" s="13" t="s">
        <v>1730</v>
      </c>
      <c r="C550" s="18" t="s">
        <v>1731</v>
      </c>
      <c r="D550" s="19">
        <v>0.093</v>
      </c>
      <c r="E550" s="18" t="s">
        <v>80</v>
      </c>
      <c r="F550" s="18" t="s">
        <v>97</v>
      </c>
      <c r="G550" s="8" t="str">
        <f>VLOOKUP(F550, 'Network Chiefs'!A:B, 2, FALSE)
</f>
        <v>Julie McGlade</v>
      </c>
      <c r="H550" s="12">
        <v>41.0</v>
      </c>
      <c r="I550" s="13" t="s">
        <v>20</v>
      </c>
      <c r="J550" s="14" t="s">
        <v>199</v>
      </c>
      <c r="K550" s="14">
        <v>1.0</v>
      </c>
      <c r="L550" s="14" t="str">
        <f t="array" ref="L550">INDEX('School Rep'!$A$2:$A$21, MATCH(J550, 'School Rep'!$B$2:$B$21, 0))</f>
        <v>Ed Bannon</v>
      </c>
      <c r="M550" s="12">
        <v>2.6</v>
      </c>
      <c r="N550" s="16" t="s">
        <v>1732</v>
      </c>
      <c r="O550" s="8" t="str">
        <f t="shared" si="1"/>
        <v>6206 N Hamlin Ave </v>
      </c>
      <c r="P550" s="12">
        <v>39.0</v>
      </c>
      <c r="Q550" s="13" t="s">
        <v>224</v>
      </c>
    </row>
    <row r="551">
      <c r="A551" s="7">
        <v>610543.0</v>
      </c>
      <c r="B551" s="8" t="s">
        <v>1733</v>
      </c>
      <c r="C551" s="9" t="s">
        <v>1734</v>
      </c>
      <c r="D551" s="10">
        <v>0.054</v>
      </c>
      <c r="E551" s="11" t="s">
        <v>80</v>
      </c>
      <c r="F551" s="11" t="s">
        <v>108</v>
      </c>
      <c r="G551" s="8" t="str">
        <f>VLOOKUP(F551, 'Network Chiefs'!A:B, 2, FALSE)
</f>
        <v>Michael Boraz</v>
      </c>
      <c r="H551" s="12">
        <v>64.0</v>
      </c>
      <c r="I551" s="13" t="s">
        <v>52</v>
      </c>
      <c r="J551" s="14" t="s">
        <v>21</v>
      </c>
      <c r="K551" s="14">
        <v>7.0</v>
      </c>
      <c r="L551" s="14" t="str">
        <f t="array" ref="L551">INDEX('School Rep'!$A$2:$A$21, MATCH(J551, 'School Rep'!$B$2:$B$21, 0))</f>
        <v>Yesenia Lopez</v>
      </c>
      <c r="M551" s="15">
        <v>3.3</v>
      </c>
      <c r="N551" s="16" t="s">
        <v>1735</v>
      </c>
      <c r="O551" s="8" t="str">
        <f t="shared" si="1"/>
        <v>5400 S St Louis Ave </v>
      </c>
      <c r="P551" s="12">
        <v>14.0</v>
      </c>
      <c r="Q551" s="13" t="s">
        <v>54</v>
      </c>
    </row>
    <row r="552">
      <c r="A552" s="7">
        <v>610589.0</v>
      </c>
      <c r="B552" s="8" t="s">
        <v>1736</v>
      </c>
      <c r="C552" s="9" t="s">
        <v>1737</v>
      </c>
      <c r="D552" s="10">
        <v>0.0</v>
      </c>
      <c r="E552" s="11" t="s">
        <v>80</v>
      </c>
      <c r="F552" s="11" t="s">
        <v>285</v>
      </c>
      <c r="G552" s="8" t="str">
        <f>VLOOKUP(F552, 'Network Chiefs'!A:B, 2, FALSE)
</f>
        <v>Gilberto Piedrahita</v>
      </c>
      <c r="H552" s="15"/>
      <c r="I552" s="8"/>
      <c r="J552" s="14" t="s">
        <v>139</v>
      </c>
      <c r="K552" s="14">
        <v>8.0</v>
      </c>
      <c r="L552" s="14" t="str">
        <f t="array" ref="L552">INDEX('School Rep'!$A$2:$A$21, MATCH(J552, 'School Rep'!$B$2:$B$21, 0))</f>
        <v>Angel Gutierrez</v>
      </c>
      <c r="M552" s="15">
        <v>2.6</v>
      </c>
      <c r="N552" s="16" t="s">
        <v>1738</v>
      </c>
      <c r="O552" s="8" t="str">
        <f t="shared" si="1"/>
        <v>4034 W 56Th </v>
      </c>
      <c r="P552" s="12">
        <v>13.0</v>
      </c>
      <c r="Q552" s="13" t="s">
        <v>250</v>
      </c>
    </row>
    <row r="553">
      <c r="A553" s="7">
        <v>609990.0</v>
      </c>
      <c r="B553" s="8" t="s">
        <v>1739</v>
      </c>
      <c r="C553" s="18" t="s">
        <v>1740</v>
      </c>
      <c r="D553" s="19">
        <v>0.069</v>
      </c>
      <c r="E553" s="18" t="s">
        <v>80</v>
      </c>
      <c r="F553" s="18" t="s">
        <v>126</v>
      </c>
      <c r="G553" s="8" t="str">
        <f>VLOOKUP(F553, 'Network Chiefs'!A:B, 2, FALSE)
</f>
        <v>#N/A</v>
      </c>
      <c r="H553" s="15"/>
      <c r="I553" s="8"/>
      <c r="J553" s="14" t="s">
        <v>26</v>
      </c>
      <c r="K553" s="14">
        <v>8.0</v>
      </c>
      <c r="L553" s="14" t="str">
        <f t="array" ref="L553">INDEX('School Rep'!$A$2:$A$21, MATCH(J553, 'School Rep'!$B$2:$B$21, 0))</f>
        <v>Cydney Wallace</v>
      </c>
      <c r="M553" s="15">
        <v>2.2</v>
      </c>
      <c r="N553" s="16" t="s">
        <v>1741</v>
      </c>
      <c r="O553" s="8" t="str">
        <f t="shared" si="1"/>
        <v>1601 S Dearborn St </v>
      </c>
      <c r="P553" s="12">
        <v>3.0</v>
      </c>
      <c r="Q553" s="13" t="s">
        <v>206</v>
      </c>
    </row>
    <row r="554">
      <c r="A554" s="7">
        <v>610530.0</v>
      </c>
      <c r="B554" s="13" t="s">
        <v>1742</v>
      </c>
      <c r="C554" s="17" t="s">
        <v>1743</v>
      </c>
      <c r="D554" s="10">
        <v>0.087</v>
      </c>
      <c r="E554" s="11" t="s">
        <v>80</v>
      </c>
      <c r="F554" s="11" t="s">
        <v>144</v>
      </c>
      <c r="G554" s="8" t="str">
        <f>VLOOKUP(F554, 'Network Chiefs'!A:B, 2, FALSE)
</f>
        <v>Shenethe Parks</v>
      </c>
      <c r="H554" s="12">
        <v>59.0</v>
      </c>
      <c r="I554" s="13" t="s">
        <v>20</v>
      </c>
      <c r="J554" s="14" t="s">
        <v>121</v>
      </c>
      <c r="K554" s="14">
        <v>10.0</v>
      </c>
      <c r="L554" s="14" t="str">
        <f t="array" ref="L554">INDEX('School Rep'!$A$2:$A$21, MATCH(J554, 'School Rep'!$B$2:$B$21, 0))</f>
        <v>Che "Rhymefest" Smith</v>
      </c>
      <c r="M554" s="12">
        <v>3.3</v>
      </c>
      <c r="N554" s="16" t="s">
        <v>1744</v>
      </c>
      <c r="O554" s="8" t="str">
        <f t="shared" si="1"/>
        <v>1415 E 70th St </v>
      </c>
      <c r="P554" s="12">
        <v>5.0</v>
      </c>
      <c r="Q554" s="13" t="s">
        <v>357</v>
      </c>
    </row>
    <row r="555">
      <c r="A555" s="7">
        <v>610547.0</v>
      </c>
      <c r="B555" s="13" t="s">
        <v>1745</v>
      </c>
      <c r="C555" s="18" t="s">
        <v>1746</v>
      </c>
      <c r="D555" s="19">
        <v>0.068</v>
      </c>
      <c r="E555" s="18" t="s">
        <v>80</v>
      </c>
      <c r="F555" s="18" t="s">
        <v>263</v>
      </c>
      <c r="G555" s="8" t="str">
        <f>VLOOKUP(F555, 'Network Chiefs'!A:B, 2, FALSE)
</f>
        <v>Myron Hester</v>
      </c>
      <c r="H555" s="15"/>
      <c r="I555" s="8"/>
      <c r="J555" s="14" t="s">
        <v>82</v>
      </c>
      <c r="K555" s="14">
        <v>10.0</v>
      </c>
      <c r="L555" s="14" t="str">
        <f t="array" ref="L555">INDEX('School Rep'!$A$2:$A$21, MATCH(J555, 'School Rep'!$B$2:$B$21, 0))</f>
        <v>Olga Bautista</v>
      </c>
      <c r="M555" s="12">
        <v>3.3</v>
      </c>
      <c r="N555" s="16" t="s">
        <v>1747</v>
      </c>
      <c r="O555" s="8" t="str">
        <f t="shared" si="1"/>
        <v>1955 E 75th St </v>
      </c>
      <c r="P555" s="12">
        <v>8.0</v>
      </c>
      <c r="Q555" s="13" t="s">
        <v>135</v>
      </c>
    </row>
    <row r="556">
      <c r="A556" s="7">
        <v>609745.0</v>
      </c>
      <c r="B556" s="8" t="s">
        <v>1748</v>
      </c>
      <c r="C556" s="17" t="s">
        <v>1749</v>
      </c>
      <c r="D556" s="10">
        <v>0.0</v>
      </c>
      <c r="E556" s="11" t="s">
        <v>80</v>
      </c>
      <c r="F556" s="11" t="s">
        <v>92</v>
      </c>
      <c r="G556" s="8" t="str">
        <f>VLOOKUP(F556, 'Network Chiefs'!A:B, 2, FALSE)
</f>
        <v>Devon LaRosa</v>
      </c>
      <c r="H556" s="12">
        <v>81.0</v>
      </c>
      <c r="I556" s="13" t="s">
        <v>248</v>
      </c>
      <c r="J556" s="15" t="s">
        <v>384</v>
      </c>
      <c r="K556" s="15" t="s">
        <v>384</v>
      </c>
      <c r="L556" s="15" t="s">
        <v>384</v>
      </c>
      <c r="M556" s="15" t="s">
        <v>384</v>
      </c>
      <c r="N556" s="16" t="s">
        <v>1750</v>
      </c>
      <c r="O556" s="8" t="str">
        <f t="shared" si="1"/>
        <v>7342 S Hoyne Ave </v>
      </c>
      <c r="P556" s="12">
        <v>17.0</v>
      </c>
      <c r="Q556" s="13" t="s">
        <v>189</v>
      </c>
    </row>
    <row r="557">
      <c r="A557" s="7">
        <v>610183.0</v>
      </c>
      <c r="B557" s="12" t="s">
        <v>1751</v>
      </c>
      <c r="C557" s="18" t="s">
        <v>1752</v>
      </c>
      <c r="D557" s="19">
        <v>0.301</v>
      </c>
      <c r="E557" s="18" t="s">
        <v>80</v>
      </c>
      <c r="F557" s="18" t="s">
        <v>231</v>
      </c>
      <c r="G557" s="8" t="str">
        <f>VLOOKUP(F557, 'Network Chiefs'!A:B, 2, FALSE)
</f>
        <v>Jennifer Farrell‐Rottman</v>
      </c>
      <c r="H557" s="12">
        <v>48.0</v>
      </c>
      <c r="I557" s="13" t="s">
        <v>20</v>
      </c>
      <c r="J557" s="14" t="s">
        <v>31</v>
      </c>
      <c r="K557" s="14">
        <v>5.0</v>
      </c>
      <c r="L557" s="14" t="str">
        <f t="array" ref="L557">INDEX('School Rep'!$A$2:$A$21, MATCH(J557, 'School Rep'!$B$2:$B$21, 0))</f>
        <v>Aaron "Jitu" Brown</v>
      </c>
      <c r="M557" s="12">
        <v>3.5</v>
      </c>
      <c r="N557" s="16" t="s">
        <v>1753</v>
      </c>
      <c r="O557" s="8" t="str">
        <f t="shared" si="1"/>
        <v>214 N Lavergne Ave </v>
      </c>
      <c r="P557" s="12">
        <v>28.0</v>
      </c>
      <c r="Q557" s="13" t="s">
        <v>399</v>
      </c>
    </row>
    <row r="558">
      <c r="A558" s="7">
        <v>610184.0</v>
      </c>
      <c r="B558" s="8" t="s">
        <v>1754</v>
      </c>
      <c r="C558" s="18" t="s">
        <v>1755</v>
      </c>
      <c r="D558" s="19">
        <v>0.112</v>
      </c>
      <c r="E558" s="18" t="s">
        <v>80</v>
      </c>
      <c r="F558" s="18" t="s">
        <v>92</v>
      </c>
      <c r="G558" s="8" t="str">
        <f>VLOOKUP(F558, 'Network Chiefs'!A:B, 2, FALSE)
</f>
        <v>Devon LaRosa</v>
      </c>
      <c r="H558" s="12">
        <v>36.0</v>
      </c>
      <c r="I558" s="13" t="s">
        <v>41</v>
      </c>
      <c r="J558" s="14" t="s">
        <v>42</v>
      </c>
      <c r="K558" s="14">
        <v>7.0</v>
      </c>
      <c r="L558" s="14" t="str">
        <f t="array" ref="L558">INDEX('School Rep'!$A$2:$A$21, MATCH(J558, 'School Rep'!$B$2:$B$21, 0))</f>
        <v>Emma Lozano</v>
      </c>
      <c r="M558" s="15">
        <v>3.0</v>
      </c>
      <c r="N558" s="16" t="s">
        <v>1756</v>
      </c>
      <c r="O558" s="8" t="str">
        <f t="shared" si="1"/>
        <v>2400 S Marshall Blvd </v>
      </c>
      <c r="P558" s="12">
        <v>24.0</v>
      </c>
      <c r="Q558" s="13" t="s">
        <v>517</v>
      </c>
    </row>
    <row r="559">
      <c r="A559" s="7">
        <v>610357.0</v>
      </c>
      <c r="B559" s="8" t="s">
        <v>1757</v>
      </c>
      <c r="C559" s="9" t="s">
        <v>1758</v>
      </c>
      <c r="D559" s="10">
        <v>0.169</v>
      </c>
      <c r="E559" s="11" t="s">
        <v>80</v>
      </c>
      <c r="F559" s="11" t="s">
        <v>92</v>
      </c>
      <c r="G559" s="8" t="str">
        <f>VLOOKUP(F559, 'Network Chiefs'!A:B, 2, FALSE)
</f>
        <v>Devon LaRosa</v>
      </c>
      <c r="H559" s="12">
        <v>36.0</v>
      </c>
      <c r="I559" s="13" t="s">
        <v>41</v>
      </c>
      <c r="J559" s="14" t="s">
        <v>42</v>
      </c>
      <c r="K559" s="14">
        <v>7.0</v>
      </c>
      <c r="L559" s="14" t="str">
        <f t="array" ref="L559">INDEX('School Rep'!$A$2:$A$21, MATCH(J559, 'School Rep'!$B$2:$B$21, 0))</f>
        <v>Emma Lozano</v>
      </c>
      <c r="M559" s="15">
        <v>3.1</v>
      </c>
      <c r="N559" s="16" t="s">
        <v>1756</v>
      </c>
      <c r="O559" s="8" t="str">
        <f t="shared" si="1"/>
        <v>2400 S Marshall Blvd </v>
      </c>
      <c r="P559" s="12">
        <v>24.0</v>
      </c>
      <c r="Q559" s="13" t="s">
        <v>517</v>
      </c>
    </row>
    <row r="560">
      <c r="A560" s="7">
        <v>610339.0</v>
      </c>
      <c r="B560" s="8" t="s">
        <v>1759</v>
      </c>
      <c r="C560" s="18" t="s">
        <v>1760</v>
      </c>
      <c r="D560" s="19">
        <v>0.162</v>
      </c>
      <c r="E560" s="18" t="s">
        <v>80</v>
      </c>
      <c r="F560" s="18" t="s">
        <v>186</v>
      </c>
      <c r="G560" s="8" t="str">
        <f>VLOOKUP(F560, 'Network Chiefs'!A:B, 2, FALSE)
</f>
        <v>Latasha Geverola</v>
      </c>
      <c r="H560" s="12">
        <v>19.0</v>
      </c>
      <c r="I560" s="13" t="s">
        <v>30</v>
      </c>
      <c r="J560" s="14" t="s">
        <v>187</v>
      </c>
      <c r="K560" s="14">
        <v>9.0</v>
      </c>
      <c r="L560" s="14" t="str">
        <f t="array" ref="L560">INDEX('School Rep'!$A$2:$A$21, MATCH(J560, 'School Rep'!$B$2:$B$21, 0))</f>
        <v>Frank Niles Thomas</v>
      </c>
      <c r="M560" s="15">
        <v>3.8</v>
      </c>
      <c r="N560" s="16" t="s">
        <v>1761</v>
      </c>
      <c r="O560" s="8" t="str">
        <f t="shared" si="1"/>
        <v>7424 S Morgan St </v>
      </c>
      <c r="P560" s="12">
        <v>17.0</v>
      </c>
      <c r="Q560" s="13" t="s">
        <v>189</v>
      </c>
    </row>
    <row r="561">
      <c r="A561" s="7">
        <v>609732.0</v>
      </c>
      <c r="B561" s="13" t="s">
        <v>1762</v>
      </c>
      <c r="C561" s="18" t="s">
        <v>1763</v>
      </c>
      <c r="D561" s="19">
        <v>0.217</v>
      </c>
      <c r="E561" s="18" t="s">
        <v>80</v>
      </c>
      <c r="F561" s="18" t="s">
        <v>116</v>
      </c>
      <c r="G561" s="8" t="str">
        <f>VLOOKUP(F561, 'Network Chiefs'!A:B, 2, FALSE)
</f>
        <v>Dr. Laura LeMone</v>
      </c>
      <c r="H561" s="12">
        <v>4.0</v>
      </c>
      <c r="I561" s="13" t="s">
        <v>30</v>
      </c>
      <c r="J561" s="14" t="s">
        <v>222</v>
      </c>
      <c r="K561" s="14">
        <v>1.0</v>
      </c>
      <c r="L561" s="14" t="str">
        <f t="array" ref="L561">INDEX('School Rep'!$A$2:$A$21, MATCH(J561, 'School Rep'!$B$2:$B$21, 0))</f>
        <v>Jennifer Custer</v>
      </c>
      <c r="M561" s="12">
        <v>2.8</v>
      </c>
      <c r="N561" s="16" t="s">
        <v>1764</v>
      </c>
      <c r="O561" s="8" t="str">
        <f t="shared" si="1"/>
        <v>3030 N Mobile Ave </v>
      </c>
      <c r="P561" s="12">
        <v>30.0</v>
      </c>
      <c r="Q561" s="13" t="s">
        <v>346</v>
      </c>
    </row>
    <row r="562">
      <c r="A562" s="7">
        <v>610548.0</v>
      </c>
      <c r="B562" s="8" t="s">
        <v>1765</v>
      </c>
      <c r="C562" s="9" t="s">
        <v>1766</v>
      </c>
      <c r="D562" s="10">
        <v>0.0</v>
      </c>
      <c r="E562" s="11" t="s">
        <v>80</v>
      </c>
      <c r="F562" s="11" t="s">
        <v>126</v>
      </c>
      <c r="G562" s="8" t="str">
        <f>VLOOKUP(F562, 'Network Chiefs'!A:B, 2, FALSE)
</f>
        <v>#N/A</v>
      </c>
      <c r="H562" s="12">
        <v>42.0</v>
      </c>
      <c r="I562" s="13" t="s">
        <v>20</v>
      </c>
      <c r="J562" s="14" t="s">
        <v>42</v>
      </c>
      <c r="K562" s="14">
        <v>7.0</v>
      </c>
      <c r="L562" s="14" t="str">
        <f t="array" ref="L562">INDEX('School Rep'!$A$2:$A$21, MATCH(J562, 'School Rep'!$B$2:$B$21, 0))</f>
        <v>Emma Lozano</v>
      </c>
      <c r="M562" s="15">
        <v>1.9</v>
      </c>
      <c r="N562" s="16" t="s">
        <v>1767</v>
      </c>
      <c r="O562" s="8" t="str">
        <f t="shared" si="1"/>
        <v>1522 W Fillmore St </v>
      </c>
      <c r="P562" s="12">
        <v>28.0</v>
      </c>
      <c r="Q562" s="13" t="s">
        <v>399</v>
      </c>
    </row>
    <row r="563">
      <c r="A563" s="7">
        <v>610185.0</v>
      </c>
      <c r="B563" s="8" t="s">
        <v>1768</v>
      </c>
      <c r="C563" s="18" t="s">
        <v>1769</v>
      </c>
      <c r="D563" s="19">
        <v>0.064</v>
      </c>
      <c r="E563" s="18" t="s">
        <v>80</v>
      </c>
      <c r="F563" s="18" t="s">
        <v>138</v>
      </c>
      <c r="G563" s="8" t="str">
        <f>VLOOKUP(F563, 'Network Chiefs'!A:B, 2, FALSE)
</f>
        <v>Mira Weber</v>
      </c>
      <c r="H563" s="15"/>
      <c r="I563" s="8"/>
      <c r="J563" s="14" t="s">
        <v>139</v>
      </c>
      <c r="K563" s="14">
        <v>8.0</v>
      </c>
      <c r="L563" s="14" t="str">
        <f t="array" ref="L563">INDEX('School Rep'!$A$2:$A$21, MATCH(J563, 'School Rep'!$B$2:$B$21, 0))</f>
        <v>Angel Gutierrez</v>
      </c>
      <c r="M563" s="15">
        <v>3.5</v>
      </c>
      <c r="N563" s="16" t="s">
        <v>1770</v>
      </c>
      <c r="O563" s="8" t="str">
        <f t="shared" si="1"/>
        <v>8010 S Kostner Ave </v>
      </c>
      <c r="P563" s="12">
        <v>18.0</v>
      </c>
      <c r="Q563" s="13" t="s">
        <v>141</v>
      </c>
    </row>
    <row r="564">
      <c r="A564" s="7">
        <v>610163.0</v>
      </c>
      <c r="B564" s="12" t="s">
        <v>1771</v>
      </c>
      <c r="C564" s="18" t="s">
        <v>1772</v>
      </c>
      <c r="D564" s="19">
        <v>0.0</v>
      </c>
      <c r="E564" s="18" t="s">
        <v>80</v>
      </c>
      <c r="F564" s="18" t="s">
        <v>97</v>
      </c>
      <c r="G564" s="8" t="str">
        <f>VLOOKUP(F564, 'Network Chiefs'!A:B, 2, FALSE)
</f>
        <v>Julie McGlade</v>
      </c>
      <c r="H564" s="12">
        <v>88.0</v>
      </c>
      <c r="I564" s="13" t="s">
        <v>248</v>
      </c>
      <c r="J564" s="14" t="s">
        <v>199</v>
      </c>
      <c r="K564" s="14">
        <v>1.0</v>
      </c>
      <c r="L564" s="14" t="str">
        <f t="array" ref="L564">INDEX('School Rep'!$A$2:$A$21, MATCH(J564, 'School Rep'!$B$2:$B$21, 0))</f>
        <v>Ed Bannon</v>
      </c>
      <c r="M564" s="12">
        <v>2.0</v>
      </c>
      <c r="N564" s="16" t="s">
        <v>1773</v>
      </c>
      <c r="O564" s="8" t="str">
        <f t="shared" si="1"/>
        <v>7507 W Birchwood Ave </v>
      </c>
      <c r="P564" s="12">
        <v>41.0</v>
      </c>
      <c r="Q564" s="13" t="s">
        <v>201</v>
      </c>
    </row>
    <row r="565">
      <c r="A565" s="7">
        <v>610191.0</v>
      </c>
      <c r="B565" s="13" t="s">
        <v>1774</v>
      </c>
      <c r="C565" s="18" t="s">
        <v>1775</v>
      </c>
      <c r="D565" s="19">
        <v>0.018</v>
      </c>
      <c r="E565" s="18" t="s">
        <v>80</v>
      </c>
      <c r="F565" s="18" t="s">
        <v>270</v>
      </c>
      <c r="G565" s="8" t="str">
        <f>VLOOKUP(F565, 'Network Chiefs'!A:B, 2, FALSE)
</f>
        <v>Marilou Rebolledo</v>
      </c>
      <c r="H565" s="12">
        <v>52.0</v>
      </c>
      <c r="I565" s="13" t="s">
        <v>20</v>
      </c>
      <c r="J565" s="14" t="s">
        <v>36</v>
      </c>
      <c r="K565" s="14">
        <v>2.0</v>
      </c>
      <c r="L565" s="14" t="str">
        <f t="array" ref="L565">INDEX('School Rep'!$A$2:$A$21, MATCH(J565, 'School Rep'!$B$2:$B$21, 0))</f>
        <v>Ebony DeBerry</v>
      </c>
      <c r="M565" s="12">
        <v>2.1</v>
      </c>
      <c r="N565" s="16" t="s">
        <v>1776</v>
      </c>
      <c r="O565" s="8" t="str">
        <f t="shared" si="1"/>
        <v>6239 N Leavitt St </v>
      </c>
      <c r="P565" s="12">
        <v>50.0</v>
      </c>
      <c r="Q565" s="13" t="s">
        <v>131</v>
      </c>
    </row>
    <row r="566">
      <c r="A566" s="7">
        <v>610192.0</v>
      </c>
      <c r="B566" s="12" t="s">
        <v>1777</v>
      </c>
      <c r="C566" s="18" t="s">
        <v>1778</v>
      </c>
      <c r="D566" s="19">
        <v>0.101</v>
      </c>
      <c r="E566" s="18" t="s">
        <v>80</v>
      </c>
      <c r="F566" s="18" t="s">
        <v>216</v>
      </c>
      <c r="G566" s="8" t="str">
        <f>VLOOKUP(F566, 'Network Chiefs'!A:B, 2, FALSE)
</f>
        <v>Shontae Higginbottom</v>
      </c>
      <c r="H566" s="12">
        <v>49.0</v>
      </c>
      <c r="I566" s="13" t="s">
        <v>20</v>
      </c>
      <c r="J566" s="14" t="s">
        <v>232</v>
      </c>
      <c r="K566" s="14">
        <v>3.0</v>
      </c>
      <c r="L566" s="14" t="str">
        <f t="array" ref="L566">INDEX('School Rep'!$A$2:$A$21, MATCH(J566, 'School Rep'!$B$2:$B$21, 0))</f>
        <v>Carlos Rivas</v>
      </c>
      <c r="M566" s="12">
        <v>3.2</v>
      </c>
      <c r="N566" s="16" t="s">
        <v>1779</v>
      </c>
      <c r="O566" s="8" t="str">
        <f t="shared" si="1"/>
        <v>3444 W Wabansia Ave </v>
      </c>
      <c r="P566" s="12">
        <v>26.0</v>
      </c>
      <c r="Q566" s="13" t="s">
        <v>378</v>
      </c>
    </row>
    <row r="567">
      <c r="A567" s="7">
        <v>610405.0</v>
      </c>
      <c r="B567" s="12" t="s">
        <v>1780</v>
      </c>
      <c r="C567" s="18" t="s">
        <v>1781</v>
      </c>
      <c r="D567" s="19">
        <v>0.032</v>
      </c>
      <c r="E567" s="18" t="s">
        <v>80</v>
      </c>
      <c r="F567" s="18" t="s">
        <v>301</v>
      </c>
      <c r="G567" s="8" t="str">
        <f>VLOOKUP(F567, 'Network Chiefs'!A:B, 2, FALSE)
</f>
        <v>Dr. Ethan Netterstrom</v>
      </c>
      <c r="H567" s="12">
        <v>33.0</v>
      </c>
      <c r="I567" s="13" t="s">
        <v>41</v>
      </c>
      <c r="J567" s="14" t="s">
        <v>217</v>
      </c>
      <c r="K567" s="14">
        <v>5.0</v>
      </c>
      <c r="L567" s="14" t="str">
        <f t="array" ref="L567">INDEX('School Rep'!$A$2:$A$21, MATCH(J567, 'School Rep'!$B$2:$B$21, 0))</f>
        <v>Michilla Blaise</v>
      </c>
      <c r="M567" s="12">
        <v>2.1</v>
      </c>
      <c r="N567" s="16" t="s">
        <v>1782</v>
      </c>
      <c r="O567" s="8" t="str">
        <f t="shared" si="1"/>
        <v>2022 W Washington Blvd </v>
      </c>
      <c r="P567" s="12">
        <v>27.0</v>
      </c>
      <c r="Q567" s="13" t="s">
        <v>219</v>
      </c>
    </row>
    <row r="568">
      <c r="A568" s="7">
        <v>609733.0</v>
      </c>
      <c r="B568" s="13" t="s">
        <v>1783</v>
      </c>
      <c r="C568" s="17" t="s">
        <v>1784</v>
      </c>
      <c r="D568" s="10">
        <v>0.231</v>
      </c>
      <c r="E568" s="11" t="s">
        <v>80</v>
      </c>
      <c r="F568" s="11" t="s">
        <v>116</v>
      </c>
      <c r="G568" s="8" t="str">
        <f>VLOOKUP(F568, 'Network Chiefs'!A:B, 2, FALSE)
</f>
        <v>Dr. Laura LeMone</v>
      </c>
      <c r="H568" s="12">
        <v>28.0</v>
      </c>
      <c r="I568" s="13" t="s">
        <v>41</v>
      </c>
      <c r="J568" s="14" t="s">
        <v>36</v>
      </c>
      <c r="K568" s="14">
        <v>2.0</v>
      </c>
      <c r="L568" s="14" t="str">
        <f t="array" ref="L568">INDEX('School Rep'!$A$2:$A$21, MATCH(J568, 'School Rep'!$B$2:$B$21, 0))</f>
        <v>Ebony DeBerry</v>
      </c>
      <c r="M568" s="12">
        <v>2.9</v>
      </c>
      <c r="N568" s="16" t="s">
        <v>1785</v>
      </c>
      <c r="O568" s="8" t="str">
        <f t="shared" si="1"/>
        <v>6631 N Bosworth Ave </v>
      </c>
      <c r="P568" s="12">
        <v>49.0</v>
      </c>
      <c r="Q568" s="13" t="s">
        <v>38</v>
      </c>
    </row>
    <row r="569">
      <c r="A569" s="7">
        <v>610194.0</v>
      </c>
      <c r="B569" s="12" t="s">
        <v>1786</v>
      </c>
      <c r="C569" s="18" t="s">
        <v>1787</v>
      </c>
      <c r="D569" s="19">
        <v>0.143</v>
      </c>
      <c r="E569" s="18" t="s">
        <v>80</v>
      </c>
      <c r="F569" s="18" t="s">
        <v>216</v>
      </c>
      <c r="G569" s="8" t="str">
        <f>VLOOKUP(F569, 'Network Chiefs'!A:B, 2, FALSE)
</f>
        <v>Shontae Higginbottom</v>
      </c>
      <c r="H569" s="12">
        <v>47.0</v>
      </c>
      <c r="I569" s="13" t="s">
        <v>20</v>
      </c>
      <c r="J569" s="14" t="s">
        <v>217</v>
      </c>
      <c r="K569" s="14">
        <v>5.0</v>
      </c>
      <c r="L569" s="14" t="str">
        <f t="array" ref="L569">INDEX('School Rep'!$A$2:$A$21, MATCH(J569, 'School Rep'!$B$2:$B$21, 0))</f>
        <v>Michilla Blaise</v>
      </c>
      <c r="M569" s="12">
        <v>3.3</v>
      </c>
      <c r="N569" s="16" t="s">
        <v>1788</v>
      </c>
      <c r="O569" s="8" t="str">
        <f t="shared" si="1"/>
        <v>4320 W 5th Ave </v>
      </c>
      <c r="P569" s="12">
        <v>24.0</v>
      </c>
      <c r="Q569" s="13" t="s">
        <v>517</v>
      </c>
    </row>
    <row r="570">
      <c r="A570" s="7">
        <v>610195.0</v>
      </c>
      <c r="B570" s="8" t="s">
        <v>1789</v>
      </c>
      <c r="C570" s="18" t="s">
        <v>1790</v>
      </c>
      <c r="D570" s="19">
        <v>0.039</v>
      </c>
      <c r="E570" s="18" t="s">
        <v>80</v>
      </c>
      <c r="F570" s="18" t="s">
        <v>138</v>
      </c>
      <c r="G570" s="8" t="str">
        <f>VLOOKUP(F570, 'Network Chiefs'!A:B, 2, FALSE)
</f>
        <v>Mira Weber</v>
      </c>
      <c r="H570" s="12">
        <v>39.0</v>
      </c>
      <c r="I570" s="13" t="s">
        <v>41</v>
      </c>
      <c r="J570" s="14" t="s">
        <v>178</v>
      </c>
      <c r="K570" s="14">
        <v>9.0</v>
      </c>
      <c r="L570" s="14" t="str">
        <f t="array" ref="L570">INDEX('School Rep'!$A$2:$A$21, MATCH(J570, 'School Rep'!$B$2:$B$21, 0))</f>
        <v>Therese Boyle</v>
      </c>
      <c r="M570" s="15">
        <v>2.6</v>
      </c>
      <c r="N570" s="16" t="s">
        <v>1791</v>
      </c>
      <c r="O570" s="8" t="str">
        <f t="shared" si="1"/>
        <v>10015 S Leavitt St </v>
      </c>
      <c r="P570" s="12">
        <v>19.0</v>
      </c>
      <c r="Q570" s="13" t="s">
        <v>180</v>
      </c>
    </row>
    <row r="571">
      <c r="A571" s="7">
        <v>610196.0</v>
      </c>
      <c r="B571" s="13" t="s">
        <v>1792</v>
      </c>
      <c r="C571" s="18" t="s">
        <v>1793</v>
      </c>
      <c r="D571" s="19">
        <v>0.213</v>
      </c>
      <c r="E571" s="18" t="s">
        <v>80</v>
      </c>
      <c r="F571" s="18" t="s">
        <v>270</v>
      </c>
      <c r="G571" s="8" t="str">
        <f>VLOOKUP(F571, 'Network Chiefs'!A:B, 2, FALSE)
</f>
        <v>Marilou Rebolledo</v>
      </c>
      <c r="H571" s="12">
        <v>49.0</v>
      </c>
      <c r="I571" s="13" t="s">
        <v>20</v>
      </c>
      <c r="J571" s="14" t="s">
        <v>87</v>
      </c>
      <c r="K571" s="14">
        <v>2.0</v>
      </c>
      <c r="L571" s="14" t="str">
        <f t="array" ref="L571">INDEX('School Rep'!$A$2:$A$21, MATCH(J571, 'School Rep'!$B$2:$B$21, 0))</f>
        <v>Debby Pope</v>
      </c>
      <c r="M571" s="12">
        <v>2.9</v>
      </c>
      <c r="N571" s="16" t="s">
        <v>1794</v>
      </c>
      <c r="O571" s="8" t="str">
        <f t="shared" si="1"/>
        <v>5900 N Winthrop Ave </v>
      </c>
      <c r="P571" s="12">
        <v>48.0</v>
      </c>
      <c r="Q571" s="13" t="s">
        <v>807</v>
      </c>
    </row>
    <row r="572">
      <c r="A572" s="7">
        <v>609734.0</v>
      </c>
      <c r="B572" s="13" t="s">
        <v>1795</v>
      </c>
      <c r="C572" s="17" t="s">
        <v>1796</v>
      </c>
      <c r="D572" s="10">
        <v>0.084</v>
      </c>
      <c r="E572" s="11" t="s">
        <v>80</v>
      </c>
      <c r="F572" s="11" t="s">
        <v>116</v>
      </c>
      <c r="G572" s="8" t="str">
        <f>VLOOKUP(F572, 'Network Chiefs'!A:B, 2, FALSE)
</f>
        <v>Dr. Laura LeMone</v>
      </c>
      <c r="H572" s="12">
        <v>41.0</v>
      </c>
      <c r="I572" s="13" t="s">
        <v>20</v>
      </c>
      <c r="J572" s="14" t="s">
        <v>199</v>
      </c>
      <c r="K572" s="14">
        <v>1.0</v>
      </c>
      <c r="L572" s="14" t="str">
        <f t="array" ref="L572">INDEX('School Rep'!$A$2:$A$21, MATCH(J572, 'School Rep'!$B$2:$B$21, 0))</f>
        <v>Ed Bannon</v>
      </c>
      <c r="M572" s="12">
        <v>1.5</v>
      </c>
      <c r="N572" s="16" t="s">
        <v>1797</v>
      </c>
      <c r="O572" s="8" t="str">
        <f t="shared" si="1"/>
        <v>6530 W Bryn Mawr Ave </v>
      </c>
      <c r="P572" s="12">
        <v>41.0</v>
      </c>
      <c r="Q572" s="13" t="s">
        <v>201</v>
      </c>
    </row>
    <row r="573">
      <c r="A573" s="7">
        <v>610197.0</v>
      </c>
      <c r="B573" s="12" t="s">
        <v>1798</v>
      </c>
      <c r="C573" s="18" t="s">
        <v>1799</v>
      </c>
      <c r="D573" s="19">
        <v>0.118</v>
      </c>
      <c r="E573" s="18" t="s">
        <v>80</v>
      </c>
      <c r="F573" s="18" t="s">
        <v>301</v>
      </c>
      <c r="G573" s="8" t="str">
        <f>VLOOKUP(F573, 'Network Chiefs'!A:B, 2, FALSE)
</f>
        <v>Dr. Ethan Netterstrom</v>
      </c>
      <c r="H573" s="15"/>
      <c r="I573" s="8"/>
      <c r="J573" s="14" t="s">
        <v>217</v>
      </c>
      <c r="K573" s="14">
        <v>5.0</v>
      </c>
      <c r="L573" s="14" t="str">
        <f t="array" ref="L573">INDEX('School Rep'!$A$2:$A$21, MATCH(J573, 'School Rep'!$B$2:$B$21, 0))</f>
        <v>Michilla Blaise</v>
      </c>
      <c r="M573" s="12">
        <v>3.2</v>
      </c>
      <c r="N573" s="16" t="s">
        <v>1800</v>
      </c>
      <c r="O573" s="8" t="str">
        <f t="shared" si="1"/>
        <v>1840 W Ohio St </v>
      </c>
      <c r="P573" s="12">
        <v>36.0</v>
      </c>
      <c r="Q573" s="13" t="s">
        <v>67</v>
      </c>
    </row>
    <row r="574">
      <c r="A574" s="7">
        <v>610249.0</v>
      </c>
      <c r="B574" s="8" t="s">
        <v>1801</v>
      </c>
      <c r="C574" s="18" t="s">
        <v>1802</v>
      </c>
      <c r="D574" s="19">
        <v>0.032</v>
      </c>
      <c r="E574" s="18" t="s">
        <v>80</v>
      </c>
      <c r="F574" s="18" t="s">
        <v>126</v>
      </c>
      <c r="G574" s="8" t="str">
        <f>VLOOKUP(F574, 'Network Chiefs'!A:B, 2, FALSE)
</f>
        <v>#N/A</v>
      </c>
      <c r="H574" s="12">
        <v>58.0</v>
      </c>
      <c r="I574" s="13" t="s">
        <v>20</v>
      </c>
      <c r="J574" s="14" t="s">
        <v>21</v>
      </c>
      <c r="K574" s="14">
        <v>7.0</v>
      </c>
      <c r="L574" s="14" t="str">
        <f t="array" ref="L574">INDEX('School Rep'!$A$2:$A$21, MATCH(J574, 'School Rep'!$B$2:$B$21, 0))</f>
        <v>Yesenia Lopez</v>
      </c>
      <c r="M574" s="15">
        <v>3.4</v>
      </c>
      <c r="N574" s="16" t="s">
        <v>1803</v>
      </c>
      <c r="O574" s="8" t="str">
        <f t="shared" si="1"/>
        <v>5450 S Talman Ave </v>
      </c>
      <c r="P574" s="12">
        <v>14.0</v>
      </c>
      <c r="Q574" s="13" t="s">
        <v>54</v>
      </c>
    </row>
    <row r="575">
      <c r="A575" s="7">
        <v>610279.0</v>
      </c>
      <c r="B575" s="8" t="s">
        <v>1804</v>
      </c>
      <c r="C575" s="18" t="s">
        <v>1805</v>
      </c>
      <c r="D575" s="19">
        <v>0.208</v>
      </c>
      <c r="E575" s="18" t="s">
        <v>80</v>
      </c>
      <c r="F575" s="18" t="s">
        <v>144</v>
      </c>
      <c r="G575" s="8" t="str">
        <f>VLOOKUP(F575, 'Network Chiefs'!A:B, 2, FALSE)
</f>
        <v>Shenethe Parks</v>
      </c>
      <c r="H575" s="12">
        <v>55.0</v>
      </c>
      <c r="I575" s="13" t="s">
        <v>20</v>
      </c>
      <c r="J575" s="14" t="s">
        <v>204</v>
      </c>
      <c r="K575" s="14">
        <v>6.0</v>
      </c>
      <c r="L575" s="14" t="str">
        <f t="array" ref="L575">INDEX('School Rep'!$A$2:$A$21, MATCH(J575, 'School Rep'!$B$2:$B$21, 0))</f>
        <v>Jessica Biggs</v>
      </c>
      <c r="M575" s="15">
        <v>3.3</v>
      </c>
      <c r="N575" s="16" t="s">
        <v>1806</v>
      </c>
      <c r="O575" s="8" t="str">
        <f t="shared" si="1"/>
        <v>7350 S Evans Ave </v>
      </c>
      <c r="P575" s="12">
        <v>6.0</v>
      </c>
      <c r="Q575" s="13" t="s">
        <v>306</v>
      </c>
    </row>
    <row r="576">
      <c r="A576" s="7">
        <v>610396.0</v>
      </c>
      <c r="B576" s="8" t="s">
        <v>1807</v>
      </c>
      <c r="C576" s="17" t="s">
        <v>1808</v>
      </c>
      <c r="D576" s="10">
        <v>0.046</v>
      </c>
      <c r="E576" s="11" t="s">
        <v>80</v>
      </c>
      <c r="F576" s="11" t="s">
        <v>138</v>
      </c>
      <c r="G576" s="8" t="str">
        <f>VLOOKUP(F576, 'Network Chiefs'!A:B, 2, FALSE)
</f>
        <v>Mira Weber</v>
      </c>
      <c r="H576" s="12">
        <v>21.0</v>
      </c>
      <c r="I576" s="13" t="s">
        <v>41</v>
      </c>
      <c r="J576" s="14" t="s">
        <v>139</v>
      </c>
      <c r="K576" s="14">
        <v>8.0</v>
      </c>
      <c r="L576" s="14" t="str">
        <f t="array" ref="L576">INDEX('School Rep'!$A$2:$A$21, MATCH(J576, 'School Rep'!$B$2:$B$21, 0))</f>
        <v>Angel Gutierrez</v>
      </c>
      <c r="M576" s="15">
        <v>3.3</v>
      </c>
      <c r="N576" s="16" t="s">
        <v>1809</v>
      </c>
      <c r="O576" s="8" t="str">
        <f t="shared" si="1"/>
        <v>3330 W 71st St </v>
      </c>
      <c r="P576" s="12">
        <v>17.0</v>
      </c>
      <c r="Q576" s="13" t="s">
        <v>189</v>
      </c>
    </row>
    <row r="577">
      <c r="A577" s="7">
        <v>610198.0</v>
      </c>
      <c r="B577" s="12" t="s">
        <v>1810</v>
      </c>
      <c r="C577" s="9" t="s">
        <v>1811</v>
      </c>
      <c r="D577" s="10">
        <v>0.122</v>
      </c>
      <c r="E577" s="11" t="s">
        <v>80</v>
      </c>
      <c r="F577" s="11" t="s">
        <v>81</v>
      </c>
      <c r="G577" s="8" t="str">
        <f>VLOOKUP(F577, 'Network Chiefs'!A:B, 2, FALSE)
</f>
        <v>Dr. Terrycita D. Perry</v>
      </c>
      <c r="H577" s="12">
        <v>59.0</v>
      </c>
      <c r="I577" s="13" t="s">
        <v>20</v>
      </c>
      <c r="J577" s="14" t="s">
        <v>82</v>
      </c>
      <c r="K577" s="14">
        <v>10.0</v>
      </c>
      <c r="L577" s="14" t="str">
        <f t="array" ref="L577">INDEX('School Rep'!$A$2:$A$21, MATCH(J577, 'School Rep'!$B$2:$B$21, 0))</f>
        <v>Olga Bautista</v>
      </c>
      <c r="M577" s="12">
        <v>3.0</v>
      </c>
      <c r="N577" s="16" t="s">
        <v>1812</v>
      </c>
      <c r="O577" s="8" t="str">
        <f t="shared" si="1"/>
        <v>9912 S Avenue H </v>
      </c>
      <c r="P577" s="12">
        <v>10.0</v>
      </c>
      <c r="Q577" s="13" t="s">
        <v>84</v>
      </c>
    </row>
    <row r="578">
      <c r="A578" s="7">
        <v>609921.0</v>
      </c>
      <c r="B578" s="8" t="s">
        <v>1813</v>
      </c>
      <c r="C578" s="18" t="s">
        <v>1814</v>
      </c>
      <c r="D578" s="19">
        <v>0.104</v>
      </c>
      <c r="E578" s="18" t="s">
        <v>80</v>
      </c>
      <c r="F578" s="18" t="s">
        <v>529</v>
      </c>
      <c r="G578" s="8" t="str">
        <f>VLOOKUP(F578, 'Network Chiefs'!A:B, 2, FALSE)
</f>
        <v>Dr. Antonio Acevedo</v>
      </c>
      <c r="H578" s="12">
        <v>75.0</v>
      </c>
      <c r="I578" s="13" t="s">
        <v>52</v>
      </c>
      <c r="J578" s="14" t="s">
        <v>42</v>
      </c>
      <c r="K578" s="14">
        <v>7.0</v>
      </c>
      <c r="L578" s="14" t="str">
        <f t="array" ref="L578">INDEX('School Rep'!$A$2:$A$21, MATCH(J578, 'School Rep'!$B$2:$B$21, 0))</f>
        <v>Emma Lozano</v>
      </c>
      <c r="M578" s="15">
        <v>3.7</v>
      </c>
      <c r="N578" s="16" t="s">
        <v>1815</v>
      </c>
      <c r="O578" s="8" t="str">
        <f t="shared" si="1"/>
        <v>2832 W 24th Blvd </v>
      </c>
      <c r="P578" s="12">
        <v>24.0</v>
      </c>
      <c r="Q578" s="13" t="s">
        <v>517</v>
      </c>
    </row>
    <row r="579">
      <c r="A579" s="7">
        <v>610504.0</v>
      </c>
      <c r="B579" s="8" t="s">
        <v>1816</v>
      </c>
      <c r="C579" s="18" t="s">
        <v>1817</v>
      </c>
      <c r="D579" s="19">
        <v>0.0</v>
      </c>
      <c r="E579" s="18" t="s">
        <v>80</v>
      </c>
      <c r="F579" s="18" t="s">
        <v>126</v>
      </c>
      <c r="G579" s="8" t="str">
        <f>VLOOKUP(F579, 'Network Chiefs'!A:B, 2, FALSE)
</f>
        <v>#N/A</v>
      </c>
      <c r="H579" s="12">
        <v>51.0</v>
      </c>
      <c r="I579" s="13" t="s">
        <v>20</v>
      </c>
      <c r="J579" s="14" t="s">
        <v>26</v>
      </c>
      <c r="K579" s="14">
        <v>8.0</v>
      </c>
      <c r="L579" s="14" t="str">
        <f t="array" ref="L579">INDEX('School Rep'!$A$2:$A$21, MATCH(J579, 'School Rep'!$B$2:$B$21, 0))</f>
        <v>Cydney Wallace</v>
      </c>
      <c r="M579" s="15">
        <v>2.5</v>
      </c>
      <c r="N579" s="16" t="s">
        <v>1818</v>
      </c>
      <c r="O579" s="8" t="str">
        <f t="shared" si="1"/>
        <v>3625 S Hoyne Ave </v>
      </c>
      <c r="P579" s="12">
        <v>12.0</v>
      </c>
      <c r="Q579" s="13" t="s">
        <v>23</v>
      </c>
    </row>
    <row r="580">
      <c r="A580" s="7">
        <v>610200.0</v>
      </c>
      <c r="B580" s="13" t="s">
        <v>1819</v>
      </c>
      <c r="C580" s="17" t="s">
        <v>1820</v>
      </c>
      <c r="D580" s="10">
        <v>0.249</v>
      </c>
      <c r="E580" s="11" t="s">
        <v>80</v>
      </c>
      <c r="F580" s="11" t="s">
        <v>144</v>
      </c>
      <c r="G580" s="8" t="str">
        <f>VLOOKUP(F580, 'Network Chiefs'!A:B, 2, FALSE)
</f>
        <v>Shenethe Parks</v>
      </c>
      <c r="H580" s="12">
        <v>61.0</v>
      </c>
      <c r="I580" s="13" t="s">
        <v>52</v>
      </c>
      <c r="J580" s="14" t="s">
        <v>82</v>
      </c>
      <c r="K580" s="14">
        <v>10.0</v>
      </c>
      <c r="L580" s="14" t="str">
        <f t="array" ref="L580">INDEX('School Rep'!$A$2:$A$21, MATCH(J580, 'School Rep'!$B$2:$B$21, 0))</f>
        <v>Olga Bautista</v>
      </c>
      <c r="M580" s="12">
        <v>3.8</v>
      </c>
      <c r="N580" s="16" t="s">
        <v>1115</v>
      </c>
      <c r="O580" s="8" t="str">
        <f t="shared" si="1"/>
        <v>8914 S Buffalo Ave </v>
      </c>
      <c r="P580" s="12">
        <v>10.0</v>
      </c>
      <c r="Q580" s="13" t="s">
        <v>84</v>
      </c>
    </row>
    <row r="581">
      <c r="A581" s="7">
        <v>610201.0</v>
      </c>
      <c r="B581" s="13" t="s">
        <v>1821</v>
      </c>
      <c r="C581" s="18" t="s">
        <v>1822</v>
      </c>
      <c r="D581" s="19">
        <v>0.0</v>
      </c>
      <c r="E581" s="18" t="s">
        <v>80</v>
      </c>
      <c r="F581" s="18" t="s">
        <v>126</v>
      </c>
      <c r="G581" s="8" t="str">
        <f>VLOOKUP(F581, 'Network Chiefs'!A:B, 2, FALSE)
</f>
        <v>#N/A</v>
      </c>
      <c r="H581" s="12">
        <v>48.0</v>
      </c>
      <c r="I581" s="13" t="s">
        <v>20</v>
      </c>
      <c r="J581" s="14" t="s">
        <v>222</v>
      </c>
      <c r="K581" s="14">
        <v>1.0</v>
      </c>
      <c r="L581" s="14" t="str">
        <f t="array" ref="L581">INDEX('School Rep'!$A$2:$A$21, MATCH(J581, 'School Rep'!$B$2:$B$21, 0))</f>
        <v>Jennifer Custer</v>
      </c>
      <c r="M581" s="12">
        <v>2.7</v>
      </c>
      <c r="N581" s="16" t="s">
        <v>1823</v>
      </c>
      <c r="O581" s="8" t="str">
        <f t="shared" si="1"/>
        <v>6024 W Warwick Ave </v>
      </c>
      <c r="P581" s="12">
        <v>38.0</v>
      </c>
      <c r="Q581" s="13" t="s">
        <v>279</v>
      </c>
    </row>
    <row r="582">
      <c r="A582" s="7">
        <v>609735.0</v>
      </c>
      <c r="B582" s="8" t="s">
        <v>1824</v>
      </c>
      <c r="C582" s="18" t="s">
        <v>1825</v>
      </c>
      <c r="D582" s="19">
        <v>0.214</v>
      </c>
      <c r="E582" s="18" t="s">
        <v>80</v>
      </c>
      <c r="F582" s="18" t="s">
        <v>92</v>
      </c>
      <c r="G582" s="8" t="str">
        <f>VLOOKUP(F582, 'Network Chiefs'!A:B, 2, FALSE)
</f>
        <v>Devon LaRosa</v>
      </c>
      <c r="H582" s="12">
        <v>46.0</v>
      </c>
      <c r="I582" s="13" t="s">
        <v>20</v>
      </c>
      <c r="J582" s="14" t="s">
        <v>187</v>
      </c>
      <c r="K582" s="14">
        <v>9.0</v>
      </c>
      <c r="L582" s="14" t="str">
        <f t="array" ref="L582">INDEX('School Rep'!$A$2:$A$21, MATCH(J582, 'School Rep'!$B$2:$B$21, 0))</f>
        <v>Frank Niles Thomas</v>
      </c>
      <c r="M582" s="15">
        <v>3.5</v>
      </c>
      <c r="N582" s="16" t="s">
        <v>1826</v>
      </c>
      <c r="O582" s="8" t="str">
        <f t="shared" si="1"/>
        <v>4747 S Union Ave </v>
      </c>
      <c r="P582" s="12">
        <v>15.0</v>
      </c>
      <c r="Q582" s="13" t="s">
        <v>364</v>
      </c>
    </row>
    <row r="583">
      <c r="A583" s="7">
        <v>610065.0</v>
      </c>
      <c r="B583" s="8" t="s">
        <v>1827</v>
      </c>
      <c r="C583" s="18" t="s">
        <v>1828</v>
      </c>
      <c r="D583" s="19">
        <v>0.186</v>
      </c>
      <c r="E583" s="18" t="s">
        <v>80</v>
      </c>
      <c r="F583" s="18" t="s">
        <v>120</v>
      </c>
      <c r="G583" s="8" t="str">
        <f>VLOOKUP(F583, 'Network Chiefs'!A:B, 2, FALSE)
</f>
        <v>Alene Mason</v>
      </c>
      <c r="H583" s="12">
        <v>39.0</v>
      </c>
      <c r="I583" s="13" t="s">
        <v>41</v>
      </c>
      <c r="J583" s="14" t="s">
        <v>204</v>
      </c>
      <c r="K583" s="14">
        <v>6.0</v>
      </c>
      <c r="L583" s="14" t="str">
        <f t="array" ref="L583">INDEX('School Rep'!$A$2:$A$21, MATCH(J583, 'School Rep'!$B$2:$B$21, 0))</f>
        <v>Jessica Biggs</v>
      </c>
      <c r="M583" s="15">
        <v>2.9</v>
      </c>
      <c r="N583" s="16" t="s">
        <v>1829</v>
      </c>
      <c r="O583" s="8" t="str">
        <f t="shared" si="1"/>
        <v>6543 S Champlain Ave </v>
      </c>
      <c r="P583" s="12">
        <v>20.0</v>
      </c>
      <c r="Q583" s="13" t="s">
        <v>368</v>
      </c>
    </row>
    <row r="584">
      <c r="A584" s="7">
        <v>610202.0</v>
      </c>
      <c r="B584" s="8" t="s">
        <v>1830</v>
      </c>
      <c r="C584" s="18" t="s">
        <v>1831</v>
      </c>
      <c r="D584" s="19">
        <v>0.245</v>
      </c>
      <c r="E584" s="18" t="s">
        <v>80</v>
      </c>
      <c r="F584" s="18" t="s">
        <v>216</v>
      </c>
      <c r="G584" s="8" t="str">
        <f>VLOOKUP(F584, 'Network Chiefs'!A:B, 2, FALSE)
</f>
        <v>Shontae Higginbottom</v>
      </c>
      <c r="H584" s="12">
        <v>45.0</v>
      </c>
      <c r="I584" s="13" t="s">
        <v>20</v>
      </c>
      <c r="J584" s="14" t="s">
        <v>217</v>
      </c>
      <c r="K584" s="14">
        <v>5.0</v>
      </c>
      <c r="L584" s="14" t="str">
        <f t="array" ref="L584">INDEX('School Rep'!$A$2:$A$21, MATCH(J584, 'School Rep'!$B$2:$B$21, 0))</f>
        <v>Michilla Blaise</v>
      </c>
      <c r="M584" s="15">
        <v>3.8</v>
      </c>
      <c r="N584" s="16" t="s">
        <v>1832</v>
      </c>
      <c r="O584" s="8" t="str">
        <f t="shared" si="1"/>
        <v>223 N Keeler Ave </v>
      </c>
      <c r="P584" s="12">
        <v>28.0</v>
      </c>
      <c r="Q584" s="13" t="s">
        <v>399</v>
      </c>
    </row>
    <row r="585">
      <c r="A585" s="7">
        <v>609773.0</v>
      </c>
      <c r="B585" s="12" t="s">
        <v>1833</v>
      </c>
      <c r="C585" s="11" t="s">
        <v>1834</v>
      </c>
      <c r="D585" s="10">
        <v>0.066</v>
      </c>
      <c r="E585" s="11" t="s">
        <v>80</v>
      </c>
      <c r="F585" s="11" t="s">
        <v>102</v>
      </c>
      <c r="G585" s="8" t="str">
        <f>VLOOKUP(F585, 'Network Chiefs'!A:B, 2, FALSE)
</f>
        <v>Jerry Travlos</v>
      </c>
      <c r="H585" s="12">
        <v>37.0</v>
      </c>
      <c r="I585" s="13" t="s">
        <v>41</v>
      </c>
      <c r="J585" s="14" t="s">
        <v>103</v>
      </c>
      <c r="K585" s="14">
        <v>4.0</v>
      </c>
      <c r="L585" s="14" t="str">
        <f t="array" ref="L585">INDEX('School Rep'!$A$2:$A$21, MATCH(J585, 'School Rep'!$B$2:$B$21, 0))</f>
        <v>Ellen Rosenfeld</v>
      </c>
      <c r="M585" s="12">
        <v>2.1</v>
      </c>
      <c r="N585" s="16" t="s">
        <v>1835</v>
      </c>
      <c r="O585" s="8" t="str">
        <f t="shared" si="1"/>
        <v>2851 N Seminary Ave </v>
      </c>
      <c r="P585" s="12">
        <v>44.0</v>
      </c>
      <c r="Q585" s="13" t="s">
        <v>886</v>
      </c>
    </row>
    <row r="586">
      <c r="A586" s="7">
        <v>609895.0</v>
      </c>
      <c r="B586" s="8" t="s">
        <v>1836</v>
      </c>
      <c r="C586" s="18" t="s">
        <v>1837</v>
      </c>
      <c r="D586" s="19">
        <v>0.0</v>
      </c>
      <c r="E586" s="18" t="s">
        <v>80</v>
      </c>
      <c r="F586" s="18" t="s">
        <v>186</v>
      </c>
      <c r="G586" s="8" t="str">
        <f>VLOOKUP(F586, 'Network Chiefs'!A:B, 2, FALSE)
</f>
        <v>Latasha Geverola</v>
      </c>
      <c r="H586" s="12">
        <v>77.0</v>
      </c>
      <c r="I586" s="13" t="s">
        <v>52</v>
      </c>
      <c r="J586" s="14" t="s">
        <v>178</v>
      </c>
      <c r="K586" s="14">
        <v>9.0</v>
      </c>
      <c r="L586" s="14" t="str">
        <f t="array" ref="L586">INDEX('School Rep'!$A$2:$A$21, MATCH(J586, 'School Rep'!$B$2:$B$21, 0))</f>
        <v>Therese Boyle</v>
      </c>
      <c r="M586" s="15">
        <v>3.2</v>
      </c>
      <c r="N586" s="16" t="s">
        <v>1838</v>
      </c>
      <c r="O586" s="8" t="str">
        <f t="shared" si="1"/>
        <v>9300 S Princeton Ave </v>
      </c>
      <c r="P586" s="12">
        <v>9.0</v>
      </c>
      <c r="Q586" s="13" t="s">
        <v>237</v>
      </c>
    </row>
    <row r="587">
      <c r="A587" s="7">
        <v>610206.0</v>
      </c>
      <c r="B587" s="8" t="s">
        <v>1839</v>
      </c>
      <c r="C587" s="18" t="s">
        <v>1840</v>
      </c>
      <c r="D587" s="19">
        <v>0.053</v>
      </c>
      <c r="E587" s="18" t="s">
        <v>80</v>
      </c>
      <c r="F587" s="18" t="s">
        <v>138</v>
      </c>
      <c r="G587" s="8" t="str">
        <f>VLOOKUP(F587, 'Network Chiefs'!A:B, 2, FALSE)
</f>
        <v>Mira Weber</v>
      </c>
      <c r="H587" s="12">
        <v>49.0</v>
      </c>
      <c r="I587" s="13" t="s">
        <v>20</v>
      </c>
      <c r="J587" s="14" t="s">
        <v>139</v>
      </c>
      <c r="K587" s="14">
        <v>8.0</v>
      </c>
      <c r="L587" s="14" t="str">
        <f t="array" ref="L587">INDEX('School Rep'!$A$2:$A$21, MATCH(J587, 'School Rep'!$B$2:$B$21, 0))</f>
        <v>Angel Gutierrez</v>
      </c>
      <c r="M587" s="15">
        <v>2.5</v>
      </c>
      <c r="N587" s="16" t="s">
        <v>1841</v>
      </c>
      <c r="O587" s="8" t="str">
        <f t="shared" si="1"/>
        <v>5134 S Lotus Ave </v>
      </c>
      <c r="P587" s="12">
        <v>23.0</v>
      </c>
      <c r="Q587" s="13" t="s">
        <v>172</v>
      </c>
    </row>
    <row r="588">
      <c r="A588" s="7">
        <v>400075.0</v>
      </c>
      <c r="B588" s="13" t="s">
        <v>1842</v>
      </c>
      <c r="C588" s="11" t="s">
        <v>1843</v>
      </c>
      <c r="D588" s="10">
        <v>0.048</v>
      </c>
      <c r="E588" s="11" t="s">
        <v>19</v>
      </c>
      <c r="F588" s="11" t="s">
        <v>19</v>
      </c>
      <c r="G588" s="8" t="str">
        <f>VLOOKUP(F588, 'Network Chiefs'!A:B, 2, FALSE)
</f>
        <v>#N/A</v>
      </c>
      <c r="H588" s="15"/>
      <c r="I588" s="8"/>
      <c r="J588" s="14" t="s">
        <v>121</v>
      </c>
      <c r="K588" s="14">
        <v>10.0</v>
      </c>
      <c r="L588" s="14" t="str">
        <f t="array" ref="L588">INDEX('School Rep'!$A$2:$A$21, MATCH(J588, 'School Rep'!$B$2:$B$21, 0))</f>
        <v>Che "Rhymefest" Smith</v>
      </c>
      <c r="M588" s="12">
        <v>3.2</v>
      </c>
      <c r="N588" s="16" t="s">
        <v>1844</v>
      </c>
      <c r="O588" s="8" t="str">
        <f t="shared" si="1"/>
        <v>707 E 37th St </v>
      </c>
      <c r="P588" s="12">
        <v>4.0</v>
      </c>
      <c r="Q588" s="13" t="s">
        <v>123</v>
      </c>
    </row>
    <row r="589">
      <c r="A589" s="7">
        <v>400076.0</v>
      </c>
      <c r="B589" s="13" t="s">
        <v>1845</v>
      </c>
      <c r="C589" s="11" t="s">
        <v>1846</v>
      </c>
      <c r="D589" s="10">
        <v>0.033</v>
      </c>
      <c r="E589" s="11" t="s">
        <v>19</v>
      </c>
      <c r="F589" s="11" t="s">
        <v>19</v>
      </c>
      <c r="G589" s="8" t="str">
        <f>VLOOKUP(F589, 'Network Chiefs'!A:B, 2, FALSE)
</f>
        <v>#N/A</v>
      </c>
      <c r="H589" s="12">
        <v>62.0</v>
      </c>
      <c r="I589" s="13" t="s">
        <v>52</v>
      </c>
      <c r="J589" s="14" t="s">
        <v>121</v>
      </c>
      <c r="K589" s="14">
        <v>10.0</v>
      </c>
      <c r="L589" s="14" t="str">
        <f t="array" ref="L589">INDEX('School Rep'!$A$2:$A$21, MATCH(J589, 'School Rep'!$B$2:$B$21, 0))</f>
        <v>Che "Rhymefest" Smith</v>
      </c>
      <c r="M589" s="12">
        <v>2.9</v>
      </c>
      <c r="N589" s="16" t="s">
        <v>122</v>
      </c>
      <c r="O589" s="8" t="str">
        <f t="shared" si="1"/>
        <v>1119 E 46th St </v>
      </c>
      <c r="P589" s="12">
        <v>4.0</v>
      </c>
      <c r="Q589" s="13" t="s">
        <v>123</v>
      </c>
    </row>
    <row r="590">
      <c r="A590" s="7">
        <v>400077.0</v>
      </c>
      <c r="B590" s="8" t="s">
        <v>1847</v>
      </c>
      <c r="C590" s="18" t="s">
        <v>1848</v>
      </c>
      <c r="D590" s="19">
        <v>0.063</v>
      </c>
      <c r="E590" s="18" t="s">
        <v>19</v>
      </c>
      <c r="F590" s="18" t="s">
        <v>19</v>
      </c>
      <c r="G590" s="8" t="str">
        <f>VLOOKUP(F590, 'Network Chiefs'!A:B, 2, FALSE)
</f>
        <v>#N/A</v>
      </c>
      <c r="H590" s="12">
        <v>42.0</v>
      </c>
      <c r="I590" s="13" t="s">
        <v>20</v>
      </c>
      <c r="J590" s="14" t="s">
        <v>204</v>
      </c>
      <c r="K590" s="14">
        <v>6.0</v>
      </c>
      <c r="L590" s="14" t="str">
        <f t="array" ref="L590">INDEX('School Rep'!$A$2:$A$21, MATCH(J590, 'School Rep'!$B$2:$B$21, 0))</f>
        <v>Jessica Biggs</v>
      </c>
      <c r="M590" s="15">
        <v>3.1</v>
      </c>
      <c r="N590" s="16" t="s">
        <v>1849</v>
      </c>
      <c r="O590" s="8" t="str">
        <f t="shared" si="1"/>
        <v>6300 S University Ave </v>
      </c>
      <c r="P590" s="12">
        <v>20.0</v>
      </c>
      <c r="Q590" s="13" t="s">
        <v>368</v>
      </c>
    </row>
    <row r="591">
      <c r="A591" s="7">
        <v>610394.0</v>
      </c>
      <c r="B591" s="12" t="s">
        <v>1850</v>
      </c>
      <c r="C591" s="9" t="s">
        <v>1851</v>
      </c>
      <c r="D591" s="10">
        <v>0.191</v>
      </c>
      <c r="E591" s="11" t="s">
        <v>80</v>
      </c>
      <c r="F591" s="11" t="s">
        <v>116</v>
      </c>
      <c r="G591" s="8" t="str">
        <f>VLOOKUP(F591, 'Network Chiefs'!A:B, 2, FALSE)
</f>
        <v>Dr. Laura LeMone</v>
      </c>
      <c r="H591" s="12">
        <v>34.0</v>
      </c>
      <c r="I591" s="13" t="s">
        <v>41</v>
      </c>
      <c r="J591" s="14" t="s">
        <v>243</v>
      </c>
      <c r="K591" s="14">
        <v>4.0</v>
      </c>
      <c r="L591" s="14" t="str">
        <f t="array" ref="L591">INDEX('School Rep'!$A$2:$A$21, MATCH(J591, 'School Rep'!$B$2:$B$21, 0))</f>
        <v>Karen Zaccor</v>
      </c>
      <c r="M591" s="12">
        <v>2.9</v>
      </c>
      <c r="N591" s="16" t="s">
        <v>1852</v>
      </c>
      <c r="O591" s="8" t="str">
        <f t="shared" si="1"/>
        <v>900 W Wilson Ave </v>
      </c>
      <c r="P591" s="12">
        <v>46.0</v>
      </c>
      <c r="Q591" s="13" t="s">
        <v>245</v>
      </c>
    </row>
    <row r="592">
      <c r="A592" s="7">
        <v>400105.0</v>
      </c>
      <c r="B592" s="13" t="s">
        <v>1853</v>
      </c>
      <c r="C592" s="11" t="s">
        <v>1854</v>
      </c>
      <c r="D592" s="10">
        <v>0.139</v>
      </c>
      <c r="E592" s="11" t="s">
        <v>19</v>
      </c>
      <c r="F592" s="11" t="s">
        <v>19</v>
      </c>
      <c r="G592" s="8" t="str">
        <f>VLOOKUP(F592, 'Network Chiefs'!A:B, 2, FALSE)
</f>
        <v>#N/A</v>
      </c>
      <c r="H592" s="12">
        <v>64.0</v>
      </c>
      <c r="I592" s="13" t="s">
        <v>52</v>
      </c>
      <c r="J592" s="14" t="s">
        <v>121</v>
      </c>
      <c r="K592" s="14">
        <v>10.0</v>
      </c>
      <c r="L592" s="14" t="str">
        <f t="array" ref="L592">INDEX('School Rep'!$A$2:$A$21, MATCH(J592, 'School Rep'!$B$2:$B$21, 0))</f>
        <v>Che "Rhymefest" Smith</v>
      </c>
      <c r="M592" s="12">
        <v>3.2</v>
      </c>
      <c r="N592" s="16" t="s">
        <v>1855</v>
      </c>
      <c r="O592" s="8" t="str">
        <f t="shared" si="1"/>
        <v>521 E 35th St </v>
      </c>
      <c r="P592" s="12">
        <v>4.0</v>
      </c>
      <c r="Q592" s="13" t="s">
        <v>123</v>
      </c>
    </row>
    <row r="593">
      <c r="A593" s="7">
        <v>400086.0</v>
      </c>
      <c r="B593" s="8" t="s">
        <v>1856</v>
      </c>
      <c r="C593" s="11" t="s">
        <v>1857</v>
      </c>
      <c r="D593" s="10">
        <v>0.178</v>
      </c>
      <c r="E593" s="11" t="s">
        <v>19</v>
      </c>
      <c r="F593" s="11" t="s">
        <v>19</v>
      </c>
      <c r="G593" s="8" t="str">
        <f>VLOOKUP(F593, 'Network Chiefs'!A:B, 2, FALSE)
</f>
        <v>#N/A</v>
      </c>
      <c r="H593" s="12">
        <v>63.0</v>
      </c>
      <c r="I593" s="13" t="s">
        <v>52</v>
      </c>
      <c r="J593" s="14" t="s">
        <v>204</v>
      </c>
      <c r="K593" s="14">
        <v>6.0</v>
      </c>
      <c r="L593" s="14" t="str">
        <f t="array" ref="L593">INDEX('School Rep'!$A$2:$A$21, MATCH(J593, 'School Rep'!$B$2:$B$21, 0))</f>
        <v>Jessica Biggs</v>
      </c>
      <c r="M593" s="15">
        <v>3.4</v>
      </c>
      <c r="N593" s="16" t="s">
        <v>1858</v>
      </c>
      <c r="O593" s="8" t="str">
        <f t="shared" si="1"/>
        <v>6201 S Stewart Ave </v>
      </c>
      <c r="P593" s="12">
        <v>20.0</v>
      </c>
      <c r="Q593" s="13" t="s">
        <v>368</v>
      </c>
    </row>
    <row r="594">
      <c r="A594" s="7">
        <v>610207.0</v>
      </c>
      <c r="B594" s="8" t="s">
        <v>1859</v>
      </c>
      <c r="C594" s="18" t="s">
        <v>1860</v>
      </c>
      <c r="D594" s="19">
        <v>0.0</v>
      </c>
      <c r="E594" s="18" t="s">
        <v>80</v>
      </c>
      <c r="F594" s="18" t="s">
        <v>138</v>
      </c>
      <c r="G594" s="8" t="str">
        <f>VLOOKUP(F594, 'Network Chiefs'!A:B, 2, FALSE)
</f>
        <v>Mira Weber</v>
      </c>
      <c r="H594" s="12">
        <v>39.0</v>
      </c>
      <c r="I594" s="13" t="s">
        <v>41</v>
      </c>
      <c r="J594" s="14" t="s">
        <v>178</v>
      </c>
      <c r="K594" s="14">
        <v>9.0</v>
      </c>
      <c r="L594" s="14" t="str">
        <f t="array" ref="L594">INDEX('School Rep'!$A$2:$A$21, MATCH(J594, 'School Rep'!$B$2:$B$21, 0))</f>
        <v>Therese Boyle</v>
      </c>
      <c r="M594" s="15">
        <v>2.8</v>
      </c>
      <c r="N594" s="16" t="s">
        <v>1861</v>
      </c>
      <c r="O594" s="8" t="str">
        <f t="shared" si="1"/>
        <v>9510 S Prospect Ave </v>
      </c>
      <c r="P594" s="12">
        <v>19.0</v>
      </c>
      <c r="Q594" s="13" t="s">
        <v>180</v>
      </c>
    </row>
    <row r="595">
      <c r="A595" s="7">
        <v>609766.0</v>
      </c>
      <c r="B595" s="8" t="s">
        <v>1862</v>
      </c>
      <c r="C595" s="17" t="s">
        <v>1863</v>
      </c>
      <c r="D595" s="10">
        <v>0.0</v>
      </c>
      <c r="E595" s="11" t="s">
        <v>80</v>
      </c>
      <c r="F595" s="11" t="s">
        <v>116</v>
      </c>
      <c r="G595" s="8" t="str">
        <f>VLOOKUP(F595, 'Network Chiefs'!A:B, 2, FALSE)
</f>
        <v>Dr. Laura LeMone</v>
      </c>
      <c r="H595" s="12">
        <v>67.0</v>
      </c>
      <c r="I595" s="13" t="s">
        <v>52</v>
      </c>
      <c r="J595" s="15" t="s">
        <v>384</v>
      </c>
      <c r="K595" s="15" t="s">
        <v>384</v>
      </c>
      <c r="L595" s="15" t="s">
        <v>384</v>
      </c>
      <c r="M595" s="15" t="s">
        <v>384</v>
      </c>
      <c r="N595" s="16" t="s">
        <v>1864</v>
      </c>
      <c r="O595" s="8" t="str">
        <f t="shared" si="1"/>
        <v>4355 N Linder Ave </v>
      </c>
      <c r="P595" s="12">
        <v>45.0</v>
      </c>
      <c r="Q595" s="13" t="s">
        <v>210</v>
      </c>
    </row>
    <row r="596">
      <c r="A596" s="7">
        <v>609871.0</v>
      </c>
      <c r="B596" s="8" t="s">
        <v>1865</v>
      </c>
      <c r="C596" s="17" t="s">
        <v>1866</v>
      </c>
      <c r="D596" s="10">
        <v>0.0</v>
      </c>
      <c r="E596" s="11" t="s">
        <v>80</v>
      </c>
      <c r="F596" s="11" t="s">
        <v>138</v>
      </c>
      <c r="G596" s="8" t="str">
        <f>VLOOKUP(F596, 'Network Chiefs'!A:B, 2, FALSE)
</f>
        <v>Mira Weber</v>
      </c>
      <c r="H596" s="12">
        <v>63.0</v>
      </c>
      <c r="I596" s="13" t="s">
        <v>52</v>
      </c>
      <c r="J596" s="14" t="s">
        <v>178</v>
      </c>
      <c r="K596" s="14">
        <v>9.0</v>
      </c>
      <c r="L596" s="14" t="str">
        <f t="array" ref="L596">INDEX('School Rep'!$A$2:$A$21, MATCH(J596, 'School Rep'!$B$2:$B$21, 0))</f>
        <v>Therese Boyle</v>
      </c>
      <c r="M596" s="15">
        <v>2.5</v>
      </c>
      <c r="N596" s="16" t="s">
        <v>1867</v>
      </c>
      <c r="O596" s="8" t="str">
        <f t="shared" si="1"/>
        <v>2554 W 113th St </v>
      </c>
      <c r="P596" s="12">
        <v>19.0</v>
      </c>
      <c r="Q596" s="13" t="s">
        <v>180</v>
      </c>
    </row>
    <row r="597">
      <c r="A597" s="7">
        <v>610209.0</v>
      </c>
      <c r="B597" s="13" t="s">
        <v>1868</v>
      </c>
      <c r="C597" s="18" t="s">
        <v>1869</v>
      </c>
      <c r="D597" s="19">
        <v>0.128</v>
      </c>
      <c r="E597" s="18" t="s">
        <v>80</v>
      </c>
      <c r="F597" s="18" t="s">
        <v>97</v>
      </c>
      <c r="G597" s="8" t="str">
        <f>VLOOKUP(F597, 'Network Chiefs'!A:B, 2, FALSE)
</f>
        <v>Julie McGlade</v>
      </c>
      <c r="H597" s="12">
        <v>27.0</v>
      </c>
      <c r="I597" s="13" t="s">
        <v>41</v>
      </c>
      <c r="J597" s="14" t="s">
        <v>87</v>
      </c>
      <c r="K597" s="14">
        <v>2.0</v>
      </c>
      <c r="L597" s="14" t="str">
        <f t="array" ref="L597">INDEX('School Rep'!$A$2:$A$21, MATCH(J597, 'School Rep'!$B$2:$B$21, 0))</f>
        <v>Debby Pope</v>
      </c>
      <c r="M597" s="12">
        <v>2.7</v>
      </c>
      <c r="N597" s="16" t="s">
        <v>1870</v>
      </c>
      <c r="O597" s="8" t="str">
        <f t="shared" si="1"/>
        <v>4950 N Avers Ave </v>
      </c>
      <c r="P597" s="12">
        <v>39.0</v>
      </c>
      <c r="Q597" s="13" t="s">
        <v>224</v>
      </c>
    </row>
    <row r="598">
      <c r="A598" s="7">
        <v>610039.0</v>
      </c>
      <c r="B598" s="12" t="s">
        <v>1871</v>
      </c>
      <c r="C598" s="9" t="s">
        <v>1872</v>
      </c>
      <c r="D598" s="10">
        <v>0.031</v>
      </c>
      <c r="E598" s="11" t="s">
        <v>80</v>
      </c>
      <c r="F598" s="11" t="s">
        <v>102</v>
      </c>
      <c r="G598" s="8" t="str">
        <f>VLOOKUP(F598, 'Network Chiefs'!A:B, 2, FALSE)
</f>
        <v>Jerry Travlos</v>
      </c>
      <c r="H598" s="12">
        <v>50.0</v>
      </c>
      <c r="I598" s="13" t="s">
        <v>20</v>
      </c>
      <c r="J598" s="14" t="s">
        <v>47</v>
      </c>
      <c r="K598" s="14">
        <v>3.0</v>
      </c>
      <c r="L598" s="14" t="str">
        <f t="array" ref="L598">INDEX('School Rep'!$A$2:$A$21, MATCH(J598, 'School Rep'!$B$2:$B$21, 0))</f>
        <v>Norma Rios-Sierra</v>
      </c>
      <c r="M598" s="12">
        <v>2.0</v>
      </c>
      <c r="N598" s="16" t="s">
        <v>1873</v>
      </c>
      <c r="O598" s="8" t="str">
        <f t="shared" si="1"/>
        <v>3221 N Sacramento Ave </v>
      </c>
      <c r="P598" s="12">
        <v>33.0</v>
      </c>
      <c r="Q598" s="13" t="s">
        <v>99</v>
      </c>
    </row>
    <row r="599">
      <c r="A599" s="7">
        <v>609737.0</v>
      </c>
      <c r="B599" s="13" t="s">
        <v>1874</v>
      </c>
      <c r="C599" s="18" t="s">
        <v>1875</v>
      </c>
      <c r="D599" s="19">
        <v>0.031</v>
      </c>
      <c r="E599" s="18" t="s">
        <v>80</v>
      </c>
      <c r="F599" s="18" t="s">
        <v>116</v>
      </c>
      <c r="G599" s="8" t="str">
        <f>VLOOKUP(F599, 'Network Chiefs'!A:B, 2, FALSE)
</f>
        <v>Dr. Laura LeMone</v>
      </c>
      <c r="H599" s="12">
        <v>21.0</v>
      </c>
      <c r="I599" s="13" t="s">
        <v>41</v>
      </c>
      <c r="J599" s="14" t="s">
        <v>87</v>
      </c>
      <c r="K599" s="14">
        <v>2.0</v>
      </c>
      <c r="L599" s="14" t="str">
        <f t="array" ref="L599">INDEX('School Rep'!$A$2:$A$21, MATCH(J599, 'School Rep'!$B$2:$B$21, 0))</f>
        <v>Debby Pope</v>
      </c>
      <c r="M599" s="12">
        <v>1.5</v>
      </c>
      <c r="N599" s="16" t="s">
        <v>1876</v>
      </c>
      <c r="O599" s="8" t="str">
        <f t="shared" si="1"/>
        <v>5039 N Kimball Ave </v>
      </c>
      <c r="P599" s="12">
        <v>39.0</v>
      </c>
      <c r="Q599" s="13" t="s">
        <v>224</v>
      </c>
    </row>
    <row r="600">
      <c r="A600" s="7">
        <v>610366.0</v>
      </c>
      <c r="B600" s="8" t="s">
        <v>1877</v>
      </c>
      <c r="C600" s="18" t="s">
        <v>1878</v>
      </c>
      <c r="D600" s="19">
        <v>0.094</v>
      </c>
      <c r="E600" s="18" t="s">
        <v>80</v>
      </c>
      <c r="F600" s="18" t="s">
        <v>126</v>
      </c>
      <c r="G600" s="8" t="str">
        <f>VLOOKUP(F600, 'Network Chiefs'!A:B, 2, FALSE)
</f>
        <v>#N/A</v>
      </c>
      <c r="H600" s="12">
        <v>64.0</v>
      </c>
      <c r="I600" s="13" t="s">
        <v>52</v>
      </c>
      <c r="J600" s="14" t="s">
        <v>178</v>
      </c>
      <c r="K600" s="14">
        <v>9.0</v>
      </c>
      <c r="L600" s="14" t="str">
        <f t="array" ref="L600">INDEX('School Rep'!$A$2:$A$21, MATCH(J600, 'School Rep'!$B$2:$B$21, 0))</f>
        <v>Therese Boyle</v>
      </c>
      <c r="M600" s="15">
        <v>3.3</v>
      </c>
      <c r="N600" s="16" t="s">
        <v>1879</v>
      </c>
      <c r="O600" s="8" t="str">
        <f t="shared" si="1"/>
        <v>9746 S Morgan St </v>
      </c>
      <c r="P600" s="12">
        <v>21.0</v>
      </c>
      <c r="Q600" s="13" t="s">
        <v>428</v>
      </c>
    </row>
    <row r="601">
      <c r="A601" s="7">
        <v>610213.0</v>
      </c>
      <c r="B601" s="8" t="s">
        <v>1880</v>
      </c>
      <c r="C601" s="18" t="s">
        <v>1881</v>
      </c>
      <c r="D601" s="19">
        <v>0.232</v>
      </c>
      <c r="E601" s="18" t="s">
        <v>80</v>
      </c>
      <c r="F601" s="18" t="s">
        <v>120</v>
      </c>
      <c r="G601" s="8" t="str">
        <f>VLOOKUP(F601, 'Network Chiefs'!A:B, 2, FALSE)
</f>
        <v>Alene Mason</v>
      </c>
      <c r="H601" s="12">
        <v>54.0</v>
      </c>
      <c r="I601" s="13" t="s">
        <v>20</v>
      </c>
      <c r="J601" s="14" t="s">
        <v>204</v>
      </c>
      <c r="K601" s="14">
        <v>6.0</v>
      </c>
      <c r="L601" s="14" t="str">
        <f t="array" ref="L601">INDEX('School Rep'!$A$2:$A$21, MATCH(J601, 'School Rep'!$B$2:$B$21, 0))</f>
        <v>Jessica Biggs</v>
      </c>
      <c r="M601" s="15">
        <v>2.8</v>
      </c>
      <c r="N601" s="16" t="s">
        <v>1882</v>
      </c>
      <c r="O601" s="8" t="str">
        <f t="shared" si="1"/>
        <v>6650 S Ellis Ave </v>
      </c>
      <c r="P601" s="12">
        <v>20.0</v>
      </c>
      <c r="Q601" s="13" t="s">
        <v>368</v>
      </c>
    </row>
    <row r="602">
      <c r="A602" s="7">
        <v>610216.0</v>
      </c>
      <c r="B602" s="8" t="s">
        <v>1883</v>
      </c>
      <c r="C602" s="17" t="s">
        <v>1884</v>
      </c>
      <c r="D602" s="10">
        <v>0.052</v>
      </c>
      <c r="E602" s="11" t="s">
        <v>80</v>
      </c>
      <c r="F602" s="11" t="s">
        <v>529</v>
      </c>
      <c r="G602" s="8" t="str">
        <f>VLOOKUP(F602, 'Network Chiefs'!A:B, 2, FALSE)
</f>
        <v>Dr. Antonio Acevedo</v>
      </c>
      <c r="H602" s="12">
        <v>36.0</v>
      </c>
      <c r="I602" s="13" t="s">
        <v>41</v>
      </c>
      <c r="J602" s="14" t="s">
        <v>42</v>
      </c>
      <c r="K602" s="14">
        <v>7.0</v>
      </c>
      <c r="L602" s="14" t="str">
        <f t="array" ref="L602">INDEX('School Rep'!$A$2:$A$21, MATCH(J602, 'School Rep'!$B$2:$B$21, 0))</f>
        <v>Emma Lozano</v>
      </c>
      <c r="M602" s="15">
        <v>3.2</v>
      </c>
      <c r="N602" s="16" t="s">
        <v>1885</v>
      </c>
      <c r="O602" s="8" t="str">
        <f t="shared" si="1"/>
        <v>2015 S Peoria St </v>
      </c>
      <c r="P602" s="12">
        <v>25.0</v>
      </c>
      <c r="Q602" s="13" t="s">
        <v>44</v>
      </c>
    </row>
    <row r="603">
      <c r="A603" s="7">
        <v>610217.0</v>
      </c>
      <c r="B603" s="8" t="s">
        <v>1886</v>
      </c>
      <c r="C603" s="17" t="s">
        <v>1887</v>
      </c>
      <c r="D603" s="10">
        <v>0.043</v>
      </c>
      <c r="E603" s="11" t="s">
        <v>80</v>
      </c>
      <c r="F603" s="11" t="s">
        <v>301</v>
      </c>
      <c r="G603" s="8" t="str">
        <f>VLOOKUP(F603, 'Network Chiefs'!A:B, 2, FALSE)
</f>
        <v>Dr. Ethan Netterstrom</v>
      </c>
      <c r="H603" s="12">
        <v>59.0</v>
      </c>
      <c r="I603" s="13" t="s">
        <v>20</v>
      </c>
      <c r="J603" s="14" t="s">
        <v>21</v>
      </c>
      <c r="K603" s="14">
        <v>7.0</v>
      </c>
      <c r="L603" s="14" t="str">
        <f t="array" ref="L603">INDEX('School Rep'!$A$2:$A$21, MATCH(J603, 'School Rep'!$B$2:$B$21, 0))</f>
        <v>Yesenia Lopez</v>
      </c>
      <c r="M603" s="15">
        <v>2.8</v>
      </c>
      <c r="N603" s="16" t="s">
        <v>1888</v>
      </c>
      <c r="O603" s="8" t="str">
        <f t="shared" si="1"/>
        <v>2701 S Shields Ave </v>
      </c>
      <c r="P603" s="12">
        <v>11.0</v>
      </c>
      <c r="Q603" s="13" t="s">
        <v>94</v>
      </c>
    </row>
    <row r="604">
      <c r="A604" s="7">
        <v>610133.0</v>
      </c>
      <c r="B604" s="12" t="s">
        <v>1889</v>
      </c>
      <c r="C604" s="18" t="s">
        <v>1890</v>
      </c>
      <c r="D604" s="19">
        <v>0.169</v>
      </c>
      <c r="E604" s="18" t="s">
        <v>80</v>
      </c>
      <c r="F604" s="18" t="s">
        <v>216</v>
      </c>
      <c r="G604" s="8" t="str">
        <f>VLOOKUP(F604, 'Network Chiefs'!A:B, 2, FALSE)
</f>
        <v>Shontae Higginbottom</v>
      </c>
      <c r="H604" s="12">
        <v>34.0</v>
      </c>
      <c r="I604" s="13" t="s">
        <v>41</v>
      </c>
      <c r="J604" s="14" t="s">
        <v>31</v>
      </c>
      <c r="K604" s="14">
        <v>5.0</v>
      </c>
      <c r="L604" s="14" t="str">
        <f t="array" ref="L604">INDEX('School Rep'!$A$2:$A$21, MATCH(J604, 'School Rep'!$B$2:$B$21, 0))</f>
        <v>Aaron "Jitu" Brown</v>
      </c>
      <c r="M604" s="12">
        <v>3.9</v>
      </c>
      <c r="N604" s="16" t="s">
        <v>1891</v>
      </c>
      <c r="O604" s="8" t="str">
        <f t="shared" si="1"/>
        <v>646 N Lawndale Ave </v>
      </c>
      <c r="P604" s="12">
        <v>27.0</v>
      </c>
      <c r="Q604" s="13" t="s">
        <v>219</v>
      </c>
    </row>
    <row r="605">
      <c r="A605" s="7">
        <v>610218.0</v>
      </c>
      <c r="B605" s="13" t="s">
        <v>1892</v>
      </c>
      <c r="C605" s="17" t="s">
        <v>1893</v>
      </c>
      <c r="D605" s="10">
        <v>0.201</v>
      </c>
      <c r="E605" s="11" t="s">
        <v>80</v>
      </c>
      <c r="F605" s="11" t="s">
        <v>144</v>
      </c>
      <c r="G605" s="8" t="str">
        <f>VLOOKUP(F605, 'Network Chiefs'!A:B, 2, FALSE)
</f>
        <v>Shenethe Parks</v>
      </c>
      <c r="H605" s="12">
        <v>72.0</v>
      </c>
      <c r="I605" s="13" t="s">
        <v>52</v>
      </c>
      <c r="J605" s="14" t="s">
        <v>82</v>
      </c>
      <c r="K605" s="14">
        <v>10.0</v>
      </c>
      <c r="L605" s="14" t="str">
        <f t="array" ref="L605">INDEX('School Rep'!$A$2:$A$21, MATCH(J605, 'School Rep'!$B$2:$B$21, 0))</f>
        <v>Olga Bautista</v>
      </c>
      <c r="M605" s="12">
        <v>3.1</v>
      </c>
      <c r="N605" s="16" t="s">
        <v>1894</v>
      </c>
      <c r="O605" s="8" t="str">
        <f t="shared" si="1"/>
        <v>9239 S Jeffery Ave </v>
      </c>
      <c r="P605" s="12">
        <v>7.0</v>
      </c>
      <c r="Q605" s="13" t="s">
        <v>260</v>
      </c>
    </row>
    <row r="606">
      <c r="A606" s="7">
        <v>610219.0</v>
      </c>
      <c r="B606" s="13" t="s">
        <v>1895</v>
      </c>
      <c r="C606" s="18" t="s">
        <v>1896</v>
      </c>
      <c r="D606" s="19">
        <v>0.033</v>
      </c>
      <c r="E606" s="18" t="s">
        <v>80</v>
      </c>
      <c r="F606" s="18" t="s">
        <v>81</v>
      </c>
      <c r="G606" s="8" t="str">
        <f>VLOOKUP(F606, 'Network Chiefs'!A:B, 2, FALSE)
</f>
        <v>Dr. Terrycita D. Perry</v>
      </c>
      <c r="H606" s="12">
        <v>58.0</v>
      </c>
      <c r="I606" s="13" t="s">
        <v>20</v>
      </c>
      <c r="J606" s="14" t="s">
        <v>82</v>
      </c>
      <c r="K606" s="14">
        <v>10.0</v>
      </c>
      <c r="L606" s="14" t="str">
        <f t="array" ref="L606">INDEX('School Rep'!$A$2:$A$21, MATCH(J606, 'School Rep'!$B$2:$B$21, 0))</f>
        <v>Olga Bautista</v>
      </c>
      <c r="M606" s="12">
        <v>3.2</v>
      </c>
      <c r="N606" s="16" t="s">
        <v>1897</v>
      </c>
      <c r="O606" s="8" t="str">
        <f t="shared" si="1"/>
        <v>3611 E 114th St </v>
      </c>
      <c r="P606" s="12">
        <v>10.0</v>
      </c>
      <c r="Q606" s="13" t="s">
        <v>84</v>
      </c>
    </row>
    <row r="607">
      <c r="A607" s="7">
        <v>610124.0</v>
      </c>
      <c r="B607" s="13" t="s">
        <v>1898</v>
      </c>
      <c r="C607" s="18" t="s">
        <v>1899</v>
      </c>
      <c r="D607" s="19">
        <v>0.137</v>
      </c>
      <c r="E607" s="18" t="s">
        <v>80</v>
      </c>
      <c r="F607" s="18" t="s">
        <v>144</v>
      </c>
      <c r="G607" s="8" t="str">
        <f>VLOOKUP(F607, 'Network Chiefs'!A:B, 2, FALSE)
</f>
        <v>Shenethe Parks</v>
      </c>
      <c r="H607" s="12">
        <v>49.0</v>
      </c>
      <c r="I607" s="13" t="s">
        <v>20</v>
      </c>
      <c r="J607" s="14" t="s">
        <v>82</v>
      </c>
      <c r="K607" s="14">
        <v>10.0</v>
      </c>
      <c r="L607" s="14" t="str">
        <f t="array" ref="L607">INDEX('School Rep'!$A$2:$A$21, MATCH(J607, 'School Rep'!$B$2:$B$21, 0))</f>
        <v>Olga Bautista</v>
      </c>
      <c r="M607" s="12">
        <v>3.3</v>
      </c>
      <c r="N607" s="16" t="s">
        <v>1900</v>
      </c>
      <c r="O607" s="8" t="str">
        <f t="shared" si="1"/>
        <v>9130 S University Ave </v>
      </c>
      <c r="P607" s="12">
        <v>8.0</v>
      </c>
      <c r="Q607" s="13" t="s">
        <v>135</v>
      </c>
    </row>
    <row r="608">
      <c r="A608" s="7">
        <v>609739.0</v>
      </c>
      <c r="B608" s="13" t="s">
        <v>1901</v>
      </c>
      <c r="C608" s="9" t="s">
        <v>1902</v>
      </c>
      <c r="D608" s="10">
        <v>0.095</v>
      </c>
      <c r="E608" s="11" t="s">
        <v>80</v>
      </c>
      <c r="F608" s="11" t="s">
        <v>263</v>
      </c>
      <c r="G608" s="8" t="str">
        <f>VLOOKUP(F608, 'Network Chiefs'!A:B, 2, FALSE)
</f>
        <v>Myron Hester</v>
      </c>
      <c r="H608" s="15"/>
      <c r="I608" s="8"/>
      <c r="J608" s="14" t="s">
        <v>82</v>
      </c>
      <c r="K608" s="14">
        <v>10.0</v>
      </c>
      <c r="L608" s="14" t="str">
        <f t="array" ref="L608">INDEX('School Rep'!$A$2:$A$21, MATCH(J608, 'School Rep'!$B$2:$B$21, 0))</f>
        <v>Olga Bautista</v>
      </c>
      <c r="M608" s="12">
        <v>2.6</v>
      </c>
      <c r="N608" s="16" t="s">
        <v>1903</v>
      </c>
      <c r="O608" s="8" t="str">
        <f t="shared" si="1"/>
        <v>3535 E 114th St </v>
      </c>
      <c r="P608" s="12">
        <v>10.0</v>
      </c>
      <c r="Q608" s="13" t="s">
        <v>84</v>
      </c>
    </row>
    <row r="609">
      <c r="A609" s="7">
        <v>610220.0</v>
      </c>
      <c r="B609" s="13" t="s">
        <v>1904</v>
      </c>
      <c r="C609" s="18" t="s">
        <v>1905</v>
      </c>
      <c r="D609" s="19">
        <v>0.041</v>
      </c>
      <c r="E609" s="18" t="s">
        <v>80</v>
      </c>
      <c r="F609" s="18" t="s">
        <v>270</v>
      </c>
      <c r="G609" s="8" t="str">
        <f>VLOOKUP(F609, 'Network Chiefs'!A:B, 2, FALSE)
</f>
        <v>Marilou Rebolledo</v>
      </c>
      <c r="H609" s="12">
        <v>53.0</v>
      </c>
      <c r="I609" s="13" t="s">
        <v>20</v>
      </c>
      <c r="J609" s="14" t="s">
        <v>87</v>
      </c>
      <c r="K609" s="14">
        <v>2.0</v>
      </c>
      <c r="L609" s="14" t="str">
        <f t="array" ref="L609">INDEX('School Rep'!$A$2:$A$21, MATCH(J609, 'School Rep'!$B$2:$B$21, 0))</f>
        <v>Debby Pope</v>
      </c>
      <c r="M609" s="12">
        <v>1.8</v>
      </c>
      <c r="N609" s="16" t="s">
        <v>1906</v>
      </c>
      <c r="O609" s="8" t="str">
        <f t="shared" si="1"/>
        <v>4540 N Campbell Ave </v>
      </c>
      <c r="P609" s="12">
        <v>47.0</v>
      </c>
      <c r="Q609" s="13" t="s">
        <v>228</v>
      </c>
    </row>
    <row r="610">
      <c r="A610" s="7">
        <v>610221.0</v>
      </c>
      <c r="B610" s="8" t="s">
        <v>1907</v>
      </c>
      <c r="C610" s="18" t="s">
        <v>1908</v>
      </c>
      <c r="D610" s="19">
        <v>0.088</v>
      </c>
      <c r="E610" s="18" t="s">
        <v>80</v>
      </c>
      <c r="F610" s="18" t="s">
        <v>216</v>
      </c>
      <c r="G610" s="8" t="str">
        <f>VLOOKUP(F610, 'Network Chiefs'!A:B, 2, FALSE)
</f>
        <v>Shontae Higginbottom</v>
      </c>
      <c r="H610" s="12">
        <v>55.0</v>
      </c>
      <c r="I610" s="13" t="s">
        <v>20</v>
      </c>
      <c r="J610" s="14" t="s">
        <v>217</v>
      </c>
      <c r="K610" s="14">
        <v>5.0</v>
      </c>
      <c r="L610" s="14" t="str">
        <f t="array" ref="L610">INDEX('School Rep'!$A$2:$A$21, MATCH(J610, 'School Rep'!$B$2:$B$21, 0))</f>
        <v>Michilla Blaise</v>
      </c>
      <c r="M610" s="15">
        <v>3.3</v>
      </c>
      <c r="N610" s="16" t="s">
        <v>1909</v>
      </c>
      <c r="O610" s="8" t="str">
        <f t="shared" si="1"/>
        <v>4055 W Arthington St </v>
      </c>
      <c r="P610" s="12">
        <v>24.0</v>
      </c>
      <c r="Q610" s="13" t="s">
        <v>517</v>
      </c>
    </row>
    <row r="611">
      <c r="A611" s="7">
        <v>610110.0</v>
      </c>
      <c r="B611" s="8" t="s">
        <v>1910</v>
      </c>
      <c r="C611" s="18" t="s">
        <v>1911</v>
      </c>
      <c r="D611" s="19">
        <v>0.114</v>
      </c>
      <c r="E611" s="18" t="s">
        <v>80</v>
      </c>
      <c r="F611" s="18" t="s">
        <v>120</v>
      </c>
      <c r="G611" s="8" t="str">
        <f>VLOOKUP(F611, 'Network Chiefs'!A:B, 2, FALSE)
</f>
        <v>Alene Mason</v>
      </c>
      <c r="H611" s="12">
        <v>65.0</v>
      </c>
      <c r="I611" s="13" t="s">
        <v>52</v>
      </c>
      <c r="J611" s="14" t="s">
        <v>204</v>
      </c>
      <c r="K611" s="14">
        <v>6.0</v>
      </c>
      <c r="L611" s="14" t="str">
        <f t="array" ref="L611">INDEX('School Rep'!$A$2:$A$21, MATCH(J611, 'School Rep'!$B$2:$B$21, 0))</f>
        <v>Jessica Biggs</v>
      </c>
      <c r="M611" s="15">
        <v>2.8</v>
      </c>
      <c r="N611" s="16" t="s">
        <v>1912</v>
      </c>
      <c r="O611" s="8" t="str">
        <f t="shared" si="1"/>
        <v>249 E 37th St </v>
      </c>
      <c r="P611" s="12">
        <v>3.0</v>
      </c>
      <c r="Q611" s="13" t="s">
        <v>206</v>
      </c>
    </row>
    <row r="612">
      <c r="A612" s="7">
        <v>609740.0</v>
      </c>
      <c r="B612" s="12" t="s">
        <v>1913</v>
      </c>
      <c r="C612" s="17" t="s">
        <v>1914</v>
      </c>
      <c r="D612" s="10">
        <v>0.268</v>
      </c>
      <c r="E612" s="11" t="s">
        <v>80</v>
      </c>
      <c r="F612" s="11" t="s">
        <v>108</v>
      </c>
      <c r="G612" s="8" t="str">
        <f>VLOOKUP(F612, 'Network Chiefs'!A:B, 2, FALSE)
</f>
        <v>Michael Boraz</v>
      </c>
      <c r="H612" s="12">
        <v>40.0</v>
      </c>
      <c r="I612" s="13" t="s">
        <v>20</v>
      </c>
      <c r="J612" s="14" t="s">
        <v>217</v>
      </c>
      <c r="K612" s="14">
        <v>5.0</v>
      </c>
      <c r="L612" s="14" t="str">
        <f t="array" ref="L612">INDEX('School Rep'!$A$2:$A$21, MATCH(J612, 'School Rep'!$B$2:$B$21, 0))</f>
        <v>Michilla Blaise</v>
      </c>
      <c r="M612" s="12">
        <v>2.6</v>
      </c>
      <c r="N612" s="16" t="s">
        <v>1915</v>
      </c>
      <c r="O612" s="8" t="str">
        <f t="shared" si="1"/>
        <v>936 N Ashland Ave </v>
      </c>
      <c r="P612" s="12">
        <v>1.0</v>
      </c>
      <c r="Q612" s="13" t="s">
        <v>275</v>
      </c>
    </row>
    <row r="613">
      <c r="A613" s="7">
        <v>610223.0</v>
      </c>
      <c r="B613" s="8" t="s">
        <v>1916</v>
      </c>
      <c r="C613" s="18" t="s">
        <v>1917</v>
      </c>
      <c r="D613" s="19">
        <v>0.235</v>
      </c>
      <c r="E613" s="18" t="s">
        <v>80</v>
      </c>
      <c r="F613" s="18" t="s">
        <v>186</v>
      </c>
      <c r="G613" s="8" t="str">
        <f>VLOOKUP(F613, 'Network Chiefs'!A:B, 2, FALSE)
</f>
        <v>Latasha Geverola</v>
      </c>
      <c r="H613" s="12">
        <v>18.0</v>
      </c>
      <c r="I613" s="13" t="s">
        <v>30</v>
      </c>
      <c r="J613" s="14" t="s">
        <v>187</v>
      </c>
      <c r="K613" s="14">
        <v>9.0</v>
      </c>
      <c r="L613" s="14" t="str">
        <f t="array" ref="L613">INDEX('School Rep'!$A$2:$A$21, MATCH(J613, 'School Rep'!$B$2:$B$21, 0))</f>
        <v>Frank Niles Thomas</v>
      </c>
      <c r="M613" s="15">
        <v>4.2</v>
      </c>
      <c r="N613" s="16" t="s">
        <v>1918</v>
      </c>
      <c r="O613" s="8" t="str">
        <f t="shared" si="1"/>
        <v>1340 W 71st St </v>
      </c>
      <c r="P613" s="12">
        <v>17.0</v>
      </c>
      <c r="Q613" s="13" t="s">
        <v>189</v>
      </c>
    </row>
    <row r="614">
      <c r="A614" s="7">
        <v>610100.0</v>
      </c>
      <c r="B614" s="12" t="s">
        <v>1919</v>
      </c>
      <c r="C614" s="18" t="s">
        <v>1920</v>
      </c>
      <c r="D614" s="19">
        <v>0.137</v>
      </c>
      <c r="E614" s="18" t="s">
        <v>80</v>
      </c>
      <c r="F614" s="18" t="s">
        <v>216</v>
      </c>
      <c r="G614" s="8" t="str">
        <f>VLOOKUP(F614, 'Network Chiefs'!A:B, 2, FALSE)
</f>
        <v>Shontae Higginbottom</v>
      </c>
      <c r="H614" s="12">
        <v>67.0</v>
      </c>
      <c r="I614" s="13" t="s">
        <v>52</v>
      </c>
      <c r="J614" s="14" t="s">
        <v>232</v>
      </c>
      <c r="K614" s="14">
        <v>3.0</v>
      </c>
      <c r="L614" s="14" t="str">
        <f t="array" ref="L614">INDEX('School Rep'!$A$2:$A$21, MATCH(J614, 'School Rep'!$B$2:$B$21, 0))</f>
        <v>Carlos Rivas</v>
      </c>
      <c r="M614" s="12">
        <v>3.7</v>
      </c>
      <c r="N614" s="16" t="s">
        <v>1921</v>
      </c>
      <c r="O614" s="8" t="str">
        <f t="shared" si="1"/>
        <v>1425 N Tripp Ave </v>
      </c>
      <c r="P614" s="12">
        <v>36.0</v>
      </c>
      <c r="Q614" s="13" t="s">
        <v>67</v>
      </c>
    </row>
    <row r="615">
      <c r="A615" s="7">
        <v>610542.0</v>
      </c>
      <c r="B615" s="13" t="s">
        <v>1922</v>
      </c>
      <c r="C615" s="17" t="s">
        <v>1923</v>
      </c>
      <c r="D615" s="10">
        <v>0.166</v>
      </c>
      <c r="E615" s="11" t="s">
        <v>80</v>
      </c>
      <c r="F615" s="11" t="s">
        <v>126</v>
      </c>
      <c r="G615" s="8" t="str">
        <f>VLOOKUP(F615, 'Network Chiefs'!A:B, 2, FALSE)
</f>
        <v>#N/A</v>
      </c>
      <c r="H615" s="12">
        <v>34.0</v>
      </c>
      <c r="I615" s="13" t="s">
        <v>41</v>
      </c>
      <c r="J615" s="14" t="s">
        <v>36</v>
      </c>
      <c r="K615" s="14">
        <v>2.0</v>
      </c>
      <c r="L615" s="14" t="str">
        <f t="array" ref="L615">INDEX('School Rep'!$A$2:$A$21, MATCH(J615, 'School Rep'!$B$2:$B$21, 0))</f>
        <v>Ebony DeBerry</v>
      </c>
      <c r="M615" s="12">
        <v>2.4</v>
      </c>
      <c r="N615" s="16" t="s">
        <v>1924</v>
      </c>
      <c r="O615" s="8" t="str">
        <f t="shared" si="1"/>
        <v>6700 N Whipple St </v>
      </c>
      <c r="P615" s="12">
        <v>50.0</v>
      </c>
      <c r="Q615" s="13" t="s">
        <v>131</v>
      </c>
    </row>
    <row r="616">
      <c r="A616" s="7">
        <v>610300.0</v>
      </c>
      <c r="B616" s="13" t="s">
        <v>1925</v>
      </c>
      <c r="C616" s="9" t="s">
        <v>1926</v>
      </c>
      <c r="D616" s="10">
        <v>0.122</v>
      </c>
      <c r="E616" s="11" t="s">
        <v>80</v>
      </c>
      <c r="F616" s="11" t="s">
        <v>186</v>
      </c>
      <c r="G616" s="8" t="str">
        <f>VLOOKUP(F616, 'Network Chiefs'!A:B, 2, FALSE)
</f>
        <v>Latasha Geverola</v>
      </c>
      <c r="H616" s="12">
        <v>51.0</v>
      </c>
      <c r="I616" s="13" t="s">
        <v>20</v>
      </c>
      <c r="J616" s="14" t="s">
        <v>82</v>
      </c>
      <c r="K616" s="14">
        <v>10.0</v>
      </c>
      <c r="L616" s="14" t="str">
        <f t="array" ref="L616">INDEX('School Rep'!$A$2:$A$21, MATCH(J616, 'School Rep'!$B$2:$B$21, 0))</f>
        <v>Olga Bautista</v>
      </c>
      <c r="M616" s="12">
        <v>4.1</v>
      </c>
      <c r="N616" s="16" t="s">
        <v>1927</v>
      </c>
      <c r="O616" s="8" t="str">
        <f t="shared" si="1"/>
        <v>409 W 80th St </v>
      </c>
      <c r="P616" s="12">
        <v>6.0</v>
      </c>
      <c r="Q616" s="13" t="s">
        <v>306</v>
      </c>
    </row>
    <row r="617">
      <c r="A617" s="7">
        <v>609693.0</v>
      </c>
      <c r="B617" s="12" t="s">
        <v>1928</v>
      </c>
      <c r="C617" s="18" t="s">
        <v>1929</v>
      </c>
      <c r="D617" s="19">
        <v>0.032</v>
      </c>
      <c r="E617" s="18" t="s">
        <v>80</v>
      </c>
      <c r="F617" s="18" t="s">
        <v>108</v>
      </c>
      <c r="G617" s="8" t="str">
        <f>VLOOKUP(F617, 'Network Chiefs'!A:B, 2, FALSE)
</f>
        <v>Michael Boraz</v>
      </c>
      <c r="H617" s="12">
        <v>65.0</v>
      </c>
      <c r="I617" s="13" t="s">
        <v>52</v>
      </c>
      <c r="J617" s="14" t="s">
        <v>217</v>
      </c>
      <c r="K617" s="14">
        <v>5.0</v>
      </c>
      <c r="L617" s="14" t="str">
        <f t="array" ref="L617">INDEX('School Rep'!$A$2:$A$21, MATCH(J617, 'School Rep'!$B$2:$B$21, 0))</f>
        <v>Michilla Blaise</v>
      </c>
      <c r="M617" s="12">
        <v>2.8</v>
      </c>
      <c r="N617" s="16" t="s">
        <v>1930</v>
      </c>
      <c r="O617" s="8" t="str">
        <f t="shared" si="1"/>
        <v>3223 W Franklin Blvd </v>
      </c>
      <c r="P617" s="12">
        <v>28.0</v>
      </c>
      <c r="Q617" s="13" t="s">
        <v>399</v>
      </c>
    </row>
    <row r="618">
      <c r="A618" s="7">
        <v>610225.0</v>
      </c>
      <c r="B618" s="8" t="s">
        <v>1931</v>
      </c>
      <c r="C618" s="9" t="s">
        <v>1932</v>
      </c>
      <c r="D618" s="10">
        <v>0.112</v>
      </c>
      <c r="E618" s="11" t="s">
        <v>80</v>
      </c>
      <c r="F618" s="11" t="s">
        <v>81</v>
      </c>
      <c r="G618" s="8" t="str">
        <f>VLOOKUP(F618, 'Network Chiefs'!A:B, 2, FALSE)
</f>
        <v>Dr. Terrycita D. Perry</v>
      </c>
      <c r="H618" s="12">
        <v>30.0</v>
      </c>
      <c r="I618" s="13" t="s">
        <v>41</v>
      </c>
      <c r="J618" s="14" t="s">
        <v>178</v>
      </c>
      <c r="K618" s="14">
        <v>9.0</v>
      </c>
      <c r="L618" s="14" t="str">
        <f t="array" ref="L618">INDEX('School Rep'!$A$2:$A$21, MATCH(J618, 'School Rep'!$B$2:$B$21, 0))</f>
        <v>Therese Boyle</v>
      </c>
      <c r="M618" s="15">
        <v>3.9</v>
      </c>
      <c r="N618" s="16" t="s">
        <v>1933</v>
      </c>
      <c r="O618" s="8" t="str">
        <f t="shared" si="1"/>
        <v>11533 S Ada St </v>
      </c>
      <c r="P618" s="12">
        <v>21.0</v>
      </c>
      <c r="Q618" s="13" t="s">
        <v>428</v>
      </c>
    </row>
    <row r="619">
      <c r="A619" s="7">
        <v>610315.0</v>
      </c>
      <c r="B619" s="8" t="s">
        <v>1934</v>
      </c>
      <c r="C619" s="18" t="s">
        <v>1935</v>
      </c>
      <c r="D619" s="19">
        <v>0.254</v>
      </c>
      <c r="E619" s="18" t="s">
        <v>80</v>
      </c>
      <c r="F619" s="18" t="s">
        <v>81</v>
      </c>
      <c r="G619" s="8" t="str">
        <f>VLOOKUP(F619, 'Network Chiefs'!A:B, 2, FALSE)
</f>
        <v>Dr. Terrycita D. Perry</v>
      </c>
      <c r="H619" s="12">
        <v>73.0</v>
      </c>
      <c r="I619" s="13" t="s">
        <v>52</v>
      </c>
      <c r="J619" s="14" t="s">
        <v>178</v>
      </c>
      <c r="K619" s="14">
        <v>9.0</v>
      </c>
      <c r="L619" s="14" t="str">
        <f t="array" ref="L619">INDEX('School Rep'!$A$2:$A$21, MATCH(J619, 'School Rep'!$B$2:$B$21, 0))</f>
        <v>Therese Boyle</v>
      </c>
      <c r="M619" s="15">
        <v>3.1</v>
      </c>
      <c r="N619" s="16" t="s">
        <v>1936</v>
      </c>
      <c r="O619" s="8" t="str">
        <f t="shared" si="1"/>
        <v>1136 W 122Nd St </v>
      </c>
      <c r="P619" s="12">
        <v>21.0</v>
      </c>
      <c r="Q619" s="13" t="s">
        <v>428</v>
      </c>
    </row>
    <row r="620">
      <c r="A620" s="7">
        <v>610227.0</v>
      </c>
      <c r="B620" s="8" t="s">
        <v>1937</v>
      </c>
      <c r="C620" s="18" t="s">
        <v>1938</v>
      </c>
      <c r="D620" s="19">
        <v>0.088</v>
      </c>
      <c r="E620" s="18" t="s">
        <v>80</v>
      </c>
      <c r="F620" s="18" t="s">
        <v>529</v>
      </c>
      <c r="G620" s="8" t="str">
        <f>VLOOKUP(F620, 'Network Chiefs'!A:B, 2, FALSE)
</f>
        <v>Dr. Antonio Acevedo</v>
      </c>
      <c r="H620" s="12">
        <v>53.0</v>
      </c>
      <c r="I620" s="13" t="s">
        <v>20</v>
      </c>
      <c r="J620" s="14" t="s">
        <v>42</v>
      </c>
      <c r="K620" s="14">
        <v>7.0</v>
      </c>
      <c r="L620" s="14" t="str">
        <f t="array" ref="L620">INDEX('School Rep'!$A$2:$A$21, MATCH(J620, 'School Rep'!$B$2:$B$21, 0))</f>
        <v>Emma Lozano</v>
      </c>
      <c r="M620" s="15">
        <v>3.3</v>
      </c>
      <c r="N620" s="16" t="s">
        <v>1939</v>
      </c>
      <c r="O620" s="8" t="str">
        <f t="shared" si="1"/>
        <v>2815 S Komensky Ave </v>
      </c>
      <c r="P620" s="12">
        <v>22.0</v>
      </c>
      <c r="Q620" s="13" t="s">
        <v>353</v>
      </c>
    </row>
    <row r="621">
      <c r="A621" s="7">
        <v>610228.0</v>
      </c>
      <c r="B621" s="8" t="s">
        <v>1940</v>
      </c>
      <c r="C621" s="18" t="s">
        <v>1941</v>
      </c>
      <c r="D621" s="19">
        <v>0.112</v>
      </c>
      <c r="E621" s="18" t="s">
        <v>80</v>
      </c>
      <c r="F621" s="18" t="s">
        <v>529</v>
      </c>
      <c r="G621" s="8" t="str">
        <f>VLOOKUP(F621, 'Network Chiefs'!A:B, 2, FALSE)
</f>
        <v>Dr. Antonio Acevedo</v>
      </c>
      <c r="H621" s="12">
        <v>60.0</v>
      </c>
      <c r="I621" s="13" t="s">
        <v>52</v>
      </c>
      <c r="J621" s="14" t="s">
        <v>42</v>
      </c>
      <c r="K621" s="14">
        <v>7.0</v>
      </c>
      <c r="L621" s="14" t="str">
        <f t="array" ref="L621">INDEX('School Rep'!$A$2:$A$21, MATCH(J621, 'School Rep'!$B$2:$B$21, 0))</f>
        <v>Emma Lozano</v>
      </c>
      <c r="M621" s="15">
        <v>3.4</v>
      </c>
      <c r="N621" s="16" t="s">
        <v>1942</v>
      </c>
      <c r="O621" s="8" t="str">
        <f t="shared" si="1"/>
        <v>1900 W 23rd St </v>
      </c>
      <c r="P621" s="12">
        <v>25.0</v>
      </c>
      <c r="Q621" s="13" t="s">
        <v>44</v>
      </c>
    </row>
    <row r="622">
      <c r="A622" s="7">
        <v>610230.0</v>
      </c>
      <c r="B622" s="13" t="s">
        <v>1943</v>
      </c>
      <c r="C622" s="18" t="s">
        <v>1944</v>
      </c>
      <c r="D622" s="19">
        <v>0.028</v>
      </c>
      <c r="E622" s="18" t="s">
        <v>80</v>
      </c>
      <c r="F622" s="18" t="s">
        <v>97</v>
      </c>
      <c r="G622" s="8" t="str">
        <f>VLOOKUP(F622, 'Network Chiefs'!A:B, 2, FALSE)
</f>
        <v>Julie McGlade</v>
      </c>
      <c r="H622" s="12">
        <v>35.0</v>
      </c>
      <c r="I622" s="13" t="s">
        <v>41</v>
      </c>
      <c r="J622" s="14" t="s">
        <v>199</v>
      </c>
      <c r="K622" s="14">
        <v>1.0</v>
      </c>
      <c r="L622" s="14" t="str">
        <f t="array" ref="L622">INDEX('School Rep'!$A$2:$A$21, MATCH(J622, 'School Rep'!$B$2:$B$21, 0))</f>
        <v>Ed Bannon</v>
      </c>
      <c r="M622" s="12">
        <v>1.6</v>
      </c>
      <c r="N622" s="16" t="s">
        <v>1945</v>
      </c>
      <c r="O622" s="8" t="str">
        <f t="shared" si="1"/>
        <v>6950 N Hiawatha Ave </v>
      </c>
      <c r="P622" s="12">
        <v>45.0</v>
      </c>
      <c r="Q622" s="13" t="s">
        <v>210</v>
      </c>
    </row>
    <row r="623">
      <c r="A623" s="7">
        <v>610380.0</v>
      </c>
      <c r="B623" s="8" t="s">
        <v>1946</v>
      </c>
      <c r="C623" s="9" t="s">
        <v>1947</v>
      </c>
      <c r="D623" s="10">
        <v>0.0</v>
      </c>
      <c r="E623" s="11" t="s">
        <v>80</v>
      </c>
      <c r="F623" s="11" t="s">
        <v>263</v>
      </c>
      <c r="G623" s="8" t="str">
        <f>VLOOKUP(F623, 'Network Chiefs'!A:B, 2, FALSE)
</f>
        <v>Myron Hester</v>
      </c>
      <c r="H623" s="12">
        <v>49.0</v>
      </c>
      <c r="I623" s="13" t="s">
        <v>20</v>
      </c>
      <c r="J623" s="14" t="s">
        <v>204</v>
      </c>
      <c r="K623" s="14">
        <v>6.0</v>
      </c>
      <c r="L623" s="14" t="str">
        <f t="array" ref="L623">INDEX('School Rep'!$A$2:$A$21, MATCH(J623, 'School Rep'!$B$2:$B$21, 0))</f>
        <v>Jessica Biggs</v>
      </c>
      <c r="M623" s="15">
        <v>3.3</v>
      </c>
      <c r="N623" s="16" t="s">
        <v>292</v>
      </c>
      <c r="O623" s="8" t="str">
        <f t="shared" si="1"/>
        <v>4934 S Wabash Ave </v>
      </c>
      <c r="P623" s="12">
        <v>3.0</v>
      </c>
      <c r="Q623" s="13" t="s">
        <v>206</v>
      </c>
    </row>
    <row r="624">
      <c r="A624" s="7">
        <v>609977.0</v>
      </c>
      <c r="B624" s="13" t="s">
        <v>1948</v>
      </c>
      <c r="C624" s="18" t="s">
        <v>1949</v>
      </c>
      <c r="D624" s="19">
        <v>0.08</v>
      </c>
      <c r="E624" s="18" t="s">
        <v>80</v>
      </c>
      <c r="F624" s="18" t="s">
        <v>120</v>
      </c>
      <c r="G624" s="8" t="str">
        <f>VLOOKUP(F624, 'Network Chiefs'!A:B, 2, FALSE)
</f>
        <v>Alene Mason</v>
      </c>
      <c r="H624" s="12">
        <v>69.0</v>
      </c>
      <c r="I624" s="13" t="s">
        <v>52</v>
      </c>
      <c r="J624" s="14" t="s">
        <v>121</v>
      </c>
      <c r="K624" s="14">
        <v>10.0</v>
      </c>
      <c r="L624" s="14" t="str">
        <f t="array" ref="L624">INDEX('School Rep'!$A$2:$A$21, MATCH(J624, 'School Rep'!$B$2:$B$21, 0))</f>
        <v>Che "Rhymefest" Smith</v>
      </c>
      <c r="M624" s="12">
        <v>3.3</v>
      </c>
      <c r="N624" s="16" t="s">
        <v>1950</v>
      </c>
      <c r="O624" s="8" t="str">
        <f t="shared" si="1"/>
        <v>6657 S Kimbark Ave </v>
      </c>
      <c r="P624" s="12">
        <v>20.0</v>
      </c>
      <c r="Q624" s="13" t="s">
        <v>368</v>
      </c>
    </row>
    <row r="625">
      <c r="A625" s="7">
        <v>610345.0</v>
      </c>
      <c r="B625" s="8" t="s">
        <v>1951</v>
      </c>
      <c r="C625" s="18" t="s">
        <v>1952</v>
      </c>
      <c r="D625" s="19">
        <v>0.244</v>
      </c>
      <c r="E625" s="18" t="s">
        <v>80</v>
      </c>
      <c r="F625" s="18" t="s">
        <v>120</v>
      </c>
      <c r="G625" s="8" t="str">
        <f>VLOOKUP(F625, 'Network Chiefs'!A:B, 2, FALSE)
</f>
        <v>Alene Mason</v>
      </c>
      <c r="H625" s="12">
        <v>65.0</v>
      </c>
      <c r="I625" s="13" t="s">
        <v>52</v>
      </c>
      <c r="J625" s="14" t="s">
        <v>204</v>
      </c>
      <c r="K625" s="14">
        <v>6.0</v>
      </c>
      <c r="L625" s="14" t="str">
        <f t="array" ref="L625">INDEX('School Rep'!$A$2:$A$21, MATCH(J625, 'School Rep'!$B$2:$B$21, 0))</f>
        <v>Jessica Biggs</v>
      </c>
      <c r="M625" s="15">
        <v>3.6</v>
      </c>
      <c r="N625" s="16" t="s">
        <v>1953</v>
      </c>
      <c r="O625" s="8" t="str">
        <f t="shared" si="1"/>
        <v>4414 S Evans Ave </v>
      </c>
      <c r="P625" s="12">
        <v>3.0</v>
      </c>
      <c r="Q625" s="13" t="s">
        <v>206</v>
      </c>
    </row>
    <row r="626">
      <c r="A626" s="7">
        <v>610392.0</v>
      </c>
      <c r="B626" s="8" t="s">
        <v>1954</v>
      </c>
      <c r="C626" s="11" t="s">
        <v>1955</v>
      </c>
      <c r="D626" s="10">
        <v>0.045</v>
      </c>
      <c r="E626" s="11" t="s">
        <v>80</v>
      </c>
      <c r="F626" s="11" t="s">
        <v>108</v>
      </c>
      <c r="G626" s="8" t="str">
        <f>VLOOKUP(F626, 'Network Chiefs'!A:B, 2, FALSE)
</f>
        <v>Michael Boraz</v>
      </c>
      <c r="H626" s="12">
        <v>25.0</v>
      </c>
      <c r="I626" s="13" t="s">
        <v>41</v>
      </c>
      <c r="J626" s="14" t="s">
        <v>42</v>
      </c>
      <c r="K626" s="14">
        <v>7.0</v>
      </c>
      <c r="L626" s="14" t="str">
        <f t="array" ref="L626">INDEX('School Rep'!$A$2:$A$21, MATCH(J626, 'School Rep'!$B$2:$B$21, 0))</f>
        <v>Emma Lozano</v>
      </c>
      <c r="M626" s="15">
        <v>3.2</v>
      </c>
      <c r="N626" s="16" t="s">
        <v>964</v>
      </c>
      <c r="O626" s="8" t="str">
        <f t="shared" si="1"/>
        <v>3120 S Kostner Ave </v>
      </c>
      <c r="P626" s="12">
        <v>22.0</v>
      </c>
      <c r="Q626" s="13" t="s">
        <v>353</v>
      </c>
    </row>
    <row r="627">
      <c r="A627" s="7">
        <v>610234.0</v>
      </c>
      <c r="B627" s="12" t="s">
        <v>1956</v>
      </c>
      <c r="C627" s="17" t="s">
        <v>1957</v>
      </c>
      <c r="D627" s="10">
        <v>0.208</v>
      </c>
      <c r="E627" s="11" t="s">
        <v>80</v>
      </c>
      <c r="F627" s="11" t="s">
        <v>216</v>
      </c>
      <c r="G627" s="8" t="str">
        <f>VLOOKUP(F627, 'Network Chiefs'!A:B, 2, FALSE)
</f>
        <v>Shontae Higginbottom</v>
      </c>
      <c r="H627" s="12">
        <v>42.0</v>
      </c>
      <c r="I627" s="13" t="s">
        <v>20</v>
      </c>
      <c r="J627" s="14" t="s">
        <v>232</v>
      </c>
      <c r="K627" s="14">
        <v>3.0</v>
      </c>
      <c r="L627" s="14" t="str">
        <f t="array" ref="L627">INDEX('School Rep'!$A$2:$A$21, MATCH(J627, 'School Rep'!$B$2:$B$21, 0))</f>
        <v>Carlos Rivas</v>
      </c>
      <c r="M627" s="12">
        <v>3.6</v>
      </c>
      <c r="N627" s="16" t="s">
        <v>1958</v>
      </c>
      <c r="O627" s="8" t="str">
        <f t="shared" si="1"/>
        <v>1839 N Richmond St </v>
      </c>
      <c r="P627" s="12">
        <v>26.0</v>
      </c>
      <c r="Q627" s="13" t="s">
        <v>378</v>
      </c>
    </row>
    <row r="628">
      <c r="A628" s="7">
        <v>400125.0</v>
      </c>
      <c r="B628" s="13" t="s">
        <v>1959</v>
      </c>
      <c r="C628" s="18" t="s">
        <v>1960</v>
      </c>
      <c r="D628" s="19">
        <v>0.884</v>
      </c>
      <c r="E628" s="18" t="s">
        <v>19</v>
      </c>
      <c r="F628" s="18" t="s">
        <v>426</v>
      </c>
      <c r="G628" s="8" t="str">
        <f>VLOOKUP(F628, 'Network Chiefs'!A:B, 2, FALSE)
</f>
        <v>Richard Smith</v>
      </c>
      <c r="H628" s="12">
        <v>29.0</v>
      </c>
      <c r="I628" s="13" t="s">
        <v>41</v>
      </c>
      <c r="J628" s="14" t="s">
        <v>47</v>
      </c>
      <c r="K628" s="14">
        <v>3.0</v>
      </c>
      <c r="L628" s="14" t="str">
        <f t="array" ref="L628">INDEX('School Rep'!$A$2:$A$21, MATCH(J628, 'School Rep'!$B$2:$B$21, 0))</f>
        <v>Norma Rios-Sierra</v>
      </c>
      <c r="M628" s="12" t="s">
        <v>384</v>
      </c>
      <c r="N628" s="16" t="s">
        <v>1961</v>
      </c>
      <c r="O628" s="8" t="str">
        <f t="shared" si="1"/>
        <v>3121 N Pulaski Rd </v>
      </c>
      <c r="P628" s="12">
        <v>31.0</v>
      </c>
      <c r="Q628" s="13" t="s">
        <v>152</v>
      </c>
    </row>
    <row r="629">
      <c r="A629" s="7">
        <v>400126.0</v>
      </c>
      <c r="B629" s="13" t="s">
        <v>1962</v>
      </c>
      <c r="C629" s="18" t="s">
        <v>1963</v>
      </c>
      <c r="D629" s="19">
        <v>0.877</v>
      </c>
      <c r="E629" s="18" t="s">
        <v>19</v>
      </c>
      <c r="F629" s="18" t="s">
        <v>426</v>
      </c>
      <c r="G629" s="8" t="str">
        <f>VLOOKUP(F629, 'Network Chiefs'!A:B, 2, FALSE)
</f>
        <v>Richard Smith</v>
      </c>
      <c r="H629" s="12">
        <v>75.0</v>
      </c>
      <c r="I629" s="13" t="s">
        <v>52</v>
      </c>
      <c r="J629" s="14" t="s">
        <v>232</v>
      </c>
      <c r="K629" s="14">
        <v>3.0</v>
      </c>
      <c r="L629" s="14" t="str">
        <f t="array" ref="L629">INDEX('School Rep'!$A$2:$A$21, MATCH(J629, 'School Rep'!$B$2:$B$21, 0))</f>
        <v>Carlos Rivas</v>
      </c>
      <c r="M629" s="12" t="s">
        <v>384</v>
      </c>
      <c r="N629" s="16" t="s">
        <v>1964</v>
      </c>
      <c r="O629" s="8" t="str">
        <f t="shared" si="1"/>
        <v>1116 N Kedzie, 4th Floor Ave </v>
      </c>
      <c r="P629" s="12">
        <v>26.0</v>
      </c>
      <c r="Q629" s="13" t="s">
        <v>378</v>
      </c>
    </row>
    <row r="630">
      <c r="A630" s="7">
        <v>400131.0</v>
      </c>
      <c r="B630" s="13" t="s">
        <v>1965</v>
      </c>
      <c r="C630" s="18" t="s">
        <v>1966</v>
      </c>
      <c r="D630" s="19">
        <v>0.903</v>
      </c>
      <c r="E630" s="18" t="s">
        <v>19</v>
      </c>
      <c r="F630" s="18" t="s">
        <v>426</v>
      </c>
      <c r="G630" s="8" t="str">
        <f>VLOOKUP(F630, 'Network Chiefs'!A:B, 2, FALSE)
</f>
        <v>Richard Smith</v>
      </c>
      <c r="H630" s="12">
        <v>55.0</v>
      </c>
      <c r="I630" s="13" t="s">
        <v>20</v>
      </c>
      <c r="J630" s="14" t="s">
        <v>232</v>
      </c>
      <c r="K630" s="14">
        <v>3.0</v>
      </c>
      <c r="L630" s="14" t="str">
        <f t="array" ref="L630">INDEX('School Rep'!$A$2:$A$21, MATCH(J630, 'School Rep'!$B$2:$B$21, 0))</f>
        <v>Carlos Rivas</v>
      </c>
      <c r="M630" s="12" t="s">
        <v>384</v>
      </c>
      <c r="N630" s="16" t="s">
        <v>1967</v>
      </c>
      <c r="O630" s="8" t="str">
        <f t="shared" si="1"/>
        <v>2739 W Division St </v>
      </c>
      <c r="P630" s="12">
        <v>26.0</v>
      </c>
      <c r="Q630" s="13" t="s">
        <v>378</v>
      </c>
    </row>
    <row r="631">
      <c r="A631" s="7">
        <v>400128.0</v>
      </c>
      <c r="B631" s="12" t="s">
        <v>1968</v>
      </c>
      <c r="C631" s="18" t="s">
        <v>1969</v>
      </c>
      <c r="D631" s="19">
        <v>0.961</v>
      </c>
      <c r="E631" s="18" t="s">
        <v>19</v>
      </c>
      <c r="F631" s="18" t="s">
        <v>426</v>
      </c>
      <c r="G631" s="8" t="str">
        <f>VLOOKUP(F631, 'Network Chiefs'!A:B, 2, FALSE)
</f>
        <v>Richard Smith</v>
      </c>
      <c r="H631" s="12">
        <v>70.0</v>
      </c>
      <c r="I631" s="13" t="s">
        <v>52</v>
      </c>
      <c r="J631" s="14" t="s">
        <v>217</v>
      </c>
      <c r="K631" s="14">
        <v>5.0</v>
      </c>
      <c r="L631" s="14" t="str">
        <f t="array" ref="L631">INDEX('School Rep'!$A$2:$A$21, MATCH(J631, 'School Rep'!$B$2:$B$21, 0))</f>
        <v>Michilla Blaise</v>
      </c>
      <c r="M631" s="12" t="s">
        <v>384</v>
      </c>
      <c r="N631" s="16" t="s">
        <v>1970</v>
      </c>
      <c r="O631" s="8" t="str">
        <f t="shared" si="1"/>
        <v>1231 S Pulaski Rd </v>
      </c>
      <c r="P631" s="12">
        <v>24.0</v>
      </c>
      <c r="Q631" s="13" t="s">
        <v>517</v>
      </c>
    </row>
    <row r="632">
      <c r="A632" s="7">
        <v>400150.0</v>
      </c>
      <c r="B632" s="13" t="s">
        <v>1971</v>
      </c>
      <c r="C632" s="18" t="s">
        <v>1972</v>
      </c>
      <c r="D632" s="19">
        <v>0.736</v>
      </c>
      <c r="E632" s="18" t="s">
        <v>19</v>
      </c>
      <c r="F632" s="18" t="s">
        <v>426</v>
      </c>
      <c r="G632" s="8" t="str">
        <f>VLOOKUP(F632, 'Network Chiefs'!A:B, 2, FALSE)
</f>
        <v>Richard Smith</v>
      </c>
      <c r="H632" s="12">
        <v>66.0</v>
      </c>
      <c r="I632" s="13" t="s">
        <v>52</v>
      </c>
      <c r="J632" s="14" t="s">
        <v>82</v>
      </c>
      <c r="K632" s="14">
        <v>10.0</v>
      </c>
      <c r="L632" s="14" t="str">
        <f t="array" ref="L632">INDEX('School Rep'!$A$2:$A$21, MATCH(J632, 'School Rep'!$B$2:$B$21, 0))</f>
        <v>Olga Bautista</v>
      </c>
      <c r="M632" s="12" t="s">
        <v>384</v>
      </c>
      <c r="N632" s="16" t="s">
        <v>1973</v>
      </c>
      <c r="O632" s="8" t="str">
        <f t="shared" si="1"/>
        <v>9035 S Langley Ave </v>
      </c>
      <c r="P632" s="12">
        <v>8.0</v>
      </c>
      <c r="Q632" s="13" t="s">
        <v>135</v>
      </c>
    </row>
    <row r="633">
      <c r="A633" s="7">
        <v>400133.0</v>
      </c>
      <c r="B633" s="8" t="s">
        <v>1974</v>
      </c>
      <c r="C633" s="18" t="s">
        <v>1975</v>
      </c>
      <c r="D633" s="19">
        <v>0.838</v>
      </c>
      <c r="E633" s="18" t="s">
        <v>19</v>
      </c>
      <c r="F633" s="18" t="s">
        <v>426</v>
      </c>
      <c r="G633" s="8" t="str">
        <f>VLOOKUP(F633, 'Network Chiefs'!A:B, 2, FALSE)
</f>
        <v>Richard Smith</v>
      </c>
      <c r="H633" s="12">
        <v>68.0</v>
      </c>
      <c r="I633" s="13" t="s">
        <v>52</v>
      </c>
      <c r="J633" s="14" t="s">
        <v>204</v>
      </c>
      <c r="K633" s="14">
        <v>6.0</v>
      </c>
      <c r="L633" s="14" t="str">
        <f t="array" ref="L633">INDEX('School Rep'!$A$2:$A$21, MATCH(J633, 'School Rep'!$B$2:$B$21, 0))</f>
        <v>Jessica Biggs</v>
      </c>
      <c r="M633" s="15" t="s">
        <v>384</v>
      </c>
      <c r="N633" s="16" t="s">
        <v>1976</v>
      </c>
      <c r="O633" s="8" t="str">
        <f t="shared" si="1"/>
        <v>17 N State St </v>
      </c>
      <c r="P633" s="12">
        <v>34.0</v>
      </c>
      <c r="Q633" s="13" t="s">
        <v>444</v>
      </c>
    </row>
    <row r="634">
      <c r="A634" s="7">
        <v>400135.0</v>
      </c>
      <c r="B634" s="8" t="s">
        <v>1977</v>
      </c>
      <c r="C634" s="18" t="s">
        <v>1978</v>
      </c>
      <c r="D634" s="19">
        <v>0.951</v>
      </c>
      <c r="E634" s="18" t="s">
        <v>19</v>
      </c>
      <c r="F634" s="18" t="s">
        <v>426</v>
      </c>
      <c r="G634" s="8" t="str">
        <f>VLOOKUP(F634, 'Network Chiefs'!A:B, 2, FALSE)
</f>
        <v>Richard Smith</v>
      </c>
      <c r="H634" s="12">
        <v>69.0</v>
      </c>
      <c r="I634" s="13" t="s">
        <v>52</v>
      </c>
      <c r="J634" s="14" t="s">
        <v>42</v>
      </c>
      <c r="K634" s="14">
        <v>7.0</v>
      </c>
      <c r="L634" s="14" t="str">
        <f t="array" ref="L634">INDEX('School Rep'!$A$2:$A$21, MATCH(J634, 'School Rep'!$B$2:$B$21, 0))</f>
        <v>Emma Lozano</v>
      </c>
      <c r="M634" s="15" t="s">
        <v>384</v>
      </c>
      <c r="N634" s="16" t="s">
        <v>1979</v>
      </c>
      <c r="O634" s="8" t="str">
        <f t="shared" si="1"/>
        <v>2001 S California Ave </v>
      </c>
      <c r="P634" s="12">
        <v>25.0</v>
      </c>
      <c r="Q634" s="13" t="s">
        <v>44</v>
      </c>
    </row>
    <row r="635">
      <c r="A635" s="7">
        <v>400124.0</v>
      </c>
      <c r="B635" s="8" t="s">
        <v>1980</v>
      </c>
      <c r="C635" s="9" t="s">
        <v>1981</v>
      </c>
      <c r="D635" s="10">
        <v>0.917</v>
      </c>
      <c r="E635" s="11" t="s">
        <v>19</v>
      </c>
      <c r="F635" s="11" t="s">
        <v>426</v>
      </c>
      <c r="G635" s="8" t="str">
        <f>VLOOKUP(F635, 'Network Chiefs'!A:B, 2, FALSE)
</f>
        <v>Richard Smith</v>
      </c>
      <c r="H635" s="12">
        <v>56.0</v>
      </c>
      <c r="I635" s="13" t="s">
        <v>20</v>
      </c>
      <c r="J635" s="14" t="s">
        <v>204</v>
      </c>
      <c r="K635" s="14">
        <v>6.0</v>
      </c>
      <c r="L635" s="14" t="str">
        <f t="array" ref="L635">INDEX('School Rep'!$A$2:$A$21, MATCH(J635, 'School Rep'!$B$2:$B$21, 0))</f>
        <v>Jessica Biggs</v>
      </c>
      <c r="M635" s="15" t="s">
        <v>384</v>
      </c>
      <c r="N635" s="16" t="s">
        <v>1982</v>
      </c>
      <c r="O635" s="8" t="str">
        <f t="shared" si="1"/>
        <v>2920 S Wabash Ave </v>
      </c>
      <c r="P635" s="12">
        <v>3.0</v>
      </c>
      <c r="Q635" s="13" t="s">
        <v>206</v>
      </c>
    </row>
    <row r="636">
      <c r="A636" s="7">
        <v>400136.0</v>
      </c>
      <c r="B636" s="13" t="s">
        <v>1983</v>
      </c>
      <c r="C636" s="18" t="s">
        <v>1984</v>
      </c>
      <c r="D636" s="19">
        <v>0.795</v>
      </c>
      <c r="E636" s="18" t="s">
        <v>19</v>
      </c>
      <c r="F636" s="18" t="s">
        <v>426</v>
      </c>
      <c r="G636" s="8" t="str">
        <f>VLOOKUP(F636, 'Network Chiefs'!A:B, 2, FALSE)
</f>
        <v>Richard Smith</v>
      </c>
      <c r="H636" s="12">
        <v>50.0</v>
      </c>
      <c r="I636" s="13" t="s">
        <v>20</v>
      </c>
      <c r="J636" s="14" t="s">
        <v>82</v>
      </c>
      <c r="K636" s="14">
        <v>10.0</v>
      </c>
      <c r="L636" s="14" t="str">
        <f t="array" ref="L636">INDEX('School Rep'!$A$2:$A$21, MATCH(J636, 'School Rep'!$B$2:$B$21, 0))</f>
        <v>Olga Bautista</v>
      </c>
      <c r="M636" s="12" t="s">
        <v>384</v>
      </c>
      <c r="N636" s="16" t="s">
        <v>1985</v>
      </c>
      <c r="O636" s="8" t="str">
        <f t="shared" si="1"/>
        <v>10001 S Woodlawn Ave </v>
      </c>
      <c r="P636" s="12">
        <v>8.0</v>
      </c>
      <c r="Q636" s="13" t="s">
        <v>135</v>
      </c>
    </row>
    <row r="637">
      <c r="A637" s="7">
        <v>400129.0</v>
      </c>
      <c r="B637" s="8" t="s">
        <v>1986</v>
      </c>
      <c r="C637" s="17" t="s">
        <v>1987</v>
      </c>
      <c r="D637" s="10">
        <v>0.893</v>
      </c>
      <c r="E637" s="11" t="s">
        <v>19</v>
      </c>
      <c r="F637" s="11" t="s">
        <v>426</v>
      </c>
      <c r="G637" s="8" t="str">
        <f>VLOOKUP(F637, 'Network Chiefs'!A:B, 2, FALSE)
</f>
        <v>Richard Smith</v>
      </c>
      <c r="H637" s="12">
        <v>68.0</v>
      </c>
      <c r="I637" s="13" t="s">
        <v>52</v>
      </c>
      <c r="J637" s="14" t="s">
        <v>204</v>
      </c>
      <c r="K637" s="14">
        <v>6.0</v>
      </c>
      <c r="L637" s="14" t="str">
        <f t="array" ref="L637">INDEX('School Rep'!$A$2:$A$21, MATCH(J637, 'School Rep'!$B$2:$B$21, 0))</f>
        <v>Jessica Biggs</v>
      </c>
      <c r="M637" s="15" t="s">
        <v>384</v>
      </c>
      <c r="N637" s="16" t="s">
        <v>1988</v>
      </c>
      <c r="O637" s="8" t="str">
        <f t="shared" si="1"/>
        <v>6620 S Dr Martin Luther King Jr Dr </v>
      </c>
      <c r="P637" s="12">
        <v>20.0</v>
      </c>
      <c r="Q637" s="13" t="s">
        <v>368</v>
      </c>
    </row>
    <row r="638">
      <c r="A638" s="7">
        <v>400123.0</v>
      </c>
      <c r="B638" s="12" t="s">
        <v>1989</v>
      </c>
      <c r="C638" s="18" t="s">
        <v>1990</v>
      </c>
      <c r="D638" s="19">
        <v>0.762</v>
      </c>
      <c r="E638" s="18" t="s">
        <v>19</v>
      </c>
      <c r="F638" s="18" t="s">
        <v>426</v>
      </c>
      <c r="G638" s="8" t="str">
        <f>VLOOKUP(F638, 'Network Chiefs'!A:B, 2, FALSE)
</f>
        <v>Richard Smith</v>
      </c>
      <c r="H638" s="12">
        <v>82.0</v>
      </c>
      <c r="I638" s="13" t="s">
        <v>248</v>
      </c>
      <c r="J638" s="14" t="s">
        <v>31</v>
      </c>
      <c r="K638" s="14">
        <v>5.0</v>
      </c>
      <c r="L638" s="14" t="str">
        <f t="array" ref="L638">INDEX('School Rep'!$A$2:$A$21, MATCH(J638, 'School Rep'!$B$2:$B$21, 0))</f>
        <v>Aaron "Jitu" Brown</v>
      </c>
      <c r="M638" s="12" t="s">
        <v>384</v>
      </c>
      <c r="N638" s="16" t="s">
        <v>1991</v>
      </c>
      <c r="O638" s="8" t="str">
        <f t="shared" si="1"/>
        <v>4651 W Madison St </v>
      </c>
      <c r="P638" s="12">
        <v>28.0</v>
      </c>
      <c r="Q638" s="13" t="s">
        <v>399</v>
      </c>
    </row>
    <row r="639">
      <c r="A639" s="7">
        <v>400139.0</v>
      </c>
      <c r="B639" s="13" t="s">
        <v>1992</v>
      </c>
      <c r="C639" s="18" t="s">
        <v>1993</v>
      </c>
      <c r="D639" s="19">
        <v>0.574</v>
      </c>
      <c r="E639" s="18" t="s">
        <v>19</v>
      </c>
      <c r="F639" s="18" t="s">
        <v>426</v>
      </c>
      <c r="G639" s="8" t="str">
        <f>VLOOKUP(F639, 'Network Chiefs'!A:B, 2, FALSE)
</f>
        <v>Richard Smith</v>
      </c>
      <c r="H639" s="12">
        <v>72.0</v>
      </c>
      <c r="I639" s="13" t="s">
        <v>52</v>
      </c>
      <c r="J639" s="14" t="s">
        <v>82</v>
      </c>
      <c r="K639" s="14">
        <v>10.0</v>
      </c>
      <c r="L639" s="14" t="str">
        <f t="array" ref="L639">INDEX('School Rep'!$A$2:$A$21, MATCH(J639, 'School Rep'!$B$2:$B$21, 0))</f>
        <v>Olga Bautista</v>
      </c>
      <c r="M639" s="12" t="s">
        <v>384</v>
      </c>
      <c r="N639" s="16" t="s">
        <v>1994</v>
      </c>
      <c r="O639" s="8" t="str">
        <f t="shared" si="1"/>
        <v>8164 S South Chicago Ave </v>
      </c>
      <c r="P639" s="12">
        <v>8.0</v>
      </c>
      <c r="Q639" s="13" t="s">
        <v>135</v>
      </c>
    </row>
    <row r="640">
      <c r="A640" s="7">
        <v>400141.0</v>
      </c>
      <c r="B640" s="12" t="s">
        <v>1995</v>
      </c>
      <c r="C640" s="18" t="s">
        <v>1996</v>
      </c>
      <c r="D640" s="19">
        <v>0.925</v>
      </c>
      <c r="E640" s="18" t="s">
        <v>19</v>
      </c>
      <c r="F640" s="18" t="s">
        <v>426</v>
      </c>
      <c r="G640" s="8" t="str">
        <f>VLOOKUP(F640, 'Network Chiefs'!A:B, 2, FALSE)
</f>
        <v>Richard Smith</v>
      </c>
      <c r="H640" s="12">
        <v>36.0</v>
      </c>
      <c r="I640" s="13" t="s">
        <v>41</v>
      </c>
      <c r="J640" s="14" t="s">
        <v>243</v>
      </c>
      <c r="K640" s="14">
        <v>4.0</v>
      </c>
      <c r="L640" s="14" t="str">
        <f t="array" ref="L640">INDEX('School Rep'!$A$2:$A$21, MATCH(J640, 'School Rep'!$B$2:$B$21, 0))</f>
        <v>Karen Zaccor</v>
      </c>
      <c r="M640" s="12" t="s">
        <v>384</v>
      </c>
      <c r="N640" s="16" t="s">
        <v>1997</v>
      </c>
      <c r="O640" s="8" t="str">
        <f t="shared" si="1"/>
        <v>1145 W Wilson Ave </v>
      </c>
      <c r="P640" s="12">
        <v>46.0</v>
      </c>
      <c r="Q640" s="13" t="s">
        <v>245</v>
      </c>
    </row>
    <row r="641">
      <c r="A641" s="7">
        <v>400144.0</v>
      </c>
      <c r="B641" s="12" t="s">
        <v>1998</v>
      </c>
      <c r="C641" s="18" t="s">
        <v>1999</v>
      </c>
      <c r="D641" s="19">
        <v>0.85</v>
      </c>
      <c r="E641" s="18" t="s">
        <v>19</v>
      </c>
      <c r="F641" s="18" t="s">
        <v>426</v>
      </c>
      <c r="G641" s="8" t="str">
        <f>VLOOKUP(F641, 'Network Chiefs'!A:B, 2, FALSE)
</f>
        <v>Richard Smith</v>
      </c>
      <c r="H641" s="12">
        <v>59.0</v>
      </c>
      <c r="I641" s="13" t="s">
        <v>20</v>
      </c>
      <c r="J641" s="14" t="s">
        <v>31</v>
      </c>
      <c r="K641" s="14">
        <v>5.0</v>
      </c>
      <c r="L641" s="14" t="str">
        <f t="array" ref="L641">INDEX('School Rep'!$A$2:$A$21, MATCH(J641, 'School Rep'!$B$2:$B$21, 0))</f>
        <v>Aaron "Jitu" Brown</v>
      </c>
      <c r="M641" s="12" t="s">
        <v>384</v>
      </c>
      <c r="N641" s="16" t="s">
        <v>2000</v>
      </c>
      <c r="O641" s="8" t="str">
        <f t="shared" si="1"/>
        <v>4909 W Division St </v>
      </c>
      <c r="P641" s="12">
        <v>37.0</v>
      </c>
      <c r="Q641" s="13" t="s">
        <v>162</v>
      </c>
    </row>
    <row r="642">
      <c r="A642" s="7">
        <v>400143.0</v>
      </c>
      <c r="B642" s="12" t="s">
        <v>2001</v>
      </c>
      <c r="C642" s="18" t="s">
        <v>2002</v>
      </c>
      <c r="D642" s="19">
        <v>0.915</v>
      </c>
      <c r="E642" s="18" t="s">
        <v>19</v>
      </c>
      <c r="F642" s="18" t="s">
        <v>426</v>
      </c>
      <c r="G642" s="8" t="str">
        <f>VLOOKUP(F642, 'Network Chiefs'!A:B, 2, FALSE)
</f>
        <v>Richard Smith</v>
      </c>
      <c r="H642" s="12">
        <v>98.0</v>
      </c>
      <c r="I642" s="13" t="s">
        <v>248</v>
      </c>
      <c r="J642" s="14" t="s">
        <v>217</v>
      </c>
      <c r="K642" s="14">
        <v>5.0</v>
      </c>
      <c r="L642" s="14" t="str">
        <f t="array" ref="L642">INDEX('School Rep'!$A$2:$A$21, MATCH(J642, 'School Rep'!$B$2:$B$21, 0))</f>
        <v>Michilla Blaise</v>
      </c>
      <c r="M642" s="12" t="s">
        <v>384</v>
      </c>
      <c r="N642" s="16" t="s">
        <v>2003</v>
      </c>
      <c r="O642" s="8" t="str">
        <f t="shared" si="1"/>
        <v>500 N Sacramento Blvd </v>
      </c>
      <c r="P642" s="12">
        <v>27.0</v>
      </c>
      <c r="Q642" s="13" t="s">
        <v>219</v>
      </c>
    </row>
    <row r="643">
      <c r="A643" s="7">
        <v>400145.0</v>
      </c>
      <c r="B643" s="8" t="s">
        <v>2004</v>
      </c>
      <c r="C643" s="18" t="s">
        <v>2005</v>
      </c>
      <c r="D643" s="19">
        <v>0.847</v>
      </c>
      <c r="E643" s="18" t="s">
        <v>19</v>
      </c>
      <c r="F643" s="18" t="s">
        <v>426</v>
      </c>
      <c r="G643" s="8" t="str">
        <f>VLOOKUP(F643, 'Network Chiefs'!A:B, 2, FALSE)
</f>
        <v>Richard Smith</v>
      </c>
      <c r="H643" s="15"/>
      <c r="I643" s="8"/>
      <c r="J643" s="14" t="s">
        <v>21</v>
      </c>
      <c r="K643" s="14">
        <v>7.0</v>
      </c>
      <c r="L643" s="14" t="str">
        <f t="array" ref="L643">INDEX('School Rep'!$A$2:$A$21, MATCH(J643, 'School Rep'!$B$2:$B$21, 0))</f>
        <v>Yesenia Lopez</v>
      </c>
      <c r="M643" s="15" t="s">
        <v>384</v>
      </c>
      <c r="N643" s="16" t="s">
        <v>2006</v>
      </c>
      <c r="O643" s="8" t="str">
        <f t="shared" si="1"/>
        <v>1814 S Union Ave </v>
      </c>
      <c r="P643" s="12">
        <v>25.0</v>
      </c>
      <c r="Q643" s="13" t="s">
        <v>44</v>
      </c>
    </row>
    <row r="644">
      <c r="A644" s="7">
        <v>400130.0</v>
      </c>
      <c r="B644" s="8" t="s">
        <v>2007</v>
      </c>
      <c r="C644" s="18" t="s">
        <v>2008</v>
      </c>
      <c r="D644" s="19">
        <v>0.853</v>
      </c>
      <c r="E644" s="18" t="s">
        <v>19</v>
      </c>
      <c r="F644" s="18" t="s">
        <v>426</v>
      </c>
      <c r="G644" s="8" t="str">
        <f>VLOOKUP(F644, 'Network Chiefs'!A:B, 2, FALSE)
</f>
        <v>Richard Smith</v>
      </c>
      <c r="H644" s="12">
        <v>50.0</v>
      </c>
      <c r="I644" s="13" t="s">
        <v>20</v>
      </c>
      <c r="J644" s="14" t="s">
        <v>187</v>
      </c>
      <c r="K644" s="14">
        <v>9.0</v>
      </c>
      <c r="L644" s="14" t="str">
        <f t="array" ref="L644">INDEX('School Rep'!$A$2:$A$21, MATCH(J644, 'School Rep'!$B$2:$B$21, 0))</f>
        <v>Frank Niles Thomas</v>
      </c>
      <c r="M644" s="15" t="s">
        <v>384</v>
      </c>
      <c r="N644" s="16" t="s">
        <v>2009</v>
      </c>
      <c r="O644" s="8" t="str">
        <f t="shared" si="1"/>
        <v>7836 S Union Ave </v>
      </c>
      <c r="P644" s="12">
        <v>17.0</v>
      </c>
      <c r="Q644" s="13" t="s">
        <v>189</v>
      </c>
    </row>
    <row r="645">
      <c r="A645" s="7">
        <v>609748.0</v>
      </c>
      <c r="B645" s="8" t="s">
        <v>2010</v>
      </c>
      <c r="C645" s="18" t="s">
        <v>2011</v>
      </c>
      <c r="D645" s="19">
        <v>0.0</v>
      </c>
      <c r="E645" s="18" t="s">
        <v>80</v>
      </c>
      <c r="F645" s="18" t="s">
        <v>426</v>
      </c>
      <c r="G645" s="8" t="str">
        <f>VLOOKUP(F645, 'Network Chiefs'!A:B, 2, FALSE)
</f>
        <v>Richard Smith</v>
      </c>
      <c r="H645" s="12">
        <v>63.0</v>
      </c>
      <c r="I645" s="13" t="s">
        <v>52</v>
      </c>
      <c r="J645" s="15" t="s">
        <v>384</v>
      </c>
      <c r="K645" s="15" t="s">
        <v>384</v>
      </c>
      <c r="L645" s="15" t="s">
        <v>384</v>
      </c>
      <c r="M645" s="15" t="s">
        <v>384</v>
      </c>
      <c r="N645" s="16" t="s">
        <v>2012</v>
      </c>
      <c r="O645" s="8" t="str">
        <f t="shared" si="1"/>
        <v>2700 S California Ave </v>
      </c>
      <c r="P645" s="12">
        <v>24.0</v>
      </c>
      <c r="Q645" s="13" t="s">
        <v>517</v>
      </c>
    </row>
    <row r="646">
      <c r="A646" s="7">
        <v>610235.0</v>
      </c>
      <c r="B646" s="12" t="s">
        <v>2013</v>
      </c>
      <c r="C646" s="18" t="s">
        <v>2014</v>
      </c>
      <c r="D646" s="19">
        <v>0.179</v>
      </c>
      <c r="E646" s="18" t="s">
        <v>80</v>
      </c>
      <c r="F646" s="18" t="s">
        <v>231</v>
      </c>
      <c r="G646" s="8" t="str">
        <f>VLOOKUP(F646, 'Network Chiefs'!A:B, 2, FALSE)
</f>
        <v>Jennifer Farrell‐Rottman</v>
      </c>
      <c r="H646" s="12">
        <v>47.0</v>
      </c>
      <c r="I646" s="13" t="s">
        <v>20</v>
      </c>
      <c r="J646" s="14" t="s">
        <v>31</v>
      </c>
      <c r="K646" s="14">
        <v>5.0</v>
      </c>
      <c r="L646" s="14" t="str">
        <f t="array" ref="L646">INDEX('School Rep'!$A$2:$A$21, MATCH(J646, 'School Rep'!$B$2:$B$21, 0))</f>
        <v>Aaron "Jitu" Brown</v>
      </c>
      <c r="M646" s="12">
        <v>3.2</v>
      </c>
      <c r="N646" s="16" t="s">
        <v>2015</v>
      </c>
      <c r="O646" s="8" t="str">
        <f t="shared" si="1"/>
        <v>1434 N Parkside Ave </v>
      </c>
      <c r="P646" s="12">
        <v>29.0</v>
      </c>
      <c r="Q646" s="13" t="s">
        <v>33</v>
      </c>
    </row>
    <row r="647">
      <c r="A647" s="7">
        <v>609755.0</v>
      </c>
      <c r="B647" s="12" t="s">
        <v>2016</v>
      </c>
      <c r="C647" s="9" t="s">
        <v>2017</v>
      </c>
      <c r="D647" s="10">
        <v>0.011</v>
      </c>
      <c r="E647" s="11" t="s">
        <v>80</v>
      </c>
      <c r="F647" s="11" t="s">
        <v>108</v>
      </c>
      <c r="G647" s="8" t="str">
        <f>VLOOKUP(F647, 'Network Chiefs'!A:B, 2, FALSE)
</f>
        <v>Michael Boraz</v>
      </c>
      <c r="H647" s="12">
        <v>67.0</v>
      </c>
      <c r="I647" s="13" t="s">
        <v>52</v>
      </c>
      <c r="J647" s="14" t="s">
        <v>217</v>
      </c>
      <c r="K647" s="14">
        <v>5.0</v>
      </c>
      <c r="L647" s="14" t="str">
        <f t="array" ref="L647">INDEX('School Rep'!$A$2:$A$21, MATCH(J647, 'School Rep'!$B$2:$B$21, 0))</f>
        <v>Michilla Blaise</v>
      </c>
      <c r="M647" s="12">
        <v>1.7</v>
      </c>
      <c r="N647" s="16" t="s">
        <v>2018</v>
      </c>
      <c r="O647" s="8" t="str">
        <f t="shared" si="1"/>
        <v>211 S Laflin St </v>
      </c>
      <c r="P647" s="12">
        <v>27.0</v>
      </c>
      <c r="Q647" s="13" t="s">
        <v>219</v>
      </c>
    </row>
    <row r="648">
      <c r="A648" s="7">
        <v>609973.0</v>
      </c>
      <c r="B648" s="8" t="s">
        <v>2019</v>
      </c>
      <c r="C648" s="18" t="s">
        <v>2020</v>
      </c>
      <c r="D648" s="19">
        <v>0.068</v>
      </c>
      <c r="E648" s="18" t="s">
        <v>80</v>
      </c>
      <c r="F648" s="18" t="s">
        <v>529</v>
      </c>
      <c r="G648" s="8" t="str">
        <f>VLOOKUP(F648, 'Network Chiefs'!A:B, 2, FALSE)
</f>
        <v>Dr. Antonio Acevedo</v>
      </c>
      <c r="H648" s="12">
        <v>72.0</v>
      </c>
      <c r="I648" s="13" t="s">
        <v>52</v>
      </c>
      <c r="J648" s="14" t="s">
        <v>42</v>
      </c>
      <c r="K648" s="14">
        <v>7.0</v>
      </c>
      <c r="L648" s="14" t="str">
        <f t="array" ref="L648">INDEX('School Rep'!$A$2:$A$21, MATCH(J648, 'School Rep'!$B$2:$B$21, 0))</f>
        <v>Emma Lozano</v>
      </c>
      <c r="M648" s="15">
        <v>3.3</v>
      </c>
      <c r="N648" s="16" t="s">
        <v>2021</v>
      </c>
      <c r="O648" s="8" t="str">
        <f t="shared" si="1"/>
        <v>2728 S Kostner Ave </v>
      </c>
      <c r="P648" s="12">
        <v>22.0</v>
      </c>
      <c r="Q648" s="13" t="s">
        <v>353</v>
      </c>
    </row>
    <row r="649">
      <c r="A649" s="15"/>
      <c r="B649" s="8"/>
      <c r="C649" s="9"/>
      <c r="D649" s="9"/>
      <c r="E649" s="9"/>
      <c r="F649" s="9"/>
      <c r="G649" s="8"/>
      <c r="H649" s="15"/>
      <c r="I649" s="8"/>
      <c r="J649" s="14"/>
      <c r="K649" s="14"/>
      <c r="L649" s="14"/>
      <c r="M649" s="15"/>
      <c r="N649" s="8"/>
      <c r="O649" s="8"/>
      <c r="P649" s="15"/>
      <c r="Q649" s="8"/>
    </row>
    <row r="650">
      <c r="A650" s="15"/>
      <c r="B650" s="8"/>
      <c r="C650" s="9"/>
      <c r="D650" s="9"/>
      <c r="E650" s="9"/>
      <c r="F650" s="9"/>
      <c r="G650" s="8"/>
      <c r="H650" s="15"/>
      <c r="I650" s="8"/>
      <c r="J650" s="14"/>
      <c r="K650" s="14"/>
      <c r="L650" s="14"/>
      <c r="M650" s="15"/>
      <c r="N650" s="8"/>
      <c r="O650" s="8"/>
      <c r="P650" s="15"/>
      <c r="Q650" s="8"/>
    </row>
    <row r="651">
      <c r="A651" s="15"/>
      <c r="B651" s="8"/>
      <c r="C651" s="9"/>
      <c r="D651" s="9"/>
      <c r="E651" s="9"/>
      <c r="F651" s="9"/>
      <c r="G651" s="8"/>
      <c r="H651" s="15"/>
      <c r="I651" s="8"/>
      <c r="J651" s="14"/>
      <c r="K651" s="14"/>
      <c r="L651" s="14"/>
      <c r="M651" s="15"/>
      <c r="N651" s="8"/>
      <c r="O651" s="8"/>
      <c r="P651" s="15"/>
      <c r="Q651" s="8"/>
    </row>
    <row r="652">
      <c r="A652" s="15"/>
      <c r="B652" s="8"/>
      <c r="C652" s="9"/>
      <c r="D652" s="9"/>
      <c r="E652" s="9"/>
      <c r="F652" s="9"/>
      <c r="G652" s="8"/>
      <c r="H652" s="15"/>
      <c r="I652" s="8"/>
      <c r="J652" s="14"/>
      <c r="K652" s="14"/>
      <c r="L652" s="14"/>
      <c r="M652" s="15"/>
      <c r="N652" s="8"/>
      <c r="O652" s="8"/>
      <c r="P652" s="15"/>
      <c r="Q652" s="8"/>
    </row>
    <row r="653">
      <c r="A653" s="15"/>
      <c r="B653" s="8"/>
      <c r="C653" s="9"/>
      <c r="D653" s="9"/>
      <c r="E653" s="9"/>
      <c r="F653" s="9"/>
      <c r="G653" s="8"/>
      <c r="H653" s="15"/>
      <c r="I653" s="8"/>
      <c r="J653" s="14"/>
      <c r="K653" s="14"/>
      <c r="L653" s="14"/>
      <c r="M653" s="15"/>
      <c r="N653" s="8"/>
      <c r="O653" s="8"/>
      <c r="P653" s="15"/>
      <c r="Q653" s="8"/>
    </row>
    <row r="654">
      <c r="A654" s="15"/>
      <c r="B654" s="8"/>
      <c r="C654" s="9"/>
      <c r="D654" s="9"/>
      <c r="E654" s="9"/>
      <c r="F654" s="9"/>
      <c r="G654" s="8"/>
      <c r="H654" s="15"/>
      <c r="I654" s="8"/>
      <c r="J654" s="14"/>
      <c r="K654" s="14"/>
      <c r="L654" s="14"/>
      <c r="M654" s="15"/>
      <c r="N654" s="8"/>
      <c r="O654" s="8"/>
      <c r="P654" s="15"/>
      <c r="Q654" s="8"/>
    </row>
    <row r="655">
      <c r="A655" s="15"/>
      <c r="B655" s="8"/>
      <c r="C655" s="9"/>
      <c r="D655" s="9"/>
      <c r="E655" s="9"/>
      <c r="F655" s="9"/>
      <c r="G655" s="8"/>
      <c r="H655" s="15"/>
      <c r="I655" s="8"/>
      <c r="J655" s="14"/>
      <c r="K655" s="14"/>
      <c r="L655" s="14"/>
      <c r="M655" s="15"/>
      <c r="N655" s="8"/>
      <c r="O655" s="8"/>
      <c r="P655" s="15"/>
      <c r="Q65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1.63"/>
    <col customWidth="1" min="3" max="3" width="54.38"/>
    <col customWidth="1" min="4" max="4" width="17.25"/>
    <col customWidth="1" min="5" max="5" width="14.88"/>
    <col customWidth="1" min="6" max="6" width="14.38"/>
    <col customWidth="1" min="7" max="7" width="21.0"/>
    <col customWidth="1" min="8" max="8" width="19.25"/>
    <col customWidth="1" min="9" max="9" width="20.0"/>
    <col customWidth="1" min="10" max="10" width="10.5"/>
    <col customWidth="1" min="11" max="11" width="7.63"/>
    <col customWidth="1" min="12" max="12" width="28.63"/>
    <col customWidth="1" min="13" max="13" width="16.63"/>
    <col customWidth="1" min="14" max="14" width="37.0"/>
    <col customWidth="1" min="15" max="15" width="19.25"/>
    <col customWidth="1" min="16" max="16" width="16.25"/>
    <col customWidth="1" min="17" max="17" width="43.38"/>
    <col customWidth="1" min="18" max="18" width="9.63"/>
    <col customWidth="1" min="19" max="19" width="23.75"/>
    <col customWidth="1" min="20" max="20" width="19.3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2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</row>
    <row r="2">
      <c r="A2" s="7">
        <v>400153.0</v>
      </c>
      <c r="B2" s="8" t="s">
        <v>17</v>
      </c>
      <c r="C2" s="9" t="s">
        <v>18</v>
      </c>
      <c r="D2" s="10">
        <v>0.04</v>
      </c>
      <c r="E2" s="11" t="s">
        <v>19</v>
      </c>
      <c r="F2" s="11" t="s">
        <v>19</v>
      </c>
      <c r="G2" s="15" t="e">
        <v>#N/A</v>
      </c>
      <c r="H2" s="12">
        <v>56.0</v>
      </c>
      <c r="I2" s="13" t="s">
        <v>20</v>
      </c>
      <c r="J2" s="14" t="s">
        <v>21</v>
      </c>
      <c r="K2" s="14">
        <v>7.0</v>
      </c>
      <c r="L2" s="14" t="str">
        <f t="array" ref="L2">INDEX('School Rep'!$A$2:$A$21, MATCH(J2, 'School Rep'!$B$2:$B$21, 0))</f>
        <v>Yesenia Lopez</v>
      </c>
      <c r="M2" s="15">
        <v>3.7</v>
      </c>
      <c r="N2" s="16" t="s">
        <v>22</v>
      </c>
      <c r="O2" s="8" t="str">
        <f t="shared" ref="O2:O648" si="1">LEFT(N2, FIND("|", N2) - 1)</f>
        <v>4420 S Fairfield Ave </v>
      </c>
      <c r="P2" s="12">
        <v>12.0</v>
      </c>
      <c r="Q2" s="13" t="s">
        <v>23</v>
      </c>
    </row>
    <row r="3">
      <c r="A3" s="7">
        <v>400101.0</v>
      </c>
      <c r="B3" s="8" t="s">
        <v>24</v>
      </c>
      <c r="C3" s="9" t="s">
        <v>25</v>
      </c>
      <c r="D3" s="10">
        <v>0.095</v>
      </c>
      <c r="E3" s="11" t="s">
        <v>19</v>
      </c>
      <c r="F3" s="11" t="s">
        <v>19</v>
      </c>
      <c r="G3" s="15" t="e">
        <v>#N/A</v>
      </c>
      <c r="H3" s="12">
        <v>51.0</v>
      </c>
      <c r="I3" s="13" t="s">
        <v>20</v>
      </c>
      <c r="J3" s="14" t="s">
        <v>26</v>
      </c>
      <c r="K3" s="14">
        <v>8.0</v>
      </c>
      <c r="L3" s="14" t="str">
        <f t="array" ref="L3">INDEX('School Rep'!$A$2:$A$21, MATCH(J3, 'School Rep'!$B$2:$B$21, 0))</f>
        <v>Cydney Wallace</v>
      </c>
      <c r="M3" s="15">
        <v>3.6</v>
      </c>
      <c r="N3" s="16" t="s">
        <v>27</v>
      </c>
      <c r="O3" s="8" t="str">
        <f t="shared" si="1"/>
        <v>2744 W Pershing Rd </v>
      </c>
      <c r="P3" s="12">
        <v>12.0</v>
      </c>
      <c r="Q3" s="13" t="s">
        <v>23</v>
      </c>
    </row>
    <row r="4">
      <c r="A4" s="7">
        <v>400120.0</v>
      </c>
      <c r="B4" s="12" t="s">
        <v>28</v>
      </c>
      <c r="C4" s="17" t="s">
        <v>29</v>
      </c>
      <c r="D4" s="10">
        <v>0.022</v>
      </c>
      <c r="E4" s="11" t="s">
        <v>19</v>
      </c>
      <c r="F4" s="11" t="s">
        <v>19</v>
      </c>
      <c r="G4" s="15" t="e">
        <v>#N/A</v>
      </c>
      <c r="H4" s="12">
        <v>16.0</v>
      </c>
      <c r="I4" s="13" t="s">
        <v>30</v>
      </c>
      <c r="J4" s="14" t="s">
        <v>31</v>
      </c>
      <c r="K4" s="14">
        <v>5.0</v>
      </c>
      <c r="L4" s="14" t="str">
        <f t="array" ref="L4">INDEX('School Rep'!$A$2:$A$21, MATCH(J4, 'School Rep'!$B$2:$B$21, 0))</f>
        <v>Aaron "Jitu" Brown</v>
      </c>
      <c r="M4" s="12">
        <v>3.6</v>
      </c>
      <c r="N4" s="16" t="s">
        <v>32</v>
      </c>
      <c r="O4" s="8" t="str">
        <f t="shared" si="1"/>
        <v>2050 N Natchez Ave </v>
      </c>
      <c r="P4" s="12">
        <v>29.0</v>
      </c>
      <c r="Q4" s="13" t="s">
        <v>33</v>
      </c>
    </row>
    <row r="5">
      <c r="A5" s="7">
        <v>400121.0</v>
      </c>
      <c r="B5" s="13" t="s">
        <v>34</v>
      </c>
      <c r="C5" s="18" t="s">
        <v>35</v>
      </c>
      <c r="D5" s="19">
        <v>0.147</v>
      </c>
      <c r="E5" s="18" t="s">
        <v>19</v>
      </c>
      <c r="F5" s="18" t="s">
        <v>19</v>
      </c>
      <c r="G5" s="15" t="e">
        <v>#N/A</v>
      </c>
      <c r="H5" s="12">
        <v>45.0</v>
      </c>
      <c r="I5" s="13" t="s">
        <v>20</v>
      </c>
      <c r="J5" s="14" t="s">
        <v>36</v>
      </c>
      <c r="K5" s="14">
        <v>2.0</v>
      </c>
      <c r="L5" s="14" t="str">
        <f t="array" ref="L5">INDEX('School Rep'!$A$2:$A$21, MATCH(J5, 'School Rep'!$B$2:$B$21, 0))</f>
        <v>Ebony DeBerry</v>
      </c>
      <c r="M5" s="12">
        <v>3.2</v>
      </c>
      <c r="N5" s="16" t="s">
        <v>37</v>
      </c>
      <c r="O5" s="8" t="str">
        <f t="shared" si="1"/>
        <v>7416 N Ridge Ave </v>
      </c>
      <c r="P5" s="12">
        <v>49.0</v>
      </c>
      <c r="Q5" s="13" t="s">
        <v>38</v>
      </c>
    </row>
    <row r="6">
      <c r="A6" s="7">
        <v>400081.0</v>
      </c>
      <c r="B6" s="8" t="s">
        <v>39</v>
      </c>
      <c r="C6" s="18" t="s">
        <v>40</v>
      </c>
      <c r="D6" s="19">
        <v>0.064</v>
      </c>
      <c r="E6" s="18" t="s">
        <v>19</v>
      </c>
      <c r="F6" s="18" t="s">
        <v>19</v>
      </c>
      <c r="G6" s="15" t="e">
        <v>#N/A</v>
      </c>
      <c r="H6" s="12">
        <v>32.0</v>
      </c>
      <c r="I6" s="13" t="s">
        <v>41</v>
      </c>
      <c r="J6" s="14" t="s">
        <v>42</v>
      </c>
      <c r="K6" s="14">
        <v>7.0</v>
      </c>
      <c r="L6" s="14" t="str">
        <f t="array" ref="L6">INDEX('School Rep'!$A$2:$A$21, MATCH(J6, 'School Rep'!$B$2:$B$21, 0))</f>
        <v>Emma Lozano</v>
      </c>
      <c r="M6" s="15">
        <v>3.4</v>
      </c>
      <c r="N6" s="16" t="s">
        <v>43</v>
      </c>
      <c r="O6" s="8" t="str">
        <f t="shared" si="1"/>
        <v>1641 W 16th St </v>
      </c>
      <c r="P6" s="12">
        <v>25.0</v>
      </c>
      <c r="Q6" s="13" t="s">
        <v>44</v>
      </c>
    </row>
    <row r="7">
      <c r="A7" s="7">
        <v>400082.0</v>
      </c>
      <c r="B7" s="12" t="s">
        <v>45</v>
      </c>
      <c r="C7" s="17" t="s">
        <v>46</v>
      </c>
      <c r="D7" s="10">
        <v>0.051</v>
      </c>
      <c r="E7" s="11" t="s">
        <v>19</v>
      </c>
      <c r="F7" s="11" t="s">
        <v>19</v>
      </c>
      <c r="G7" s="15" t="e">
        <v>#N/A</v>
      </c>
      <c r="H7" s="12">
        <v>42.0</v>
      </c>
      <c r="I7" s="13" t="s">
        <v>20</v>
      </c>
      <c r="J7" s="14" t="s">
        <v>47</v>
      </c>
      <c r="K7" s="14">
        <v>3.0</v>
      </c>
      <c r="L7" s="14" t="str">
        <f t="array" ref="L7">INDEX('School Rep'!$A$2:$A$21, MATCH(J7, 'School Rep'!$B$2:$B$21, 0))</f>
        <v>Norma Rios-Sierra</v>
      </c>
      <c r="M7" s="12">
        <v>3.3</v>
      </c>
      <c r="N7" s="16" t="s">
        <v>48</v>
      </c>
      <c r="O7" s="8" t="str">
        <f t="shared" si="1"/>
        <v>2845 W Barry Ave </v>
      </c>
      <c r="P7" s="12">
        <v>35.0</v>
      </c>
      <c r="Q7" s="13" t="s">
        <v>49</v>
      </c>
    </row>
    <row r="8">
      <c r="A8" s="7">
        <v>400085.0</v>
      </c>
      <c r="B8" s="8" t="s">
        <v>50</v>
      </c>
      <c r="C8" s="9" t="s">
        <v>51</v>
      </c>
      <c r="D8" s="10">
        <v>0.072</v>
      </c>
      <c r="E8" s="11" t="s">
        <v>19</v>
      </c>
      <c r="F8" s="11" t="s">
        <v>19</v>
      </c>
      <c r="G8" s="15" t="e">
        <v>#N/A</v>
      </c>
      <c r="H8" s="12">
        <v>60.0</v>
      </c>
      <c r="I8" s="13" t="s">
        <v>52</v>
      </c>
      <c r="J8" s="14" t="s">
        <v>21</v>
      </c>
      <c r="K8" s="14">
        <v>7.0</v>
      </c>
      <c r="L8" s="14" t="str">
        <f t="array" ref="L8">INDEX('School Rep'!$A$2:$A$21, MATCH(J8, 'School Rep'!$B$2:$B$21, 0))</f>
        <v>Yesenia Lopez</v>
      </c>
      <c r="M8" s="15">
        <v>3.0</v>
      </c>
      <c r="N8" s="16" t="s">
        <v>53</v>
      </c>
      <c r="O8" s="8" t="str">
        <f t="shared" si="1"/>
        <v>4248 W 47th St </v>
      </c>
      <c r="P8" s="12">
        <v>14.0</v>
      </c>
      <c r="Q8" s="13" t="s">
        <v>54</v>
      </c>
    </row>
    <row r="9">
      <c r="A9" s="7">
        <v>400112.0</v>
      </c>
      <c r="B9" s="8" t="s">
        <v>55</v>
      </c>
      <c r="C9" s="9" t="s">
        <v>56</v>
      </c>
      <c r="D9" s="10">
        <v>0.061</v>
      </c>
      <c r="E9" s="11" t="s">
        <v>19</v>
      </c>
      <c r="F9" s="11" t="s">
        <v>19</v>
      </c>
      <c r="G9" s="15" t="e">
        <v>#N/A</v>
      </c>
      <c r="H9" s="12">
        <v>64.0</v>
      </c>
      <c r="I9" s="13" t="s">
        <v>52</v>
      </c>
      <c r="J9" s="14" t="s">
        <v>21</v>
      </c>
      <c r="K9" s="14">
        <v>7.0</v>
      </c>
      <c r="L9" s="14" t="str">
        <f t="array" ref="L9">INDEX('School Rep'!$A$2:$A$21, MATCH(J9, 'School Rep'!$B$2:$B$21, 0))</f>
        <v>Yesenia Lopez</v>
      </c>
      <c r="M9" s="15">
        <v>3.5</v>
      </c>
      <c r="N9" s="16" t="s">
        <v>57</v>
      </c>
      <c r="O9" s="8" t="str">
        <f t="shared" si="1"/>
        <v>5050 S Homan Ave </v>
      </c>
      <c r="P9" s="12">
        <v>14.0</v>
      </c>
      <c r="Q9" s="13" t="s">
        <v>54</v>
      </c>
    </row>
    <row r="10">
      <c r="A10" s="7">
        <v>400089.0</v>
      </c>
      <c r="B10" s="8" t="s">
        <v>58</v>
      </c>
      <c r="C10" s="9" t="s">
        <v>59</v>
      </c>
      <c r="D10" s="10">
        <v>0.059</v>
      </c>
      <c r="E10" s="11" t="s">
        <v>19</v>
      </c>
      <c r="F10" s="11" t="s">
        <v>19</v>
      </c>
      <c r="G10" s="15" t="e">
        <v>#N/A</v>
      </c>
      <c r="H10" s="12">
        <v>46.0</v>
      </c>
      <c r="I10" s="13" t="s">
        <v>20</v>
      </c>
      <c r="J10" s="14" t="s">
        <v>21</v>
      </c>
      <c r="K10" s="14">
        <v>7.0</v>
      </c>
      <c r="L10" s="14" t="str">
        <f t="array" ref="L10">INDEX('School Rep'!$A$2:$A$21, MATCH(J10, 'School Rep'!$B$2:$B$21, 0))</f>
        <v>Yesenia Lopez</v>
      </c>
      <c r="M10" s="15">
        <v>3.7</v>
      </c>
      <c r="N10" s="16" t="s">
        <v>60</v>
      </c>
      <c r="O10" s="8" t="str">
        <f t="shared" si="1"/>
        <v>2916 W 47th St </v>
      </c>
      <c r="P10" s="12">
        <v>12.0</v>
      </c>
      <c r="Q10" s="13" t="s">
        <v>23</v>
      </c>
    </row>
    <row r="11">
      <c r="A11" s="7">
        <v>400083.0</v>
      </c>
      <c r="B11" s="8" t="s">
        <v>61</v>
      </c>
      <c r="C11" s="9" t="s">
        <v>62</v>
      </c>
      <c r="D11" s="10">
        <v>0.057</v>
      </c>
      <c r="E11" s="11" t="s">
        <v>19</v>
      </c>
      <c r="F11" s="11" t="s">
        <v>19</v>
      </c>
      <c r="G11" s="15" t="e">
        <v>#N/A</v>
      </c>
      <c r="H11" s="12">
        <v>33.0</v>
      </c>
      <c r="I11" s="13" t="s">
        <v>41</v>
      </c>
      <c r="J11" s="14" t="s">
        <v>42</v>
      </c>
      <c r="K11" s="14">
        <v>7.0</v>
      </c>
      <c r="L11" s="14" t="str">
        <f t="array" ref="L11">INDEX('School Rep'!$A$2:$A$21, MATCH(J11, 'School Rep'!$B$2:$B$21, 0))</f>
        <v>Emma Lozano</v>
      </c>
      <c r="M11" s="15">
        <v>3.8</v>
      </c>
      <c r="N11" s="16" t="s">
        <v>63</v>
      </c>
      <c r="O11" s="8" t="str">
        <f t="shared" si="1"/>
        <v>2651 W 23rd St </v>
      </c>
      <c r="P11" s="12">
        <v>25.0</v>
      </c>
      <c r="Q11" s="13" t="s">
        <v>44</v>
      </c>
    </row>
    <row r="12">
      <c r="A12" s="7">
        <v>400114.0</v>
      </c>
      <c r="B12" s="12" t="s">
        <v>64</v>
      </c>
      <c r="C12" s="17" t="s">
        <v>65</v>
      </c>
      <c r="D12" s="10">
        <v>0.095</v>
      </c>
      <c r="E12" s="11" t="s">
        <v>19</v>
      </c>
      <c r="F12" s="11" t="s">
        <v>19</v>
      </c>
      <c r="G12" s="15" t="e">
        <v>#N/A</v>
      </c>
      <c r="H12" s="12">
        <v>55.0</v>
      </c>
      <c r="I12" s="13" t="s">
        <v>20</v>
      </c>
      <c r="J12" s="14" t="s">
        <v>31</v>
      </c>
      <c r="K12" s="14">
        <v>5.0</v>
      </c>
      <c r="L12" s="14" t="str">
        <f t="array" ref="L12">INDEX('School Rep'!$A$2:$A$21, MATCH(J12, 'School Rep'!$B$2:$B$21, 0))</f>
        <v>Aaron "Jitu" Brown</v>
      </c>
      <c r="M12" s="12">
        <v>3.4</v>
      </c>
      <c r="N12" s="16" t="s">
        <v>66</v>
      </c>
      <c r="O12" s="8" t="str">
        <f t="shared" si="1"/>
        <v>2510 W Cortez St </v>
      </c>
      <c r="P12" s="12">
        <v>36.0</v>
      </c>
      <c r="Q12" s="13" t="s">
        <v>67</v>
      </c>
    </row>
    <row r="13">
      <c r="A13" s="7">
        <v>400149.0</v>
      </c>
      <c r="B13" s="8" t="s">
        <v>68</v>
      </c>
      <c r="C13" s="9" t="s">
        <v>69</v>
      </c>
      <c r="D13" s="10">
        <v>0.065</v>
      </c>
      <c r="E13" s="11" t="s">
        <v>19</v>
      </c>
      <c r="F13" s="11" t="s">
        <v>19</v>
      </c>
      <c r="G13" s="15" t="e">
        <v>#N/A</v>
      </c>
      <c r="H13" s="12">
        <v>65.0</v>
      </c>
      <c r="I13" s="13" t="s">
        <v>52</v>
      </c>
      <c r="J13" s="14" t="s">
        <v>21</v>
      </c>
      <c r="K13" s="14">
        <v>7.0</v>
      </c>
      <c r="L13" s="14" t="str">
        <f t="array" ref="L13">INDEX('School Rep'!$A$2:$A$21, MATCH(J13, 'School Rep'!$B$2:$B$21, 0))</f>
        <v>Yesenia Lopez</v>
      </c>
      <c r="M13" s="15">
        <v>3.0</v>
      </c>
      <c r="N13" s="16" t="s">
        <v>70</v>
      </c>
      <c r="O13" s="8" t="str">
        <f t="shared" si="1"/>
        <v>5025 S St. Louis Ave </v>
      </c>
      <c r="P13" s="12">
        <v>14.0</v>
      </c>
      <c r="Q13" s="13" t="s">
        <v>54</v>
      </c>
    </row>
    <row r="14">
      <c r="A14" s="7">
        <v>400084.0</v>
      </c>
      <c r="B14" s="8" t="s">
        <v>71</v>
      </c>
      <c r="C14" s="9" t="s">
        <v>72</v>
      </c>
      <c r="D14" s="10">
        <v>0.051</v>
      </c>
      <c r="E14" s="11" t="s">
        <v>19</v>
      </c>
      <c r="F14" s="11" t="s">
        <v>19</v>
      </c>
      <c r="G14" s="15" t="e">
        <v>#N/A</v>
      </c>
      <c r="H14" s="12">
        <v>54.0</v>
      </c>
      <c r="I14" s="13" t="s">
        <v>20</v>
      </c>
      <c r="J14" s="14" t="s">
        <v>21</v>
      </c>
      <c r="K14" s="14">
        <v>7.0</v>
      </c>
      <c r="L14" s="14" t="str">
        <f t="array" ref="L14">INDEX('School Rep'!$A$2:$A$21, MATCH(J14, 'School Rep'!$B$2:$B$21, 0))</f>
        <v>Yesenia Lopez</v>
      </c>
      <c r="M14" s="15">
        <v>3.6</v>
      </c>
      <c r="N14" s="16" t="s">
        <v>73</v>
      </c>
      <c r="O14" s="8" t="str">
        <f t="shared" si="1"/>
        <v>5135 S California Ave </v>
      </c>
      <c r="P14" s="12">
        <v>14.0</v>
      </c>
      <c r="Q14" s="13" t="s">
        <v>54</v>
      </c>
    </row>
    <row r="15">
      <c r="A15" s="7">
        <v>400080.0</v>
      </c>
      <c r="B15" s="8" t="s">
        <v>74</v>
      </c>
      <c r="C15" s="9" t="s">
        <v>75</v>
      </c>
      <c r="D15" s="10">
        <v>0.048</v>
      </c>
      <c r="E15" s="11" t="s">
        <v>19</v>
      </c>
      <c r="F15" s="11" t="s">
        <v>19</v>
      </c>
      <c r="G15" s="15" t="e">
        <v>#N/A</v>
      </c>
      <c r="H15" s="12">
        <v>60.0</v>
      </c>
      <c r="I15" s="13" t="s">
        <v>52</v>
      </c>
      <c r="J15" s="14" t="s">
        <v>21</v>
      </c>
      <c r="K15" s="14">
        <v>7.0</v>
      </c>
      <c r="L15" s="14" t="str">
        <f t="array" ref="L15">INDEX('School Rep'!$A$2:$A$21, MATCH(J15, 'School Rep'!$B$2:$B$21, 0))</f>
        <v>Yesenia Lopez</v>
      </c>
      <c r="M15" s="15">
        <v>3.3</v>
      </c>
      <c r="N15" s="16" t="s">
        <v>53</v>
      </c>
      <c r="O15" s="8" t="str">
        <f t="shared" si="1"/>
        <v>4248 W 47th St </v>
      </c>
      <c r="P15" s="12">
        <v>14.0</v>
      </c>
      <c r="Q15" s="13" t="s">
        <v>54</v>
      </c>
    </row>
    <row r="16">
      <c r="A16" s="7">
        <v>400079.0</v>
      </c>
      <c r="B16" s="8" t="s">
        <v>76</v>
      </c>
      <c r="C16" s="9" t="s">
        <v>77</v>
      </c>
      <c r="D16" s="10">
        <v>0.036</v>
      </c>
      <c r="E16" s="11" t="s">
        <v>19</v>
      </c>
      <c r="F16" s="11" t="s">
        <v>19</v>
      </c>
      <c r="G16" s="15" t="e">
        <v>#N/A</v>
      </c>
      <c r="H16" s="12">
        <v>60.0</v>
      </c>
      <c r="I16" s="13" t="s">
        <v>52</v>
      </c>
      <c r="J16" s="14" t="s">
        <v>21</v>
      </c>
      <c r="K16" s="14">
        <v>7.0</v>
      </c>
      <c r="L16" s="14" t="str">
        <f t="array" ref="L16">INDEX('School Rep'!$A$2:$A$21, MATCH(J16, 'School Rep'!$B$2:$B$21, 0))</f>
        <v>Yesenia Lopez</v>
      </c>
      <c r="M16" s="15">
        <v>3.1</v>
      </c>
      <c r="N16" s="16" t="s">
        <v>53</v>
      </c>
      <c r="O16" s="8" t="str">
        <f t="shared" si="1"/>
        <v>4248 W 47th St </v>
      </c>
      <c r="P16" s="12">
        <v>14.0</v>
      </c>
      <c r="Q16" s="13" t="s">
        <v>54</v>
      </c>
    </row>
    <row r="17">
      <c r="A17" s="7">
        <v>609772.0</v>
      </c>
      <c r="B17" s="13" t="s">
        <v>78</v>
      </c>
      <c r="C17" s="18" t="s">
        <v>79</v>
      </c>
      <c r="D17" s="19">
        <v>0.032</v>
      </c>
      <c r="E17" s="18" t="s">
        <v>80</v>
      </c>
      <c r="F17" s="18" t="s">
        <v>81</v>
      </c>
      <c r="G17" s="15" t="s">
        <v>2022</v>
      </c>
      <c r="H17" s="12">
        <v>55.0</v>
      </c>
      <c r="I17" s="13" t="s">
        <v>20</v>
      </c>
      <c r="J17" s="14" t="s">
        <v>82</v>
      </c>
      <c r="K17" s="14">
        <v>10.0</v>
      </c>
      <c r="L17" s="14" t="str">
        <f t="array" ref="L17">INDEX('School Rep'!$A$2:$A$21, MATCH(J17, 'School Rep'!$B$2:$B$21, 0))</f>
        <v>Olga Bautista</v>
      </c>
      <c r="M17" s="12">
        <v>2.8</v>
      </c>
      <c r="N17" s="16" t="s">
        <v>83</v>
      </c>
      <c r="O17" s="8" t="str">
        <f t="shared" si="1"/>
        <v>10810 S Avenue H </v>
      </c>
      <c r="P17" s="12">
        <v>10.0</v>
      </c>
      <c r="Q17" s="13" t="s">
        <v>84</v>
      </c>
    </row>
    <row r="18">
      <c r="A18" s="7">
        <v>400060.0</v>
      </c>
      <c r="B18" s="13" t="s">
        <v>85</v>
      </c>
      <c r="C18" s="17" t="s">
        <v>86</v>
      </c>
      <c r="D18" s="10">
        <v>0.183</v>
      </c>
      <c r="E18" s="11" t="s">
        <v>19</v>
      </c>
      <c r="F18" s="11" t="s">
        <v>19</v>
      </c>
      <c r="G18" s="15" t="e">
        <v>#N/A</v>
      </c>
      <c r="H18" s="12">
        <v>29.0</v>
      </c>
      <c r="I18" s="13" t="s">
        <v>41</v>
      </c>
      <c r="J18" s="14" t="s">
        <v>87</v>
      </c>
      <c r="K18" s="14">
        <v>2.0</v>
      </c>
      <c r="L18" s="14" t="str">
        <f t="array" ref="L18">INDEX('School Rep'!$A$2:$A$21, MATCH(J18, 'School Rep'!$B$2:$B$21, 0))</f>
        <v>Debby Pope</v>
      </c>
      <c r="M18" s="12">
        <v>2.6</v>
      </c>
      <c r="N18" s="16" t="s">
        <v>88</v>
      </c>
      <c r="O18" s="8" t="str">
        <f t="shared" si="1"/>
        <v>1643 W Bryn Mawr Ave </v>
      </c>
      <c r="P18" s="12">
        <v>40.0</v>
      </c>
      <c r="Q18" s="13" t="s">
        <v>89</v>
      </c>
    </row>
    <row r="19">
      <c r="A19" s="7">
        <v>610513.0</v>
      </c>
      <c r="B19" s="8" t="s">
        <v>90</v>
      </c>
      <c r="C19" s="9" t="s">
        <v>91</v>
      </c>
      <c r="D19" s="10">
        <v>0.0</v>
      </c>
      <c r="E19" s="11" t="s">
        <v>80</v>
      </c>
      <c r="F19" s="11" t="s">
        <v>92</v>
      </c>
      <c r="G19" s="15" t="s">
        <v>2023</v>
      </c>
      <c r="H19" s="12">
        <v>39.0</v>
      </c>
      <c r="I19" s="13" t="s">
        <v>41</v>
      </c>
      <c r="J19" s="14" t="s">
        <v>26</v>
      </c>
      <c r="K19" s="14">
        <v>8.0</v>
      </c>
      <c r="L19" s="14" t="str">
        <f t="array" ref="L19">INDEX('School Rep'!$A$2:$A$21, MATCH(J19, 'School Rep'!$B$2:$B$21, 0))</f>
        <v>Cydney Wallace</v>
      </c>
      <c r="M19" s="15">
        <v>3.2</v>
      </c>
      <c r="N19" s="16" t="s">
        <v>93</v>
      </c>
      <c r="O19" s="8" t="str">
        <f t="shared" si="1"/>
        <v>3630 S Wells St </v>
      </c>
      <c r="P19" s="12">
        <v>11.0</v>
      </c>
      <c r="Q19" s="13" t="s">
        <v>94</v>
      </c>
    </row>
    <row r="20">
      <c r="A20" s="7">
        <v>610212.0</v>
      </c>
      <c r="B20" s="13" t="s">
        <v>95</v>
      </c>
      <c r="C20" s="18" t="s">
        <v>96</v>
      </c>
      <c r="D20" s="19">
        <v>0.087</v>
      </c>
      <c r="E20" s="18" t="s">
        <v>80</v>
      </c>
      <c r="F20" s="18" t="s">
        <v>97</v>
      </c>
      <c r="G20" s="15" t="s">
        <v>2024</v>
      </c>
      <c r="H20" s="12">
        <v>71.0</v>
      </c>
      <c r="I20" s="13" t="s">
        <v>52</v>
      </c>
      <c r="J20" s="14" t="s">
        <v>87</v>
      </c>
      <c r="K20" s="14">
        <v>2.0</v>
      </c>
      <c r="L20" s="14" t="str">
        <f t="array" ref="L20">INDEX('School Rep'!$A$2:$A$21, MATCH(J20, 'School Rep'!$B$2:$B$21, 0))</f>
        <v>Debby Pope</v>
      </c>
      <c r="M20" s="12">
        <v>2.4</v>
      </c>
      <c r="N20" s="16" t="s">
        <v>98</v>
      </c>
      <c r="O20" s="8" t="str">
        <f t="shared" si="1"/>
        <v>4929 N Sawyer Ave </v>
      </c>
      <c r="P20" s="12">
        <v>33.0</v>
      </c>
      <c r="Q20" s="13" t="s">
        <v>99</v>
      </c>
    </row>
    <row r="21">
      <c r="A21" s="7">
        <v>609774.0</v>
      </c>
      <c r="B21" s="12" t="s">
        <v>100</v>
      </c>
      <c r="C21" s="18" t="s">
        <v>101</v>
      </c>
      <c r="D21" s="19">
        <v>0.045</v>
      </c>
      <c r="E21" s="18" t="s">
        <v>80</v>
      </c>
      <c r="F21" s="18" t="s">
        <v>102</v>
      </c>
      <c r="G21" s="15" t="s">
        <v>2025</v>
      </c>
      <c r="H21" s="12">
        <v>58.0</v>
      </c>
      <c r="I21" s="13" t="s">
        <v>20</v>
      </c>
      <c r="J21" s="14" t="s">
        <v>103</v>
      </c>
      <c r="K21" s="14">
        <v>4.0</v>
      </c>
      <c r="L21" s="14" t="str">
        <f t="array" ref="L21">INDEX('School Rep'!$A$2:$A$21, MATCH(J21, 'School Rep'!$B$2:$B$21, 0))</f>
        <v>Ellen Rosenfeld</v>
      </c>
      <c r="M21" s="12">
        <v>1.8</v>
      </c>
      <c r="N21" s="16" t="s">
        <v>104</v>
      </c>
      <c r="O21" s="8" t="str">
        <f t="shared" si="1"/>
        <v>2625 N Orchard St </v>
      </c>
      <c r="P21" s="12">
        <v>43.0</v>
      </c>
      <c r="Q21" s="13" t="s">
        <v>105</v>
      </c>
    </row>
    <row r="22">
      <c r="A22" s="7">
        <v>610524.0</v>
      </c>
      <c r="B22" s="12" t="s">
        <v>106</v>
      </c>
      <c r="C22" s="18" t="s">
        <v>107</v>
      </c>
      <c r="D22" s="19">
        <v>0.078</v>
      </c>
      <c r="E22" s="18" t="s">
        <v>80</v>
      </c>
      <c r="F22" s="18" t="s">
        <v>108</v>
      </c>
      <c r="G22" s="15" t="s">
        <v>2026</v>
      </c>
      <c r="H22" s="12">
        <v>51.0</v>
      </c>
      <c r="I22" s="13" t="s">
        <v>20</v>
      </c>
      <c r="J22" s="14" t="s">
        <v>103</v>
      </c>
      <c r="K22" s="14">
        <v>4.0</v>
      </c>
      <c r="L22" s="14" t="str">
        <f t="array" ref="L22">INDEX('School Rep'!$A$2:$A$21, MATCH(J22, 'School Rep'!$B$2:$B$21, 0))</f>
        <v>Ellen Rosenfeld</v>
      </c>
      <c r="M22" s="12">
        <v>2.4</v>
      </c>
      <c r="N22" s="16" t="s">
        <v>109</v>
      </c>
      <c r="O22" s="8" t="str">
        <f t="shared" si="1"/>
        <v>2957 N Hoyne Ave </v>
      </c>
      <c r="P22" s="12">
        <v>32.0</v>
      </c>
      <c r="Q22" s="13" t="s">
        <v>110</v>
      </c>
    </row>
    <row r="23">
      <c r="A23" s="7">
        <v>609848.0</v>
      </c>
      <c r="B23" s="13" t="s">
        <v>111</v>
      </c>
      <c r="C23" s="17" t="s">
        <v>112</v>
      </c>
      <c r="D23" s="10">
        <v>0.179</v>
      </c>
      <c r="E23" s="11" t="s">
        <v>80</v>
      </c>
      <c r="F23" s="11" t="s">
        <v>81</v>
      </c>
      <c r="G23" s="15" t="s">
        <v>2022</v>
      </c>
      <c r="H23" s="12">
        <v>46.0</v>
      </c>
      <c r="I23" s="13" t="s">
        <v>20</v>
      </c>
      <c r="J23" s="14" t="s">
        <v>82</v>
      </c>
      <c r="K23" s="14">
        <v>10.0</v>
      </c>
      <c r="L23" s="14" t="str">
        <f t="array" ref="L23">INDEX('School Rep'!$A$2:$A$21, MATCH(J23, 'School Rep'!$B$2:$B$21, 0))</f>
        <v>Olga Bautista</v>
      </c>
      <c r="M23" s="12">
        <v>3.2</v>
      </c>
      <c r="N23" s="16" t="s">
        <v>113</v>
      </c>
      <c r="O23" s="8" t="str">
        <f t="shared" si="1"/>
        <v>630 E 131st St </v>
      </c>
      <c r="P23" s="12">
        <v>10.0</v>
      </c>
      <c r="Q23" s="13" t="s">
        <v>84</v>
      </c>
    </row>
    <row r="24">
      <c r="A24" s="7">
        <v>609695.0</v>
      </c>
      <c r="B24" s="13" t="s">
        <v>114</v>
      </c>
      <c r="C24" s="17" t="s">
        <v>115</v>
      </c>
      <c r="D24" s="10">
        <v>0.064</v>
      </c>
      <c r="E24" s="11" t="s">
        <v>80</v>
      </c>
      <c r="F24" s="11" t="s">
        <v>116</v>
      </c>
      <c r="G24" s="15" t="s">
        <v>2027</v>
      </c>
      <c r="H24" s="12">
        <v>56.0</v>
      </c>
      <c r="I24" s="13" t="s">
        <v>20</v>
      </c>
      <c r="J24" s="14" t="s">
        <v>87</v>
      </c>
      <c r="K24" s="14">
        <v>2.0</v>
      </c>
      <c r="L24" s="14" t="str">
        <f t="array" ref="L24">INDEX('School Rep'!$A$2:$A$21, MATCH(J24, 'School Rep'!$B$2:$B$21, 0))</f>
        <v>Debby Pope</v>
      </c>
      <c r="M24" s="12">
        <v>1.4</v>
      </c>
      <c r="N24" s="16" t="s">
        <v>117</v>
      </c>
      <c r="O24" s="8" t="str">
        <f t="shared" si="1"/>
        <v>5110 N Damen Ave </v>
      </c>
      <c r="P24" s="12">
        <v>40.0</v>
      </c>
      <c r="Q24" s="13" t="s">
        <v>89</v>
      </c>
    </row>
    <row r="25">
      <c r="A25" s="7">
        <v>609951.0</v>
      </c>
      <c r="B25" s="13" t="s">
        <v>118</v>
      </c>
      <c r="C25" s="18" t="s">
        <v>119</v>
      </c>
      <c r="D25" s="19">
        <v>0.07</v>
      </c>
      <c r="E25" s="18" t="s">
        <v>80</v>
      </c>
      <c r="F25" s="18" t="s">
        <v>120</v>
      </c>
      <c r="G25" s="15" t="s">
        <v>2028</v>
      </c>
      <c r="H25" s="12">
        <v>62.0</v>
      </c>
      <c r="I25" s="13" t="s">
        <v>52</v>
      </c>
      <c r="J25" s="14" t="s">
        <v>121</v>
      </c>
      <c r="K25" s="14">
        <v>10.0</v>
      </c>
      <c r="L25" s="14" t="str">
        <f t="array" ref="L25">INDEX('School Rep'!$A$2:$A$21, MATCH(J25, 'School Rep'!$B$2:$B$21, 0))</f>
        <v>Che "Rhymefest" Smith</v>
      </c>
      <c r="M25" s="12">
        <v>3.3</v>
      </c>
      <c r="N25" s="16" t="s">
        <v>122</v>
      </c>
      <c r="O25" s="8" t="str">
        <f t="shared" si="1"/>
        <v>1119 E 46th St </v>
      </c>
      <c r="P25" s="12">
        <v>4.0</v>
      </c>
      <c r="Q25" s="13" t="s">
        <v>123</v>
      </c>
    </row>
    <row r="26">
      <c r="A26" s="7">
        <v>609777.0</v>
      </c>
      <c r="B26" s="8" t="s">
        <v>124</v>
      </c>
      <c r="C26" s="18" t="s">
        <v>125</v>
      </c>
      <c r="D26" s="19">
        <v>0.078</v>
      </c>
      <c r="E26" s="18" t="s">
        <v>80</v>
      </c>
      <c r="F26" s="18" t="s">
        <v>126</v>
      </c>
      <c r="G26" s="15" t="e">
        <v>#N/A</v>
      </c>
      <c r="H26" s="12">
        <v>66.0</v>
      </c>
      <c r="I26" s="13" t="s">
        <v>52</v>
      </c>
      <c r="J26" s="14" t="s">
        <v>21</v>
      </c>
      <c r="K26" s="14">
        <v>7.0</v>
      </c>
      <c r="L26" s="14" t="str">
        <f t="array" ref="L26">INDEX('School Rep'!$A$2:$A$21, MATCH(J26, 'School Rep'!$B$2:$B$21, 0))</f>
        <v>Yesenia Lopez</v>
      </c>
      <c r="M26" s="15">
        <v>2.4</v>
      </c>
      <c r="N26" s="16" t="s">
        <v>127</v>
      </c>
      <c r="O26" s="8" t="str">
        <f t="shared" si="1"/>
        <v>950 W 33rd Pl </v>
      </c>
      <c r="P26" s="12">
        <v>11.0</v>
      </c>
      <c r="Q26" s="13" t="s">
        <v>94</v>
      </c>
    </row>
    <row r="27">
      <c r="A27" s="7">
        <v>609779.0</v>
      </c>
      <c r="B27" s="13" t="s">
        <v>128</v>
      </c>
      <c r="C27" s="18" t="s">
        <v>129</v>
      </c>
      <c r="D27" s="19">
        <v>0.16</v>
      </c>
      <c r="E27" s="18" t="s">
        <v>80</v>
      </c>
      <c r="F27" s="18" t="s">
        <v>126</v>
      </c>
      <c r="G27" s="15" t="e">
        <v>#N/A</v>
      </c>
      <c r="H27" s="12">
        <v>67.0</v>
      </c>
      <c r="I27" s="13" t="s">
        <v>52</v>
      </c>
      <c r="J27" s="14" t="s">
        <v>36</v>
      </c>
      <c r="K27" s="14">
        <v>2.0</v>
      </c>
      <c r="L27" s="14" t="str">
        <f t="array" ref="L27">INDEX('School Rep'!$A$2:$A$21, MATCH(J27, 'School Rep'!$B$2:$B$21, 0))</f>
        <v>Ebony DeBerry</v>
      </c>
      <c r="M27" s="12">
        <v>2.8</v>
      </c>
      <c r="N27" s="16" t="s">
        <v>130</v>
      </c>
      <c r="O27" s="8" t="str">
        <f t="shared" si="1"/>
        <v>2110 W Greenleaf Ave </v>
      </c>
      <c r="P27" s="12">
        <v>50.0</v>
      </c>
      <c r="Q27" s="13" t="s">
        <v>131</v>
      </c>
    </row>
    <row r="28">
      <c r="A28" s="7">
        <v>400181.0</v>
      </c>
      <c r="B28" s="13" t="s">
        <v>132</v>
      </c>
      <c r="C28" s="17" t="s">
        <v>133</v>
      </c>
      <c r="D28" s="10">
        <v>0.141</v>
      </c>
      <c r="E28" s="11" t="s">
        <v>19</v>
      </c>
      <c r="F28" s="11" t="s">
        <v>19</v>
      </c>
      <c r="G28" s="15" t="e">
        <v>#N/A</v>
      </c>
      <c r="H28" s="12">
        <v>44.0</v>
      </c>
      <c r="I28" s="13" t="s">
        <v>20</v>
      </c>
      <c r="J28" s="14" t="s">
        <v>121</v>
      </c>
      <c r="K28" s="14">
        <v>10.0</v>
      </c>
      <c r="L28" s="14" t="str">
        <f t="array" ref="L28">INDEX('School Rep'!$A$2:$A$21, MATCH(J28, 'School Rep'!$B$2:$B$21, 0))</f>
        <v>Che "Rhymefest" Smith</v>
      </c>
      <c r="M28" s="12">
        <v>3.5</v>
      </c>
      <c r="N28" s="16" t="s">
        <v>134</v>
      </c>
      <c r="O28" s="8" t="str">
        <f t="shared" si="1"/>
        <v>7415 S East End </v>
      </c>
      <c r="P28" s="12">
        <v>8.0</v>
      </c>
      <c r="Q28" s="13" t="s">
        <v>135</v>
      </c>
    </row>
    <row r="29">
      <c r="A29" s="7">
        <v>610287.0</v>
      </c>
      <c r="B29" s="8" t="s">
        <v>136</v>
      </c>
      <c r="C29" s="18" t="s">
        <v>137</v>
      </c>
      <c r="D29" s="19">
        <v>0.055</v>
      </c>
      <c r="E29" s="18" t="s">
        <v>80</v>
      </c>
      <c r="F29" s="18" t="s">
        <v>138</v>
      </c>
      <c r="G29" s="15" t="s">
        <v>2029</v>
      </c>
      <c r="H29" s="12">
        <v>51.0</v>
      </c>
      <c r="I29" s="13" t="s">
        <v>20</v>
      </c>
      <c r="J29" s="14" t="s">
        <v>139</v>
      </c>
      <c r="K29" s="14">
        <v>8.0</v>
      </c>
      <c r="L29" s="14" t="str">
        <f t="array" ref="L29">INDEX('School Rep'!$A$2:$A$21, MATCH(J29, 'School Rep'!$B$2:$B$21, 0))</f>
        <v>Angel Gutierrez</v>
      </c>
      <c r="M29" s="15">
        <v>3.2</v>
      </c>
      <c r="N29" s="16" t="s">
        <v>140</v>
      </c>
      <c r="O29" s="8" t="str">
        <f t="shared" si="1"/>
        <v>8300 S St Louis Ave </v>
      </c>
      <c r="P29" s="12">
        <v>18.0</v>
      </c>
      <c r="Q29" s="13" t="s">
        <v>141</v>
      </c>
    </row>
    <row r="30">
      <c r="A30" s="7">
        <v>610268.0</v>
      </c>
      <c r="B30" s="13" t="s">
        <v>142</v>
      </c>
      <c r="C30" s="18" t="s">
        <v>143</v>
      </c>
      <c r="D30" s="19">
        <v>0.27</v>
      </c>
      <c r="E30" s="18" t="s">
        <v>80</v>
      </c>
      <c r="F30" s="18" t="s">
        <v>144</v>
      </c>
      <c r="G30" s="15" t="s">
        <v>2030</v>
      </c>
      <c r="H30" s="12">
        <v>57.0</v>
      </c>
      <c r="I30" s="13" t="s">
        <v>20</v>
      </c>
      <c r="J30" s="14" t="s">
        <v>82</v>
      </c>
      <c r="K30" s="14">
        <v>10.0</v>
      </c>
      <c r="L30" s="14" t="str">
        <f t="array" ref="L30">INDEX('School Rep'!$A$2:$A$21, MATCH(J30, 'School Rep'!$B$2:$B$21, 0))</f>
        <v>Olga Bautista</v>
      </c>
      <c r="M30" s="12">
        <v>2.9</v>
      </c>
      <c r="N30" s="16" t="s">
        <v>145</v>
      </c>
      <c r="O30" s="8" t="str">
        <f t="shared" si="1"/>
        <v>8505 S Ingleside Ave </v>
      </c>
      <c r="P30" s="12">
        <v>8.0</v>
      </c>
      <c r="Q30" s="13" t="s">
        <v>135</v>
      </c>
    </row>
    <row r="31">
      <c r="A31" s="7">
        <v>400172.0</v>
      </c>
      <c r="B31" s="13" t="s">
        <v>146</v>
      </c>
      <c r="C31" s="17" t="s">
        <v>147</v>
      </c>
      <c r="D31" s="10">
        <v>0.13</v>
      </c>
      <c r="E31" s="11" t="s">
        <v>19</v>
      </c>
      <c r="F31" s="11" t="s">
        <v>19</v>
      </c>
      <c r="G31" s="15" t="e">
        <v>#N/A</v>
      </c>
      <c r="H31" s="12">
        <v>20.0</v>
      </c>
      <c r="I31" s="13" t="s">
        <v>41</v>
      </c>
      <c r="J31" s="14" t="s">
        <v>47</v>
      </c>
      <c r="K31" s="14">
        <v>3.0</v>
      </c>
      <c r="L31" s="14" t="str">
        <f t="array" ref="L31">INDEX('School Rep'!$A$2:$A$21, MATCH(J31, 'School Rep'!$B$2:$B$21, 0))</f>
        <v>Norma Rios-Sierra</v>
      </c>
      <c r="M31" s="12">
        <v>3.2</v>
      </c>
      <c r="N31" s="16" t="s">
        <v>148</v>
      </c>
      <c r="O31" s="8" t="str">
        <f t="shared" si="1"/>
        <v>2989 N Milwaukee Ave </v>
      </c>
      <c r="P31" s="12">
        <v>35.0</v>
      </c>
      <c r="Q31" s="13" t="s">
        <v>49</v>
      </c>
    </row>
    <row r="32">
      <c r="A32" s="7">
        <v>400013.0</v>
      </c>
      <c r="B32" s="13" t="s">
        <v>149</v>
      </c>
      <c r="C32" s="18" t="s">
        <v>150</v>
      </c>
      <c r="D32" s="19">
        <v>0.229</v>
      </c>
      <c r="E32" s="18" t="s">
        <v>19</v>
      </c>
      <c r="F32" s="18" t="s">
        <v>19</v>
      </c>
      <c r="G32" s="15" t="e">
        <v>#N/A</v>
      </c>
      <c r="H32" s="12">
        <v>69.0</v>
      </c>
      <c r="I32" s="13" t="s">
        <v>52</v>
      </c>
      <c r="J32" s="14" t="s">
        <v>47</v>
      </c>
      <c r="K32" s="14">
        <v>3.0</v>
      </c>
      <c r="L32" s="14" t="str">
        <f t="array" ref="L32">INDEX('School Rep'!$A$2:$A$21, MATCH(J32, 'School Rep'!$B$2:$B$21, 0))</f>
        <v>Norma Rios-Sierra</v>
      </c>
      <c r="M32" s="12">
        <v>3.3</v>
      </c>
      <c r="N32" s="16" t="s">
        <v>151</v>
      </c>
      <c r="O32" s="8" t="str">
        <f t="shared" si="1"/>
        <v>3986 W Barry Ave </v>
      </c>
      <c r="P32" s="12">
        <v>31.0</v>
      </c>
      <c r="Q32" s="13" t="s">
        <v>152</v>
      </c>
    </row>
    <row r="33">
      <c r="A33" s="7">
        <v>400017.0</v>
      </c>
      <c r="B33" s="13" t="s">
        <v>153</v>
      </c>
      <c r="C33" s="18" t="s">
        <v>154</v>
      </c>
      <c r="D33" s="19">
        <v>0.186</v>
      </c>
      <c r="E33" s="18" t="s">
        <v>19</v>
      </c>
      <c r="F33" s="18" t="s">
        <v>19</v>
      </c>
      <c r="G33" s="15" t="e">
        <v>#N/A</v>
      </c>
      <c r="H33" s="12">
        <v>43.0</v>
      </c>
      <c r="I33" s="13" t="s">
        <v>20</v>
      </c>
      <c r="J33" s="14" t="s">
        <v>47</v>
      </c>
      <c r="K33" s="14">
        <v>3.0</v>
      </c>
      <c r="L33" s="14" t="str">
        <f t="array" ref="L33">INDEX('School Rep'!$A$2:$A$21, MATCH(J33, 'School Rep'!$B$2:$B$21, 0))</f>
        <v>Norma Rios-Sierra</v>
      </c>
      <c r="M33" s="12">
        <v>3.6</v>
      </c>
      <c r="N33" s="16" t="s">
        <v>155</v>
      </c>
      <c r="O33" s="8" t="str">
        <f t="shared" si="1"/>
        <v>3729 W Leland Ave </v>
      </c>
      <c r="P33" s="12">
        <v>33.0</v>
      </c>
      <c r="Q33" s="13" t="s">
        <v>99</v>
      </c>
    </row>
    <row r="34">
      <c r="A34" s="7">
        <v>609782.0</v>
      </c>
      <c r="B34" s="12" t="s">
        <v>156</v>
      </c>
      <c r="C34" s="17" t="s">
        <v>157</v>
      </c>
      <c r="D34" s="10">
        <v>0.036</v>
      </c>
      <c r="E34" s="11" t="s">
        <v>80</v>
      </c>
      <c r="F34" s="11" t="s">
        <v>102</v>
      </c>
      <c r="G34" s="15" t="s">
        <v>2025</v>
      </c>
      <c r="H34" s="12">
        <v>69.0</v>
      </c>
      <c r="I34" s="13" t="s">
        <v>52</v>
      </c>
      <c r="J34" s="14" t="s">
        <v>103</v>
      </c>
      <c r="K34" s="14">
        <v>4.0</v>
      </c>
      <c r="L34" s="14" t="str">
        <f t="array" ref="L34">INDEX('School Rep'!$A$2:$A$21, MATCH(J34, 'School Rep'!$B$2:$B$21, 0))</f>
        <v>Ellen Rosenfeld</v>
      </c>
      <c r="M34" s="12">
        <v>1.5</v>
      </c>
      <c r="N34" s="16" t="s">
        <v>158</v>
      </c>
      <c r="O34" s="8" t="str">
        <f t="shared" si="1"/>
        <v>3500 N Hoyne Ave </v>
      </c>
      <c r="P34" s="12">
        <v>32.0</v>
      </c>
      <c r="Q34" s="13" t="s">
        <v>110</v>
      </c>
    </row>
    <row r="35">
      <c r="A35" s="7">
        <v>610518.0</v>
      </c>
      <c r="B35" s="12" t="s">
        <v>159</v>
      </c>
      <c r="C35" s="17" t="s">
        <v>160</v>
      </c>
      <c r="D35" s="10">
        <v>0.441</v>
      </c>
      <c r="E35" s="11" t="s">
        <v>80</v>
      </c>
      <c r="F35" s="11" t="s">
        <v>108</v>
      </c>
      <c r="G35" s="15" t="s">
        <v>2026</v>
      </c>
      <c r="H35" s="12">
        <v>57.0</v>
      </c>
      <c r="I35" s="13" t="s">
        <v>20</v>
      </c>
      <c r="J35" s="14" t="s">
        <v>31</v>
      </c>
      <c r="K35" s="14">
        <v>5.0</v>
      </c>
      <c r="L35" s="14" t="str">
        <f t="array" ref="L35">INDEX('School Rep'!$A$2:$A$21, MATCH(J35, 'School Rep'!$B$2:$B$21, 0))</f>
        <v>Aaron "Jitu" Brown</v>
      </c>
      <c r="M35" s="12">
        <v>3.7</v>
      </c>
      <c r="N35" s="16" t="s">
        <v>161</v>
      </c>
      <c r="O35" s="8" t="str">
        <f t="shared" si="1"/>
        <v>231 N Pine Ave </v>
      </c>
      <c r="P35" s="12">
        <v>37.0</v>
      </c>
      <c r="Q35" s="13" t="s">
        <v>162</v>
      </c>
    </row>
    <row r="36">
      <c r="A36" s="7">
        <v>609786.0</v>
      </c>
      <c r="B36" s="13" t="s">
        <v>163</v>
      </c>
      <c r="C36" s="18" t="s">
        <v>164</v>
      </c>
      <c r="D36" s="19">
        <v>0.284</v>
      </c>
      <c r="E36" s="18" t="s">
        <v>80</v>
      </c>
      <c r="F36" s="18" t="s">
        <v>144</v>
      </c>
      <c r="G36" s="15" t="s">
        <v>2030</v>
      </c>
      <c r="H36" s="12">
        <v>63.0</v>
      </c>
      <c r="I36" s="13" t="s">
        <v>52</v>
      </c>
      <c r="J36" s="14" t="s">
        <v>82</v>
      </c>
      <c r="K36" s="14">
        <v>10.0</v>
      </c>
      <c r="L36" s="14" t="str">
        <f t="array" ref="L36">INDEX('School Rep'!$A$2:$A$21, MATCH(J36, 'School Rep'!$B$2:$B$21, 0))</f>
        <v>Olga Bautista</v>
      </c>
      <c r="M36" s="12">
        <v>2.8</v>
      </c>
      <c r="N36" s="16" t="s">
        <v>165</v>
      </c>
      <c r="O36" s="8" t="str">
        <f t="shared" si="1"/>
        <v>8045 S Kenwood Ave </v>
      </c>
      <c r="P36" s="12">
        <v>8.0</v>
      </c>
      <c r="Q36" s="13" t="s">
        <v>135</v>
      </c>
    </row>
    <row r="37">
      <c r="A37" s="7">
        <v>610325.0</v>
      </c>
      <c r="B37" s="12" t="s">
        <v>166</v>
      </c>
      <c r="C37" s="18" t="s">
        <v>167</v>
      </c>
      <c r="D37" s="19">
        <v>0.106</v>
      </c>
      <c r="E37" s="18" t="s">
        <v>80</v>
      </c>
      <c r="F37" s="18" t="s">
        <v>102</v>
      </c>
      <c r="G37" s="15" t="s">
        <v>2025</v>
      </c>
      <c r="H37" s="12">
        <v>41.0</v>
      </c>
      <c r="I37" s="13" t="s">
        <v>20</v>
      </c>
      <c r="J37" s="14" t="s">
        <v>47</v>
      </c>
      <c r="K37" s="14">
        <v>3.0</v>
      </c>
      <c r="L37" s="14" t="str">
        <f t="array" ref="L37">INDEX('School Rep'!$A$2:$A$21, MATCH(J37, 'School Rep'!$B$2:$B$21, 0))</f>
        <v>Norma Rios-Sierra</v>
      </c>
      <c r="M37" s="12">
        <v>2.9</v>
      </c>
      <c r="N37" s="16" t="s">
        <v>168</v>
      </c>
      <c r="O37" s="8" t="str">
        <f t="shared" si="1"/>
        <v>3212 W George St </v>
      </c>
      <c r="P37" s="12">
        <v>35.0</v>
      </c>
      <c r="Q37" s="13" t="s">
        <v>49</v>
      </c>
    </row>
    <row r="38">
      <c r="A38" s="7">
        <v>610544.0</v>
      </c>
      <c r="B38" s="8" t="s">
        <v>169</v>
      </c>
      <c r="C38" s="9" t="s">
        <v>170</v>
      </c>
      <c r="D38" s="10">
        <v>0.07</v>
      </c>
      <c r="E38" s="11" t="s">
        <v>80</v>
      </c>
      <c r="F38" s="11" t="s">
        <v>138</v>
      </c>
      <c r="G38" s="15" t="s">
        <v>2029</v>
      </c>
      <c r="H38" s="12">
        <v>47.0</v>
      </c>
      <c r="I38" s="13" t="s">
        <v>20</v>
      </c>
      <c r="J38" s="14" t="s">
        <v>139</v>
      </c>
      <c r="K38" s="14">
        <v>8.0</v>
      </c>
      <c r="L38" s="14" t="str">
        <f t="array" ref="L38">INDEX('School Rep'!$A$2:$A$21, MATCH(J38, 'School Rep'!$B$2:$B$21, 0))</f>
        <v>Angel Gutierrez</v>
      </c>
      <c r="M38" s="15">
        <v>3.3</v>
      </c>
      <c r="N38" s="16" t="s">
        <v>171</v>
      </c>
      <c r="O38" s="8" t="str">
        <f t="shared" si="1"/>
        <v>4707 W Marquette Rd </v>
      </c>
      <c r="P38" s="12">
        <v>23.0</v>
      </c>
      <c r="Q38" s="13" t="s">
        <v>172</v>
      </c>
    </row>
    <row r="39">
      <c r="A39" s="7">
        <v>610563.0</v>
      </c>
      <c r="B39" s="8" t="s">
        <v>173</v>
      </c>
      <c r="C39" s="18" t="s">
        <v>174</v>
      </c>
      <c r="D39" s="19">
        <v>0.045</v>
      </c>
      <c r="E39" s="18" t="s">
        <v>80</v>
      </c>
      <c r="F39" s="18" t="s">
        <v>126</v>
      </c>
      <c r="G39" s="15" t="e">
        <v>#N/A</v>
      </c>
      <c r="H39" s="12">
        <v>38.0</v>
      </c>
      <c r="I39" s="13" t="s">
        <v>41</v>
      </c>
      <c r="J39" s="14" t="s">
        <v>26</v>
      </c>
      <c r="K39" s="14">
        <v>8.0</v>
      </c>
      <c r="L39" s="14" t="str">
        <f t="array" ref="L39">INDEX('School Rep'!$A$2:$A$21, MATCH(J39, 'School Rep'!$B$2:$B$21, 0))</f>
        <v>Cydney Wallace</v>
      </c>
      <c r="M39" s="15">
        <v>3.5</v>
      </c>
      <c r="N39" s="16" t="s">
        <v>175</v>
      </c>
      <c r="O39" s="8" t="str">
        <f t="shared" si="1"/>
        <v>2111 W 47th St </v>
      </c>
      <c r="P39" s="12">
        <v>12.0</v>
      </c>
      <c r="Q39" s="13" t="s">
        <v>23</v>
      </c>
    </row>
    <row r="40">
      <c r="A40" s="7">
        <v>609788.0</v>
      </c>
      <c r="B40" s="8" t="s">
        <v>176</v>
      </c>
      <c r="C40" s="18" t="s">
        <v>177</v>
      </c>
      <c r="D40" s="19">
        <v>0.092</v>
      </c>
      <c r="E40" s="18" t="s">
        <v>80</v>
      </c>
      <c r="F40" s="18" t="s">
        <v>138</v>
      </c>
      <c r="G40" s="15" t="s">
        <v>2029</v>
      </c>
      <c r="H40" s="12">
        <v>39.0</v>
      </c>
      <c r="I40" s="13" t="s">
        <v>41</v>
      </c>
      <c r="J40" s="14" t="s">
        <v>178</v>
      </c>
      <c r="K40" s="14">
        <v>9.0</v>
      </c>
      <c r="L40" s="14" t="str">
        <f t="array" ref="L40">INDEX('School Rep'!$A$2:$A$21, MATCH(J40, 'School Rep'!$B$2:$B$21, 0))</f>
        <v>Therese Boyle</v>
      </c>
      <c r="M40" s="15">
        <v>3.0</v>
      </c>
      <c r="N40" s="16" t="s">
        <v>179</v>
      </c>
      <c r="O40" s="8" t="str">
        <f t="shared" si="1"/>
        <v>10354 S Charles St </v>
      </c>
      <c r="P40" s="12">
        <v>19.0</v>
      </c>
      <c r="Q40" s="13" t="s">
        <v>180</v>
      </c>
    </row>
    <row r="41">
      <c r="A41" s="7">
        <v>609789.0</v>
      </c>
      <c r="B41" s="12" t="s">
        <v>181</v>
      </c>
      <c r="C41" s="17" t="s">
        <v>182</v>
      </c>
      <c r="D41" s="10">
        <v>0.097</v>
      </c>
      <c r="E41" s="11" t="s">
        <v>80</v>
      </c>
      <c r="F41" s="11" t="s">
        <v>102</v>
      </c>
      <c r="G41" s="15" t="s">
        <v>2025</v>
      </c>
      <c r="H41" s="12">
        <v>43.0</v>
      </c>
      <c r="I41" s="13" t="s">
        <v>20</v>
      </c>
      <c r="J41" s="14" t="s">
        <v>47</v>
      </c>
      <c r="K41" s="14">
        <v>3.0</v>
      </c>
      <c r="L41" s="14" t="str">
        <f t="array" ref="L41">INDEX('School Rep'!$A$2:$A$21, MATCH(J41, 'School Rep'!$B$2:$B$21, 0))</f>
        <v>Norma Rios-Sierra</v>
      </c>
      <c r="M41" s="12">
        <v>3.1</v>
      </c>
      <c r="N41" s="16" t="s">
        <v>183</v>
      </c>
      <c r="O41" s="8" t="str">
        <f t="shared" si="1"/>
        <v>2828 N Kilbourn Ave </v>
      </c>
      <c r="P41" s="12">
        <v>31.0</v>
      </c>
      <c r="Q41" s="13" t="s">
        <v>152</v>
      </c>
    </row>
    <row r="42">
      <c r="A42" s="7">
        <v>609790.0</v>
      </c>
      <c r="B42" s="8" t="s">
        <v>184</v>
      </c>
      <c r="C42" s="18" t="s">
        <v>185</v>
      </c>
      <c r="D42" s="19">
        <v>0.164</v>
      </c>
      <c r="E42" s="18" t="s">
        <v>80</v>
      </c>
      <c r="F42" s="18" t="s">
        <v>186</v>
      </c>
      <c r="G42" s="15" t="s">
        <v>2031</v>
      </c>
      <c r="H42" s="12">
        <v>46.0</v>
      </c>
      <c r="I42" s="13" t="s">
        <v>20</v>
      </c>
      <c r="J42" s="14" t="s">
        <v>187</v>
      </c>
      <c r="K42" s="14">
        <v>9.0</v>
      </c>
      <c r="L42" s="14" t="str">
        <f t="array" ref="L42">INDEX('School Rep'!$A$2:$A$21, MATCH(J42, 'School Rep'!$B$2:$B$21, 0))</f>
        <v>Frank Niles Thomas</v>
      </c>
      <c r="M42" s="15">
        <v>3.4</v>
      </c>
      <c r="N42" s="16" t="s">
        <v>188</v>
      </c>
      <c r="O42" s="8" t="str">
        <f t="shared" si="1"/>
        <v>7650 S Wolcott Ave </v>
      </c>
      <c r="P42" s="12">
        <v>17.0</v>
      </c>
      <c r="Q42" s="13" t="s">
        <v>189</v>
      </c>
    </row>
    <row r="43">
      <c r="A43" s="7">
        <v>609791.0</v>
      </c>
      <c r="B43" s="8" t="s">
        <v>190</v>
      </c>
      <c r="C43" s="18" t="s">
        <v>191</v>
      </c>
      <c r="D43" s="19">
        <v>0.17</v>
      </c>
      <c r="E43" s="18" t="s">
        <v>80</v>
      </c>
      <c r="F43" s="18" t="s">
        <v>186</v>
      </c>
      <c r="G43" s="15" t="s">
        <v>2031</v>
      </c>
      <c r="H43" s="12">
        <v>49.0</v>
      </c>
      <c r="I43" s="13" t="s">
        <v>20</v>
      </c>
      <c r="J43" s="14" t="s">
        <v>187</v>
      </c>
      <c r="K43" s="14">
        <v>9.0</v>
      </c>
      <c r="L43" s="14" t="str">
        <f t="array" ref="L43">INDEX('School Rep'!$A$2:$A$21, MATCH(J43, 'School Rep'!$B$2:$B$21, 0))</f>
        <v>Frank Niles Thomas</v>
      </c>
      <c r="M43" s="15">
        <v>4.2</v>
      </c>
      <c r="N43" s="16" t="s">
        <v>192</v>
      </c>
      <c r="O43" s="8" t="str">
        <f t="shared" si="1"/>
        <v>1140 W 66th St </v>
      </c>
      <c r="P43" s="12">
        <v>16.0</v>
      </c>
      <c r="Q43" s="13" t="s">
        <v>193</v>
      </c>
    </row>
    <row r="44">
      <c r="A44" s="7">
        <v>609792.0</v>
      </c>
      <c r="B44" s="13" t="s">
        <v>194</v>
      </c>
      <c r="C44" s="17" t="s">
        <v>195</v>
      </c>
      <c r="D44" s="10">
        <v>0.072</v>
      </c>
      <c r="E44" s="11" t="s">
        <v>80</v>
      </c>
      <c r="F44" s="11" t="s">
        <v>97</v>
      </c>
      <c r="G44" s="15" t="s">
        <v>2024</v>
      </c>
      <c r="H44" s="12">
        <v>67.0</v>
      </c>
      <c r="I44" s="13" t="s">
        <v>52</v>
      </c>
      <c r="J44" s="14" t="s">
        <v>87</v>
      </c>
      <c r="K44" s="14">
        <v>2.0</v>
      </c>
      <c r="L44" s="14" t="str">
        <f t="array" ref="L44">INDEX('School Rep'!$A$2:$A$21, MATCH(J44, 'School Rep'!$B$2:$B$21, 0))</f>
        <v>Debby Pope</v>
      </c>
      <c r="M44" s="12">
        <v>2.3</v>
      </c>
      <c r="N44" s="16" t="s">
        <v>196</v>
      </c>
      <c r="O44" s="8" t="str">
        <f t="shared" si="1"/>
        <v>4220 N Richmond St </v>
      </c>
      <c r="P44" s="12">
        <v>33.0</v>
      </c>
      <c r="Q44" s="13" t="s">
        <v>99</v>
      </c>
    </row>
    <row r="45">
      <c r="A45" s="7">
        <v>610083.0</v>
      </c>
      <c r="B45" s="13" t="s">
        <v>197</v>
      </c>
      <c r="C45" s="18" t="s">
        <v>198</v>
      </c>
      <c r="D45" s="19">
        <v>0.133</v>
      </c>
      <c r="E45" s="18" t="s">
        <v>80</v>
      </c>
      <c r="F45" s="18" t="s">
        <v>97</v>
      </c>
      <c r="G45" s="15" t="s">
        <v>2024</v>
      </c>
      <c r="H45" s="15"/>
      <c r="I45" s="8"/>
      <c r="J45" s="14" t="s">
        <v>199</v>
      </c>
      <c r="K45" s="14">
        <v>1.0</v>
      </c>
      <c r="L45" s="14" t="str">
        <f t="array" ref="L45">INDEX('School Rep'!$A$2:$A$21, MATCH(J45, 'School Rep'!$B$2:$B$21, 0))</f>
        <v>Ed Bannon</v>
      </c>
      <c r="M45" s="12">
        <v>2.2</v>
      </c>
      <c r="N45" s="16" t="s">
        <v>200</v>
      </c>
      <c r="O45" s="8" t="str">
        <f t="shared" si="1"/>
        <v>6445 W Strong St </v>
      </c>
      <c r="P45" s="12">
        <v>41.0</v>
      </c>
      <c r="Q45" s="13" t="s">
        <v>201</v>
      </c>
    </row>
    <row r="46">
      <c r="A46" s="7">
        <v>610246.0</v>
      </c>
      <c r="B46" s="8" t="s">
        <v>202</v>
      </c>
      <c r="C46" s="18" t="s">
        <v>203</v>
      </c>
      <c r="D46" s="19">
        <v>0.043</v>
      </c>
      <c r="E46" s="18" t="s">
        <v>80</v>
      </c>
      <c r="F46" s="18" t="s">
        <v>120</v>
      </c>
      <c r="G46" s="15" t="s">
        <v>2028</v>
      </c>
      <c r="H46" s="12">
        <v>58.0</v>
      </c>
      <c r="I46" s="13" t="s">
        <v>20</v>
      </c>
      <c r="J46" s="14" t="s">
        <v>204</v>
      </c>
      <c r="K46" s="14">
        <v>6.0</v>
      </c>
      <c r="L46" s="14" t="str">
        <f t="array" ref="L46">INDEX('School Rep'!$A$2:$A$21, MATCH(J46, 'School Rep'!$B$2:$B$21, 0))</f>
        <v>Jessica Biggs</v>
      </c>
      <c r="M46" s="15">
        <v>3.1</v>
      </c>
      <c r="N46" s="16" t="s">
        <v>205</v>
      </c>
      <c r="O46" s="8" t="str">
        <f t="shared" si="1"/>
        <v>5255 S State St </v>
      </c>
      <c r="P46" s="12">
        <v>3.0</v>
      </c>
      <c r="Q46" s="13" t="s">
        <v>206</v>
      </c>
    </row>
    <row r="47">
      <c r="A47" s="7">
        <v>609796.0</v>
      </c>
      <c r="B47" s="12" t="s">
        <v>207</v>
      </c>
      <c r="C47" s="18" t="s">
        <v>208</v>
      </c>
      <c r="D47" s="19">
        <v>0.052</v>
      </c>
      <c r="E47" s="18" t="s">
        <v>80</v>
      </c>
      <c r="F47" s="18" t="s">
        <v>97</v>
      </c>
      <c r="G47" s="15" t="s">
        <v>2024</v>
      </c>
      <c r="H47" s="12">
        <v>56.0</v>
      </c>
      <c r="I47" s="13" t="s">
        <v>20</v>
      </c>
      <c r="J47" s="14" t="s">
        <v>199</v>
      </c>
      <c r="K47" s="14">
        <v>1.0</v>
      </c>
      <c r="L47" s="14" t="str">
        <f t="array" ref="L47">INDEX('School Rep'!$A$2:$A$21, MATCH(J47, 'School Rep'!$B$2:$B$21, 0))</f>
        <v>Ed Bannon</v>
      </c>
      <c r="M47" s="12">
        <v>2.0</v>
      </c>
      <c r="N47" s="16" t="s">
        <v>209</v>
      </c>
      <c r="O47" s="8" t="str">
        <f t="shared" si="1"/>
        <v>5025 N Laramie Ave </v>
      </c>
      <c r="P47" s="12">
        <v>45.0</v>
      </c>
      <c r="Q47" s="13" t="s">
        <v>210</v>
      </c>
    </row>
    <row r="48">
      <c r="A48" s="7">
        <v>610237.0</v>
      </c>
      <c r="B48" s="8" t="s">
        <v>211</v>
      </c>
      <c r="C48" s="18" t="s">
        <v>212</v>
      </c>
      <c r="D48" s="19">
        <v>0.277</v>
      </c>
      <c r="E48" s="18" t="s">
        <v>80</v>
      </c>
      <c r="F48" s="18" t="s">
        <v>120</v>
      </c>
      <c r="G48" s="15" t="s">
        <v>2028</v>
      </c>
      <c r="H48" s="12">
        <v>39.0</v>
      </c>
      <c r="I48" s="13" t="s">
        <v>41</v>
      </c>
      <c r="J48" s="14" t="s">
        <v>204</v>
      </c>
      <c r="K48" s="14">
        <v>6.0</v>
      </c>
      <c r="L48" s="14" t="str">
        <f t="array" ref="L48">INDEX('School Rep'!$A$2:$A$21, MATCH(J48, 'School Rep'!$B$2:$B$21, 0))</f>
        <v>Jessica Biggs</v>
      </c>
      <c r="M48" s="15">
        <v>3.2</v>
      </c>
      <c r="N48" s="16" t="s">
        <v>213</v>
      </c>
      <c r="O48" s="8" t="str">
        <f t="shared" si="1"/>
        <v>25 W 47th St </v>
      </c>
      <c r="P48" s="12">
        <v>3.0</v>
      </c>
      <c r="Q48" s="13" t="s">
        <v>206</v>
      </c>
    </row>
    <row r="49">
      <c r="A49" s="7">
        <v>609797.0</v>
      </c>
      <c r="B49" s="8" t="s">
        <v>214</v>
      </c>
      <c r="C49" s="18" t="s">
        <v>215</v>
      </c>
      <c r="D49" s="19">
        <v>0.154</v>
      </c>
      <c r="E49" s="18" t="s">
        <v>80</v>
      </c>
      <c r="F49" s="18" t="s">
        <v>216</v>
      </c>
      <c r="G49" s="15" t="s">
        <v>2032</v>
      </c>
      <c r="H49" s="12">
        <v>51.0</v>
      </c>
      <c r="I49" s="13" t="s">
        <v>20</v>
      </c>
      <c r="J49" s="14" t="s">
        <v>217</v>
      </c>
      <c r="K49" s="14">
        <v>5.0</v>
      </c>
      <c r="L49" s="14" t="str">
        <f t="array" ref="L49">INDEX('School Rep'!$A$2:$A$21, MATCH(J49, 'School Rep'!$B$2:$B$21, 0))</f>
        <v>Michilla Blaise</v>
      </c>
      <c r="M49" s="15">
        <v>2.8</v>
      </c>
      <c r="N49" s="16" t="s">
        <v>218</v>
      </c>
      <c r="O49" s="8" t="str">
        <f t="shared" si="1"/>
        <v>3151 W Walnut St </v>
      </c>
      <c r="P49" s="12">
        <v>27.0</v>
      </c>
      <c r="Q49" s="13" t="s">
        <v>219</v>
      </c>
    </row>
    <row r="50">
      <c r="A50" s="7">
        <v>609798.0</v>
      </c>
      <c r="B50" s="13" t="s">
        <v>220</v>
      </c>
      <c r="C50" s="18" t="s">
        <v>221</v>
      </c>
      <c r="D50" s="19">
        <v>0.072</v>
      </c>
      <c r="E50" s="18" t="s">
        <v>80</v>
      </c>
      <c r="F50" s="18" t="s">
        <v>97</v>
      </c>
      <c r="G50" s="15" t="s">
        <v>2024</v>
      </c>
      <c r="H50" s="12">
        <v>77.0</v>
      </c>
      <c r="I50" s="13" t="s">
        <v>52</v>
      </c>
      <c r="J50" s="14" t="s">
        <v>222</v>
      </c>
      <c r="K50" s="14">
        <v>1.0</v>
      </c>
      <c r="L50" s="14" t="str">
        <f t="array" ref="L50">INDEX('School Rep'!$A$2:$A$21, MATCH(J50, 'School Rep'!$B$2:$B$21, 0))</f>
        <v>Jennifer Custer</v>
      </c>
      <c r="M50" s="12">
        <v>2.2</v>
      </c>
      <c r="N50" s="16" t="s">
        <v>223</v>
      </c>
      <c r="O50" s="8" t="str">
        <f t="shared" si="1"/>
        <v>4257 N Tripp Ave </v>
      </c>
      <c r="P50" s="12">
        <v>39.0</v>
      </c>
      <c r="Q50" s="13" t="s">
        <v>224</v>
      </c>
    </row>
    <row r="51">
      <c r="A51" s="7">
        <v>609799.0</v>
      </c>
      <c r="B51" s="12" t="s">
        <v>225</v>
      </c>
      <c r="C51" s="18" t="s">
        <v>226</v>
      </c>
      <c r="D51" s="19">
        <v>0.017</v>
      </c>
      <c r="E51" s="18" t="s">
        <v>80</v>
      </c>
      <c r="F51" s="18" t="s">
        <v>102</v>
      </c>
      <c r="G51" s="15" t="s">
        <v>2025</v>
      </c>
      <c r="H51" s="12">
        <v>41.0</v>
      </c>
      <c r="I51" s="13" t="s">
        <v>20</v>
      </c>
      <c r="J51" s="14" t="s">
        <v>103</v>
      </c>
      <c r="K51" s="14">
        <v>4.0</v>
      </c>
      <c r="L51" s="14" t="str">
        <f t="array" ref="L51">INDEX('School Rep'!$A$2:$A$21, MATCH(J51, 'School Rep'!$B$2:$B$21, 0))</f>
        <v>Ellen Rosenfeld</v>
      </c>
      <c r="M51" s="12">
        <v>1.3</v>
      </c>
      <c r="N51" s="16" t="s">
        <v>227</v>
      </c>
      <c r="O51" s="8" t="str">
        <f t="shared" si="1"/>
        <v>3730 N Oakley Ave </v>
      </c>
      <c r="P51" s="12">
        <v>47.0</v>
      </c>
      <c r="Q51" s="13" t="s">
        <v>228</v>
      </c>
    </row>
    <row r="52">
      <c r="A52" s="7">
        <v>609922.0</v>
      </c>
      <c r="B52" s="12" t="s">
        <v>229</v>
      </c>
      <c r="C52" s="18" t="s">
        <v>230</v>
      </c>
      <c r="D52" s="19">
        <v>0.082</v>
      </c>
      <c r="E52" s="18" t="s">
        <v>80</v>
      </c>
      <c r="F52" s="18" t="s">
        <v>231</v>
      </c>
      <c r="G52" s="15" t="s">
        <v>2033</v>
      </c>
      <c r="H52" s="12">
        <v>55.0</v>
      </c>
      <c r="I52" s="13" t="s">
        <v>20</v>
      </c>
      <c r="J52" s="14" t="s">
        <v>232</v>
      </c>
      <c r="K52" s="14">
        <v>3.0</v>
      </c>
      <c r="L52" s="14" t="str">
        <f t="array" ref="L52">INDEX('School Rep'!$A$2:$A$21, MATCH(J52, 'School Rep'!$B$2:$B$21, 0))</f>
        <v>Carlos Rivas</v>
      </c>
      <c r="M52" s="12">
        <v>3.3</v>
      </c>
      <c r="N52" s="16" t="s">
        <v>233</v>
      </c>
      <c r="O52" s="8" t="str">
        <f t="shared" si="1"/>
        <v>5252 W Palmer St </v>
      </c>
      <c r="P52" s="12">
        <v>36.0</v>
      </c>
      <c r="Q52" s="13" t="s">
        <v>67</v>
      </c>
    </row>
    <row r="53">
      <c r="A53" s="7">
        <v>609800.0</v>
      </c>
      <c r="B53" s="8" t="s">
        <v>234</v>
      </c>
      <c r="C53" s="18" t="s">
        <v>235</v>
      </c>
      <c r="D53" s="19">
        <v>0.144</v>
      </c>
      <c r="E53" s="18" t="s">
        <v>80</v>
      </c>
      <c r="F53" s="18" t="s">
        <v>81</v>
      </c>
      <c r="G53" s="15" t="s">
        <v>2022</v>
      </c>
      <c r="H53" s="12">
        <v>51.0</v>
      </c>
      <c r="I53" s="13" t="s">
        <v>20</v>
      </c>
      <c r="J53" s="14" t="s">
        <v>178</v>
      </c>
      <c r="K53" s="14">
        <v>9.0</v>
      </c>
      <c r="L53" s="14" t="str">
        <f t="array" ref="L53">INDEX('School Rep'!$A$2:$A$21, MATCH(J53, 'School Rep'!$B$2:$B$21, 0))</f>
        <v>Therese Boyle</v>
      </c>
      <c r="M53" s="15">
        <v>2.8</v>
      </c>
      <c r="N53" s="16" t="s">
        <v>236</v>
      </c>
      <c r="O53" s="8" t="str">
        <f t="shared" si="1"/>
        <v>10115 S Prairie Ave </v>
      </c>
      <c r="P53" s="12">
        <v>9.0</v>
      </c>
      <c r="Q53" s="13" t="s">
        <v>237</v>
      </c>
    </row>
    <row r="54">
      <c r="A54" s="7">
        <v>610350.0</v>
      </c>
      <c r="B54" s="13" t="s">
        <v>238</v>
      </c>
      <c r="C54" s="18" t="s">
        <v>239</v>
      </c>
      <c r="D54" s="19">
        <v>0.028</v>
      </c>
      <c r="E54" s="18" t="s">
        <v>80</v>
      </c>
      <c r="F54" s="18" t="s">
        <v>144</v>
      </c>
      <c r="G54" s="15" t="s">
        <v>2030</v>
      </c>
      <c r="H54" s="12">
        <v>62.0</v>
      </c>
      <c r="I54" s="13" t="s">
        <v>52</v>
      </c>
      <c r="J54" s="14" t="s">
        <v>82</v>
      </c>
      <c r="K54" s="14">
        <v>10.0</v>
      </c>
      <c r="L54" s="14" t="str">
        <f t="array" ref="L54">INDEX('School Rep'!$A$2:$A$21, MATCH(J54, 'School Rep'!$B$2:$B$21, 0))</f>
        <v>Olga Bautista</v>
      </c>
      <c r="M54" s="12">
        <v>2.7</v>
      </c>
      <c r="N54" s="16" t="s">
        <v>240</v>
      </c>
      <c r="O54" s="8" t="str">
        <f t="shared" si="1"/>
        <v>9101 S Euclid Ave </v>
      </c>
      <c r="P54" s="12">
        <v>8.0</v>
      </c>
      <c r="Q54" s="13" t="s">
        <v>135</v>
      </c>
    </row>
    <row r="55">
      <c r="A55" s="7">
        <v>609803.0</v>
      </c>
      <c r="B55" s="12" t="s">
        <v>241</v>
      </c>
      <c r="C55" s="18" t="s">
        <v>242</v>
      </c>
      <c r="D55" s="19">
        <v>0.041</v>
      </c>
      <c r="E55" s="18" t="s">
        <v>80</v>
      </c>
      <c r="F55" s="18" t="s">
        <v>102</v>
      </c>
      <c r="G55" s="15" t="s">
        <v>2025</v>
      </c>
      <c r="H55" s="12">
        <v>56.0</v>
      </c>
      <c r="I55" s="13" t="s">
        <v>20</v>
      </c>
      <c r="J55" s="14" t="s">
        <v>243</v>
      </c>
      <c r="K55" s="14">
        <v>4.0</v>
      </c>
      <c r="L55" s="14" t="str">
        <f t="array" ref="L55">INDEX('School Rep'!$A$2:$A$21, MATCH(J55, 'School Rep'!$B$2:$B$21, 0))</f>
        <v>Karen Zaccor</v>
      </c>
      <c r="M55" s="12">
        <v>1.8</v>
      </c>
      <c r="N55" s="16" t="s">
        <v>244</v>
      </c>
      <c r="O55" s="8" t="str">
        <f t="shared" si="1"/>
        <v>1420 W Grace St </v>
      </c>
      <c r="P55" s="12">
        <v>46.0</v>
      </c>
      <c r="Q55" s="13" t="s">
        <v>245</v>
      </c>
    </row>
    <row r="56">
      <c r="A56" s="7">
        <v>610087.0</v>
      </c>
      <c r="B56" s="8" t="s">
        <v>246</v>
      </c>
      <c r="C56" s="9" t="s">
        <v>247</v>
      </c>
      <c r="D56" s="10">
        <v>0.0</v>
      </c>
      <c r="E56" s="11" t="s">
        <v>80</v>
      </c>
      <c r="F56" s="11" t="s">
        <v>138</v>
      </c>
      <c r="G56" s="15" t="s">
        <v>2029</v>
      </c>
      <c r="H56" s="12">
        <v>89.0</v>
      </c>
      <c r="I56" s="13" t="s">
        <v>248</v>
      </c>
      <c r="J56" s="14" t="s">
        <v>139</v>
      </c>
      <c r="K56" s="14">
        <v>8.0</v>
      </c>
      <c r="L56" s="14" t="str">
        <f t="array" ref="L56">INDEX('School Rep'!$A$2:$A$21, MATCH(J56, 'School Rep'!$B$2:$B$21, 0))</f>
        <v>Angel Gutierrez</v>
      </c>
      <c r="M56" s="15">
        <v>2.2</v>
      </c>
      <c r="N56" s="16" t="s">
        <v>249</v>
      </c>
      <c r="O56" s="8" t="str">
        <f t="shared" si="1"/>
        <v>6751 W 63rd Pl </v>
      </c>
      <c r="P56" s="12">
        <v>13.0</v>
      </c>
      <c r="Q56" s="13" t="s">
        <v>250</v>
      </c>
    </row>
    <row r="57">
      <c r="A57" s="7">
        <v>609698.0</v>
      </c>
      <c r="B57" s="8" t="s">
        <v>251</v>
      </c>
      <c r="C57" s="9" t="s">
        <v>252</v>
      </c>
      <c r="D57" s="10">
        <v>0.184</v>
      </c>
      <c r="E57" s="11" t="s">
        <v>80</v>
      </c>
      <c r="F57" s="11" t="s">
        <v>92</v>
      </c>
      <c r="G57" s="15" t="s">
        <v>2023</v>
      </c>
      <c r="H57" s="12">
        <v>54.0</v>
      </c>
      <c r="I57" s="13" t="s">
        <v>20</v>
      </c>
      <c r="J57" s="14" t="s">
        <v>139</v>
      </c>
      <c r="K57" s="14">
        <v>8.0</v>
      </c>
      <c r="L57" s="14" t="str">
        <f t="array" ref="L57">INDEX('School Rep'!$A$2:$A$21, MATCH(J57, 'School Rep'!$B$2:$B$21, 0))</f>
        <v>Angel Gutierrez</v>
      </c>
      <c r="M57" s="15">
        <v>3.2</v>
      </c>
      <c r="N57" s="16" t="s">
        <v>253</v>
      </c>
      <c r="O57" s="8" t="str">
        <f t="shared" si="1"/>
        <v>3939 W 79th St </v>
      </c>
      <c r="P57" s="12">
        <v>18.0</v>
      </c>
      <c r="Q57" s="13" t="s">
        <v>141</v>
      </c>
    </row>
    <row r="58">
      <c r="A58" s="7">
        <v>610238.0</v>
      </c>
      <c r="B58" s="8" t="s">
        <v>254</v>
      </c>
      <c r="C58" s="18" t="s">
        <v>255</v>
      </c>
      <c r="D58" s="19">
        <v>0.201</v>
      </c>
      <c r="E58" s="18" t="s">
        <v>80</v>
      </c>
      <c r="F58" s="18" t="s">
        <v>186</v>
      </c>
      <c r="G58" s="15" t="s">
        <v>2031</v>
      </c>
      <c r="H58" s="12">
        <v>37.0</v>
      </c>
      <c r="I58" s="13" t="s">
        <v>41</v>
      </c>
      <c r="J58" s="14" t="s">
        <v>187</v>
      </c>
      <c r="K58" s="14">
        <v>9.0</v>
      </c>
      <c r="L58" s="14" t="str">
        <f t="array" ref="L58">INDEX('School Rep'!$A$2:$A$21, MATCH(J58, 'School Rep'!$B$2:$B$21, 0))</f>
        <v>Frank Niles Thomas</v>
      </c>
      <c r="M58" s="15">
        <v>3.9</v>
      </c>
      <c r="N58" s="16" t="s">
        <v>256</v>
      </c>
      <c r="O58" s="8" t="str">
        <f t="shared" si="1"/>
        <v>7050 S May St </v>
      </c>
      <c r="P58" s="12">
        <v>16.0</v>
      </c>
      <c r="Q58" s="13" t="s">
        <v>193</v>
      </c>
    </row>
    <row r="59">
      <c r="A59" s="7">
        <v>609815.0</v>
      </c>
      <c r="B59" s="13" t="s">
        <v>257</v>
      </c>
      <c r="C59" s="18" t="s">
        <v>258</v>
      </c>
      <c r="D59" s="19">
        <v>0.256</v>
      </c>
      <c r="E59" s="18" t="s">
        <v>80</v>
      </c>
      <c r="F59" s="18" t="s">
        <v>144</v>
      </c>
      <c r="G59" s="15" t="s">
        <v>2030</v>
      </c>
      <c r="H59" s="12">
        <v>56.0</v>
      </c>
      <c r="I59" s="13" t="s">
        <v>20</v>
      </c>
      <c r="J59" s="14" t="s">
        <v>121</v>
      </c>
      <c r="K59" s="14">
        <v>10.0</v>
      </c>
      <c r="L59" s="14" t="str">
        <f t="array" ref="L59">INDEX('School Rep'!$A$2:$A$21, MATCH(J59, 'School Rep'!$B$2:$B$21, 0))</f>
        <v>Che "Rhymefest" Smith</v>
      </c>
      <c r="M59" s="12">
        <v>3.8</v>
      </c>
      <c r="N59" s="16" t="s">
        <v>259</v>
      </c>
      <c r="O59" s="8" t="str">
        <f t="shared" si="1"/>
        <v>7355 S Jeffery Blvd </v>
      </c>
      <c r="P59" s="12">
        <v>7.0</v>
      </c>
      <c r="Q59" s="13" t="s">
        <v>260</v>
      </c>
    </row>
    <row r="60">
      <c r="A60" s="7">
        <v>610323.0</v>
      </c>
      <c r="B60" s="13" t="s">
        <v>261</v>
      </c>
      <c r="C60" s="17" t="s">
        <v>262</v>
      </c>
      <c r="D60" s="10">
        <v>0.342</v>
      </c>
      <c r="E60" s="11" t="s">
        <v>80</v>
      </c>
      <c r="F60" s="11" t="s">
        <v>263</v>
      </c>
      <c r="G60" s="15" t="s">
        <v>2034</v>
      </c>
      <c r="H60" s="12">
        <v>44.0</v>
      </c>
      <c r="I60" s="13" t="s">
        <v>20</v>
      </c>
      <c r="J60" s="14" t="s">
        <v>82</v>
      </c>
      <c r="K60" s="14">
        <v>10.0</v>
      </c>
      <c r="L60" s="14" t="str">
        <f t="array" ref="L60">INDEX('School Rep'!$A$2:$A$21, MATCH(J60, 'School Rep'!$B$2:$B$21, 0))</f>
        <v>Olga Bautista</v>
      </c>
      <c r="M60" s="12">
        <v>3.7</v>
      </c>
      <c r="N60" s="16" t="s">
        <v>264</v>
      </c>
      <c r="O60" s="8" t="str">
        <f t="shared" si="1"/>
        <v>2710 E 89th St </v>
      </c>
      <c r="P60" s="12">
        <v>7.0</v>
      </c>
      <c r="Q60" s="13" t="s">
        <v>260</v>
      </c>
    </row>
    <row r="61">
      <c r="A61" s="7">
        <v>609806.0</v>
      </c>
      <c r="B61" s="13" t="s">
        <v>265</v>
      </c>
      <c r="C61" s="18" t="s">
        <v>266</v>
      </c>
      <c r="D61" s="19">
        <v>0.316</v>
      </c>
      <c r="E61" s="18" t="s">
        <v>80</v>
      </c>
      <c r="F61" s="18" t="s">
        <v>144</v>
      </c>
      <c r="G61" s="15" t="s">
        <v>2030</v>
      </c>
      <c r="H61" s="12">
        <v>36.0</v>
      </c>
      <c r="I61" s="13" t="s">
        <v>41</v>
      </c>
      <c r="J61" s="14" t="s">
        <v>121</v>
      </c>
      <c r="K61" s="14">
        <v>10.0</v>
      </c>
      <c r="L61" s="14" t="str">
        <f t="array" ref="L61">INDEX('School Rep'!$A$2:$A$21, MATCH(J61, 'School Rep'!$B$2:$B$21, 0))</f>
        <v>Che "Rhymefest" Smith</v>
      </c>
      <c r="M61" s="12">
        <v>3.4</v>
      </c>
      <c r="N61" s="16" t="s">
        <v>267</v>
      </c>
      <c r="O61" s="8" t="str">
        <f t="shared" si="1"/>
        <v>7736 S Burnham Ave </v>
      </c>
      <c r="P61" s="12">
        <v>7.0</v>
      </c>
      <c r="Q61" s="13" t="s">
        <v>260</v>
      </c>
    </row>
    <row r="62">
      <c r="A62" s="7">
        <v>610242.0</v>
      </c>
      <c r="B62" s="12" t="s">
        <v>268</v>
      </c>
      <c r="C62" s="18" t="s">
        <v>269</v>
      </c>
      <c r="D62" s="19">
        <v>0.264</v>
      </c>
      <c r="E62" s="18" t="s">
        <v>80</v>
      </c>
      <c r="F62" s="18" t="s">
        <v>270</v>
      </c>
      <c r="G62" s="15" t="s">
        <v>2035</v>
      </c>
      <c r="H62" s="12">
        <v>32.0</v>
      </c>
      <c r="I62" s="13" t="s">
        <v>41</v>
      </c>
      <c r="J62" s="14" t="s">
        <v>243</v>
      </c>
      <c r="K62" s="14">
        <v>4.0</v>
      </c>
      <c r="L62" s="14" t="str">
        <f t="array" ref="L62">INDEX('School Rep'!$A$2:$A$21, MATCH(J62, 'School Rep'!$B$2:$B$21, 0))</f>
        <v>Karen Zaccor</v>
      </c>
      <c r="M62" s="12">
        <v>3.4</v>
      </c>
      <c r="N62" s="16" t="s">
        <v>271</v>
      </c>
      <c r="O62" s="8" t="str">
        <f t="shared" si="1"/>
        <v>4251 N Clarendon Ave </v>
      </c>
      <c r="P62" s="12">
        <v>46.0</v>
      </c>
      <c r="Q62" s="13" t="s">
        <v>245</v>
      </c>
    </row>
    <row r="63">
      <c r="A63" s="7">
        <v>609809.0</v>
      </c>
      <c r="B63" s="12" t="s">
        <v>272</v>
      </c>
      <c r="C63" s="17" t="s">
        <v>273</v>
      </c>
      <c r="D63" s="10">
        <v>0.037</v>
      </c>
      <c r="E63" s="11" t="s">
        <v>80</v>
      </c>
      <c r="F63" s="11" t="s">
        <v>102</v>
      </c>
      <c r="G63" s="15" t="s">
        <v>2025</v>
      </c>
      <c r="H63" s="12">
        <v>64.0</v>
      </c>
      <c r="I63" s="13" t="s">
        <v>52</v>
      </c>
      <c r="J63" s="14" t="s">
        <v>47</v>
      </c>
      <c r="K63" s="14">
        <v>3.0</v>
      </c>
      <c r="L63" s="14" t="str">
        <f t="array" ref="L63">INDEX('School Rep'!$A$2:$A$21, MATCH(J63, 'School Rep'!$B$2:$B$21, 0))</f>
        <v>Norma Rios-Sierra</v>
      </c>
      <c r="M63" s="12">
        <v>2.0</v>
      </c>
      <c r="N63" s="16" t="s">
        <v>274</v>
      </c>
      <c r="O63" s="8" t="str">
        <f t="shared" si="1"/>
        <v>2723 N Fairfield Ave </v>
      </c>
      <c r="P63" s="12">
        <v>1.0</v>
      </c>
      <c r="Q63" s="13" t="s">
        <v>275</v>
      </c>
    </row>
    <row r="64">
      <c r="A64" s="7">
        <v>609810.0</v>
      </c>
      <c r="B64" s="13" t="s">
        <v>276</v>
      </c>
      <c r="C64" s="18" t="s">
        <v>277</v>
      </c>
      <c r="D64" s="19">
        <v>0.062</v>
      </c>
      <c r="E64" s="18" t="s">
        <v>80</v>
      </c>
      <c r="F64" s="18" t="s">
        <v>97</v>
      </c>
      <c r="G64" s="15" t="s">
        <v>2024</v>
      </c>
      <c r="H64" s="12">
        <v>48.0</v>
      </c>
      <c r="I64" s="13" t="s">
        <v>20</v>
      </c>
      <c r="J64" s="14" t="s">
        <v>222</v>
      </c>
      <c r="K64" s="14">
        <v>1.0</v>
      </c>
      <c r="L64" s="14" t="str">
        <f t="array" ref="L64">INDEX('School Rep'!$A$2:$A$21, MATCH(J64, 'School Rep'!$B$2:$B$21, 0))</f>
        <v>Jennifer Custer</v>
      </c>
      <c r="M64" s="12">
        <v>1.8</v>
      </c>
      <c r="N64" s="16" t="s">
        <v>278</v>
      </c>
      <c r="O64" s="8" t="str">
        <f t="shared" si="1"/>
        <v>3800 N New England Ave </v>
      </c>
      <c r="P64" s="12">
        <v>38.0</v>
      </c>
      <c r="Q64" s="13" t="s">
        <v>279</v>
      </c>
    </row>
    <row r="65">
      <c r="A65" s="7">
        <v>609811.0</v>
      </c>
      <c r="B65" s="13" t="s">
        <v>280</v>
      </c>
      <c r="C65" s="9" t="s">
        <v>281</v>
      </c>
      <c r="D65" s="10">
        <v>0.18</v>
      </c>
      <c r="E65" s="11" t="s">
        <v>80</v>
      </c>
      <c r="F65" s="11" t="s">
        <v>81</v>
      </c>
      <c r="G65" s="15" t="s">
        <v>2022</v>
      </c>
      <c r="H65" s="12">
        <v>44.0</v>
      </c>
      <c r="I65" s="13" t="s">
        <v>20</v>
      </c>
      <c r="J65" s="14" t="s">
        <v>82</v>
      </c>
      <c r="K65" s="14">
        <v>10.0</v>
      </c>
      <c r="L65" s="14" t="str">
        <f t="array" ref="L65">INDEX('School Rep'!$A$2:$A$21, MATCH(J65, 'School Rep'!$B$2:$B$21, 0))</f>
        <v>Olga Bautista</v>
      </c>
      <c r="M65" s="12">
        <v>3.4</v>
      </c>
      <c r="N65" s="16" t="s">
        <v>282</v>
      </c>
      <c r="O65" s="8" t="str">
        <f t="shared" si="1"/>
        <v>10740 S Calhoun Ave </v>
      </c>
      <c r="P65" s="12">
        <v>10.0</v>
      </c>
      <c r="Q65" s="13" t="s">
        <v>84</v>
      </c>
    </row>
    <row r="66">
      <c r="A66" s="7">
        <v>610317.0</v>
      </c>
      <c r="B66" s="8" t="s">
        <v>283</v>
      </c>
      <c r="C66" s="9" t="s">
        <v>284</v>
      </c>
      <c r="D66" s="10">
        <v>0.123</v>
      </c>
      <c r="E66" s="11" t="s">
        <v>80</v>
      </c>
      <c r="F66" s="11" t="s">
        <v>285</v>
      </c>
      <c r="G66" s="15" t="s">
        <v>2036</v>
      </c>
      <c r="H66" s="12">
        <v>42.0</v>
      </c>
      <c r="I66" s="13" t="s">
        <v>20</v>
      </c>
      <c r="J66" s="14" t="s">
        <v>26</v>
      </c>
      <c r="K66" s="14">
        <v>8.0</v>
      </c>
      <c r="L66" s="14" t="str">
        <f t="array" ref="L66">INDEX('School Rep'!$A$2:$A$21, MATCH(J66, 'School Rep'!$B$2:$B$21, 0))</f>
        <v>Cydney Wallace</v>
      </c>
      <c r="M66" s="15">
        <v>3.6</v>
      </c>
      <c r="N66" s="16" t="s">
        <v>286</v>
      </c>
      <c r="O66" s="8" t="str">
        <f t="shared" si="1"/>
        <v>3825 S Washtenaw Ave </v>
      </c>
      <c r="P66" s="12">
        <v>12.0</v>
      </c>
      <c r="Q66" s="13" t="s">
        <v>23</v>
      </c>
    </row>
    <row r="67">
      <c r="A67" s="7">
        <v>610590.0</v>
      </c>
      <c r="B67" s="8" t="s">
        <v>287</v>
      </c>
      <c r="C67" s="9" t="s">
        <v>288</v>
      </c>
      <c r="D67" s="10">
        <v>0.0</v>
      </c>
      <c r="E67" s="11" t="s">
        <v>80</v>
      </c>
      <c r="F67" s="11" t="s">
        <v>120</v>
      </c>
      <c r="G67" s="15" t="s">
        <v>2028</v>
      </c>
      <c r="H67" s="12">
        <v>67.0</v>
      </c>
      <c r="I67" s="13" t="s">
        <v>52</v>
      </c>
      <c r="J67" s="14" t="s">
        <v>204</v>
      </c>
      <c r="K67" s="14">
        <v>6.0</v>
      </c>
      <c r="L67" s="14" t="str">
        <f t="array" ref="L67">INDEX('School Rep'!$A$2:$A$21, MATCH(J67, 'School Rep'!$B$2:$B$21, 0))</f>
        <v>Jessica Biggs</v>
      </c>
      <c r="M67" s="15">
        <v>2.3</v>
      </c>
      <c r="N67" s="16" t="s">
        <v>289</v>
      </c>
      <c r="O67" s="8" t="str">
        <f t="shared" si="1"/>
        <v>8 W Root </v>
      </c>
      <c r="P67" s="12">
        <v>3.0</v>
      </c>
      <c r="Q67" s="13" t="s">
        <v>206</v>
      </c>
    </row>
    <row r="68">
      <c r="A68" s="7">
        <v>610381.0</v>
      </c>
      <c r="B68" s="8" t="s">
        <v>290</v>
      </c>
      <c r="C68" s="9" t="s">
        <v>291</v>
      </c>
      <c r="D68" s="10">
        <v>0.137</v>
      </c>
      <c r="E68" s="11" t="s">
        <v>80</v>
      </c>
      <c r="F68" s="11" t="s">
        <v>263</v>
      </c>
      <c r="G68" s="15" t="s">
        <v>2034</v>
      </c>
      <c r="H68" s="12">
        <v>49.0</v>
      </c>
      <c r="I68" s="13" t="s">
        <v>20</v>
      </c>
      <c r="J68" s="14" t="s">
        <v>204</v>
      </c>
      <c r="K68" s="14">
        <v>6.0</v>
      </c>
      <c r="L68" s="14" t="str">
        <f t="array" ref="L68">INDEX('School Rep'!$A$2:$A$21, MATCH(J68, 'School Rep'!$B$2:$B$21, 0))</f>
        <v>Jessica Biggs</v>
      </c>
      <c r="M68" s="15">
        <v>3.8</v>
      </c>
      <c r="N68" s="16" t="s">
        <v>292</v>
      </c>
      <c r="O68" s="8" t="str">
        <f t="shared" si="1"/>
        <v>4934 S Wabash Ave </v>
      </c>
      <c r="P68" s="12">
        <v>3.0</v>
      </c>
      <c r="Q68" s="13" t="s">
        <v>206</v>
      </c>
    </row>
    <row r="69">
      <c r="A69" s="7">
        <v>609726.0</v>
      </c>
      <c r="B69" s="8" t="s">
        <v>293</v>
      </c>
      <c r="C69" s="18" t="s">
        <v>294</v>
      </c>
      <c r="D69" s="19">
        <v>0.034</v>
      </c>
      <c r="E69" s="18" t="s">
        <v>80</v>
      </c>
      <c r="F69" s="18" t="s">
        <v>126</v>
      </c>
      <c r="G69" s="15" t="e">
        <v>#N/A</v>
      </c>
      <c r="H69" s="12">
        <v>55.0</v>
      </c>
      <c r="I69" s="13" t="s">
        <v>20</v>
      </c>
      <c r="J69" s="14" t="s">
        <v>178</v>
      </c>
      <c r="K69" s="14">
        <v>9.0</v>
      </c>
      <c r="L69" s="14" t="str">
        <f t="array" ref="L69">INDEX('School Rep'!$A$2:$A$21, MATCH(J69, 'School Rep'!$B$2:$B$21, 0))</f>
        <v>Therese Boyle</v>
      </c>
      <c r="M69" s="15">
        <v>2.2</v>
      </c>
      <c r="N69" s="16" t="s">
        <v>295</v>
      </c>
      <c r="O69" s="8" t="str">
        <f t="shared" si="1"/>
        <v>250 E 111th St </v>
      </c>
      <c r="P69" s="12">
        <v>9.0</v>
      </c>
      <c r="Q69" s="13" t="s">
        <v>237</v>
      </c>
    </row>
    <row r="70">
      <c r="A70" s="7">
        <v>610091.0</v>
      </c>
      <c r="B70" s="8" t="s">
        <v>296</v>
      </c>
      <c r="C70" s="18" t="s">
        <v>297</v>
      </c>
      <c r="D70" s="19">
        <v>0.11</v>
      </c>
      <c r="E70" s="18" t="s">
        <v>80</v>
      </c>
      <c r="F70" s="18" t="s">
        <v>81</v>
      </c>
      <c r="G70" s="15" t="s">
        <v>2022</v>
      </c>
      <c r="H70" s="12">
        <v>56.0</v>
      </c>
      <c r="I70" s="13" t="s">
        <v>20</v>
      </c>
      <c r="J70" s="14" t="s">
        <v>178</v>
      </c>
      <c r="K70" s="14">
        <v>9.0</v>
      </c>
      <c r="L70" s="14" t="str">
        <f t="array" ref="L70">INDEX('School Rep'!$A$2:$A$21, MATCH(J70, 'School Rep'!$B$2:$B$21, 0))</f>
        <v>Therese Boyle</v>
      </c>
      <c r="M70" s="15">
        <v>3.7</v>
      </c>
      <c r="N70" s="16" t="s">
        <v>298</v>
      </c>
      <c r="O70" s="8" t="str">
        <f t="shared" si="1"/>
        <v>12607 S Union Ave </v>
      </c>
      <c r="P70" s="12">
        <v>9.0</v>
      </c>
      <c r="Q70" s="13" t="s">
        <v>237</v>
      </c>
    </row>
    <row r="71">
      <c r="A71" s="7">
        <v>609812.0</v>
      </c>
      <c r="B71" s="8" t="s">
        <v>299</v>
      </c>
      <c r="C71" s="18" t="s">
        <v>300</v>
      </c>
      <c r="D71" s="19">
        <v>0.103</v>
      </c>
      <c r="E71" s="18" t="s">
        <v>80</v>
      </c>
      <c r="F71" s="18" t="s">
        <v>301</v>
      </c>
      <c r="G71" s="15" t="s">
        <v>2037</v>
      </c>
      <c r="H71" s="12">
        <v>47.0</v>
      </c>
      <c r="I71" s="13" t="s">
        <v>20</v>
      </c>
      <c r="J71" s="14" t="s">
        <v>217</v>
      </c>
      <c r="K71" s="14">
        <v>5.0</v>
      </c>
      <c r="L71" s="14" t="str">
        <f t="array" ref="L71">INDEX('School Rep'!$A$2:$A$21, MATCH(J71, 'School Rep'!$B$2:$B$21, 0))</f>
        <v>Michilla Blaise</v>
      </c>
      <c r="M71" s="15">
        <v>3.3</v>
      </c>
      <c r="N71" s="16" t="s">
        <v>302</v>
      </c>
      <c r="O71" s="8" t="str">
        <f t="shared" si="1"/>
        <v>54 N Hermitage Ave </v>
      </c>
      <c r="P71" s="12">
        <v>27.0</v>
      </c>
      <c r="Q71" s="13" t="s">
        <v>219</v>
      </c>
    </row>
    <row r="72">
      <c r="A72" s="7">
        <v>609813.0</v>
      </c>
      <c r="B72" s="8" t="s">
        <v>303</v>
      </c>
      <c r="C72" s="18" t="s">
        <v>304</v>
      </c>
      <c r="D72" s="19">
        <v>0.288</v>
      </c>
      <c r="E72" s="18" t="s">
        <v>80</v>
      </c>
      <c r="F72" s="18" t="s">
        <v>144</v>
      </c>
      <c r="G72" s="15" t="s">
        <v>2030</v>
      </c>
      <c r="H72" s="12">
        <v>22.0</v>
      </c>
      <c r="I72" s="13" t="s">
        <v>41</v>
      </c>
      <c r="J72" s="14" t="s">
        <v>204</v>
      </c>
      <c r="K72" s="14">
        <v>6.0</v>
      </c>
      <c r="L72" s="14" t="str">
        <f t="array" ref="L72">INDEX('School Rep'!$A$2:$A$21, MATCH(J72, 'School Rep'!$B$2:$B$21, 0))</f>
        <v>Jessica Biggs</v>
      </c>
      <c r="M72" s="15">
        <v>3.3</v>
      </c>
      <c r="N72" s="16" t="s">
        <v>305</v>
      </c>
      <c r="O72" s="8" t="str">
        <f t="shared" si="1"/>
        <v>6741 S Michigan Ave </v>
      </c>
      <c r="P72" s="12">
        <v>6.0</v>
      </c>
      <c r="Q72" s="13" t="s">
        <v>306</v>
      </c>
    </row>
    <row r="73">
      <c r="A73" s="7">
        <v>609830.0</v>
      </c>
      <c r="B73" s="12" t="s">
        <v>307</v>
      </c>
      <c r="C73" s="18" t="s">
        <v>308</v>
      </c>
      <c r="D73" s="19">
        <v>0.203</v>
      </c>
      <c r="E73" s="18" t="s">
        <v>80</v>
      </c>
      <c r="F73" s="18" t="s">
        <v>231</v>
      </c>
      <c r="G73" s="15" t="s">
        <v>2033</v>
      </c>
      <c r="H73" s="12">
        <v>59.0</v>
      </c>
      <c r="I73" s="13" t="s">
        <v>20</v>
      </c>
      <c r="J73" s="14" t="s">
        <v>31</v>
      </c>
      <c r="K73" s="14">
        <v>5.0</v>
      </c>
      <c r="L73" s="14" t="str">
        <f t="array" ref="L73">INDEX('School Rep'!$A$2:$A$21, MATCH(J73, 'School Rep'!$B$2:$B$21, 0))</f>
        <v>Aaron "Jitu" Brown</v>
      </c>
      <c r="M73" s="12">
        <v>3.4</v>
      </c>
      <c r="N73" s="16" t="s">
        <v>309</v>
      </c>
      <c r="O73" s="8" t="str">
        <f t="shared" si="1"/>
        <v>932 N Central Ave </v>
      </c>
      <c r="P73" s="12">
        <v>29.0</v>
      </c>
      <c r="Q73" s="13" t="s">
        <v>33</v>
      </c>
    </row>
    <row r="74">
      <c r="A74" s="7">
        <v>609817.0</v>
      </c>
      <c r="B74" s="13" t="s">
        <v>310</v>
      </c>
      <c r="C74" s="18" t="s">
        <v>311</v>
      </c>
      <c r="D74" s="19">
        <v>0.082</v>
      </c>
      <c r="E74" s="18" t="s">
        <v>80</v>
      </c>
      <c r="F74" s="18" t="s">
        <v>126</v>
      </c>
      <c r="G74" s="15" t="e">
        <v>#N/A</v>
      </c>
      <c r="H74" s="12">
        <v>47.0</v>
      </c>
      <c r="I74" s="13" t="s">
        <v>20</v>
      </c>
      <c r="J74" s="14" t="s">
        <v>87</v>
      </c>
      <c r="K74" s="14">
        <v>2.0</v>
      </c>
      <c r="L74" s="14" t="str">
        <f t="array" ref="L74">INDEX('School Rep'!$A$2:$A$21, MATCH(J74, 'School Rep'!$B$2:$B$21, 0))</f>
        <v>Debby Pope</v>
      </c>
      <c r="M74" s="12">
        <v>1.8</v>
      </c>
      <c r="N74" s="16" t="s">
        <v>312</v>
      </c>
      <c r="O74" s="8" t="str">
        <f t="shared" si="1"/>
        <v>2701 W Foster Ave </v>
      </c>
      <c r="P74" s="12">
        <v>40.0</v>
      </c>
      <c r="Q74" s="13" t="s">
        <v>89</v>
      </c>
    </row>
    <row r="75">
      <c r="A75" s="7">
        <v>609818.0</v>
      </c>
      <c r="B75" s="12" t="s">
        <v>313</v>
      </c>
      <c r="C75" s="18" t="s">
        <v>314</v>
      </c>
      <c r="D75" s="19">
        <v>0.108</v>
      </c>
      <c r="E75" s="18" t="s">
        <v>80</v>
      </c>
      <c r="F75" s="18" t="s">
        <v>231</v>
      </c>
      <c r="G75" s="15" t="s">
        <v>2033</v>
      </c>
      <c r="H75" s="12">
        <v>63.0</v>
      </c>
      <c r="I75" s="13" t="s">
        <v>52</v>
      </c>
      <c r="J75" s="14" t="s">
        <v>31</v>
      </c>
      <c r="K75" s="14">
        <v>5.0</v>
      </c>
      <c r="L75" s="14" t="str">
        <f t="array" ref="L75">INDEX('School Rep'!$A$2:$A$21, MATCH(J75, 'School Rep'!$B$2:$B$21, 0))</f>
        <v>Aaron "Jitu" Brown</v>
      </c>
      <c r="M75" s="12">
        <v>3.6</v>
      </c>
      <c r="N75" s="16" t="s">
        <v>315</v>
      </c>
      <c r="O75" s="8" t="str">
        <f t="shared" si="1"/>
        <v>2035 N Mobile Ave </v>
      </c>
      <c r="P75" s="12">
        <v>29.0</v>
      </c>
      <c r="Q75" s="13" t="s">
        <v>33</v>
      </c>
    </row>
    <row r="76">
      <c r="A76" s="7">
        <v>609819.0</v>
      </c>
      <c r="B76" s="8" t="s">
        <v>316</v>
      </c>
      <c r="C76" s="18" t="s">
        <v>317</v>
      </c>
      <c r="D76" s="19">
        <v>0.308</v>
      </c>
      <c r="E76" s="18" t="s">
        <v>80</v>
      </c>
      <c r="F76" s="18" t="s">
        <v>120</v>
      </c>
      <c r="G76" s="15" t="s">
        <v>2028</v>
      </c>
      <c r="H76" s="12">
        <v>58.0</v>
      </c>
      <c r="I76" s="13" t="s">
        <v>20</v>
      </c>
      <c r="J76" s="14" t="s">
        <v>204</v>
      </c>
      <c r="K76" s="14">
        <v>6.0</v>
      </c>
      <c r="L76" s="14" t="str">
        <f t="array" ref="L76">INDEX('School Rep'!$A$2:$A$21, MATCH(J76, 'School Rep'!$B$2:$B$21, 0))</f>
        <v>Jessica Biggs</v>
      </c>
      <c r="M76" s="15">
        <v>3.5</v>
      </c>
      <c r="N76" s="16" t="s">
        <v>318</v>
      </c>
      <c r="O76" s="8" t="str">
        <f t="shared" si="1"/>
        <v>5356 S King Dr </v>
      </c>
      <c r="P76" s="12">
        <v>3.0</v>
      </c>
      <c r="Q76" s="13" t="s">
        <v>206</v>
      </c>
    </row>
    <row r="77">
      <c r="A77" s="7">
        <v>609820.0</v>
      </c>
      <c r="B77" s="12" t="s">
        <v>319</v>
      </c>
      <c r="C77" s="17" t="s">
        <v>320</v>
      </c>
      <c r="D77" s="10">
        <v>0.026</v>
      </c>
      <c r="E77" s="11" t="s">
        <v>80</v>
      </c>
      <c r="F77" s="11" t="s">
        <v>102</v>
      </c>
      <c r="G77" s="15" t="s">
        <v>2025</v>
      </c>
      <c r="H77" s="12">
        <v>56.0</v>
      </c>
      <c r="I77" s="13" t="s">
        <v>20</v>
      </c>
      <c r="J77" s="14" t="s">
        <v>103</v>
      </c>
      <c r="K77" s="14">
        <v>4.0</v>
      </c>
      <c r="L77" s="14" t="str">
        <f t="array" ref="L77">INDEX('School Rep'!$A$2:$A$21, MATCH(J77, 'School Rep'!$B$2:$B$21, 0))</f>
        <v>Ellen Rosenfeld</v>
      </c>
      <c r="M77" s="12">
        <v>1.5</v>
      </c>
      <c r="N77" s="16" t="s">
        <v>321</v>
      </c>
      <c r="O77" s="8" t="str">
        <f t="shared" si="1"/>
        <v>1630 W Barry Ave </v>
      </c>
      <c r="P77" s="12">
        <v>32.0</v>
      </c>
      <c r="Q77" s="13" t="s">
        <v>110</v>
      </c>
    </row>
    <row r="78">
      <c r="A78" s="7">
        <v>609821.0</v>
      </c>
      <c r="B78" s="13" t="s">
        <v>322</v>
      </c>
      <c r="C78" s="11" t="s">
        <v>323</v>
      </c>
      <c r="D78" s="10">
        <v>0.242</v>
      </c>
      <c r="E78" s="11" t="s">
        <v>80</v>
      </c>
      <c r="F78" s="11" t="s">
        <v>81</v>
      </c>
      <c r="G78" s="15" t="s">
        <v>2022</v>
      </c>
      <c r="H78" s="12">
        <v>34.0</v>
      </c>
      <c r="I78" s="13" t="s">
        <v>41</v>
      </c>
      <c r="J78" s="14" t="s">
        <v>82</v>
      </c>
      <c r="K78" s="14">
        <v>10.0</v>
      </c>
      <c r="L78" s="14" t="str">
        <f t="array" ref="L78">INDEX('School Rep'!$A$2:$A$21, MATCH(J78, 'School Rep'!$B$2:$B$21, 0))</f>
        <v>Olga Bautista</v>
      </c>
      <c r="M78" s="12">
        <v>3.3</v>
      </c>
      <c r="N78" s="16" t="s">
        <v>324</v>
      </c>
      <c r="O78" s="8" t="str">
        <f t="shared" si="1"/>
        <v>9928 S Crandon Ave </v>
      </c>
      <c r="P78" s="12">
        <v>7.0</v>
      </c>
      <c r="Q78" s="13" t="s">
        <v>260</v>
      </c>
    </row>
    <row r="79">
      <c r="A79" s="7">
        <v>609827.0</v>
      </c>
      <c r="B79" s="13" t="s">
        <v>325</v>
      </c>
      <c r="C79" s="18" t="s">
        <v>326</v>
      </c>
      <c r="D79" s="19">
        <v>0.052</v>
      </c>
      <c r="E79" s="18" t="s">
        <v>80</v>
      </c>
      <c r="F79" s="18" t="s">
        <v>144</v>
      </c>
      <c r="G79" s="15" t="s">
        <v>2030</v>
      </c>
      <c r="H79" s="12">
        <v>72.0</v>
      </c>
      <c r="I79" s="13" t="s">
        <v>52</v>
      </c>
      <c r="J79" s="14" t="s">
        <v>82</v>
      </c>
      <c r="K79" s="14">
        <v>10.0</v>
      </c>
      <c r="L79" s="14" t="str">
        <f t="array" ref="L79">INDEX('School Rep'!$A$2:$A$21, MATCH(J79, 'School Rep'!$B$2:$B$21, 0))</f>
        <v>Olga Bautista</v>
      </c>
      <c r="M79" s="12">
        <v>2.9</v>
      </c>
      <c r="N79" s="16" t="s">
        <v>327</v>
      </c>
      <c r="O79" s="8" t="str">
        <f t="shared" si="1"/>
        <v>650 E 91st Pl </v>
      </c>
      <c r="P79" s="12">
        <v>8.0</v>
      </c>
      <c r="Q79" s="13" t="s">
        <v>135</v>
      </c>
    </row>
    <row r="80">
      <c r="A80" s="7">
        <v>609828.0</v>
      </c>
      <c r="B80" s="12" t="s">
        <v>328</v>
      </c>
      <c r="C80" s="9" t="s">
        <v>329</v>
      </c>
      <c r="D80" s="10">
        <v>0.0</v>
      </c>
      <c r="E80" s="11" t="s">
        <v>80</v>
      </c>
      <c r="F80" s="11" t="s">
        <v>301</v>
      </c>
      <c r="G80" s="15" t="s">
        <v>2037</v>
      </c>
      <c r="H80" s="12">
        <v>77.0</v>
      </c>
      <c r="I80" s="13" t="s">
        <v>52</v>
      </c>
      <c r="J80" s="14" t="s">
        <v>103</v>
      </c>
      <c r="K80" s="14">
        <v>4.0</v>
      </c>
      <c r="L80" s="14" t="str">
        <f t="array" ref="L80">INDEX('School Rep'!$A$2:$A$21, MATCH(J80, 'School Rep'!$B$2:$B$21, 0))</f>
        <v>Ellen Rosenfeld</v>
      </c>
      <c r="M80" s="12">
        <v>2.1</v>
      </c>
      <c r="N80" s="16" t="s">
        <v>330</v>
      </c>
      <c r="O80" s="8" t="str">
        <f t="shared" si="1"/>
        <v>1621 W Wabansia Ave </v>
      </c>
      <c r="P80" s="12">
        <v>32.0</v>
      </c>
      <c r="Q80" s="13" t="s">
        <v>110</v>
      </c>
    </row>
    <row r="81">
      <c r="A81" s="7">
        <v>609829.0</v>
      </c>
      <c r="B81" s="8" t="s">
        <v>331</v>
      </c>
      <c r="C81" s="18" t="s">
        <v>332</v>
      </c>
      <c r="D81" s="19">
        <v>0.102</v>
      </c>
      <c r="E81" s="18" t="s">
        <v>80</v>
      </c>
      <c r="F81" s="18" t="s">
        <v>285</v>
      </c>
      <c r="G81" s="15" t="s">
        <v>2036</v>
      </c>
      <c r="H81" s="12">
        <v>59.0</v>
      </c>
      <c r="I81" s="13" t="s">
        <v>20</v>
      </c>
      <c r="J81" s="14" t="s">
        <v>26</v>
      </c>
      <c r="K81" s="14">
        <v>8.0</v>
      </c>
      <c r="L81" s="14" t="str">
        <f t="array" ref="L81">INDEX('School Rep'!$A$2:$A$21, MATCH(J81, 'School Rep'!$B$2:$B$21, 0))</f>
        <v>Cydney Wallace</v>
      </c>
      <c r="M81" s="15">
        <v>3.7</v>
      </c>
      <c r="N81" s="16" t="s">
        <v>333</v>
      </c>
      <c r="O81" s="8" t="str">
        <f t="shared" si="1"/>
        <v>3542 S Washtenaw Ave </v>
      </c>
      <c r="P81" s="12">
        <v>12.0</v>
      </c>
      <c r="Q81" s="13" t="s">
        <v>23</v>
      </c>
    </row>
    <row r="82">
      <c r="A82" s="7">
        <v>609832.0</v>
      </c>
      <c r="B82" s="8" t="s">
        <v>334</v>
      </c>
      <c r="C82" s="18" t="s">
        <v>335</v>
      </c>
      <c r="D82" s="19">
        <v>0.051</v>
      </c>
      <c r="E82" s="18" t="s">
        <v>80</v>
      </c>
      <c r="F82" s="18" t="s">
        <v>138</v>
      </c>
      <c r="G82" s="15" t="s">
        <v>2029</v>
      </c>
      <c r="H82" s="12">
        <v>37.0</v>
      </c>
      <c r="I82" s="13" t="s">
        <v>41</v>
      </c>
      <c r="J82" s="14" t="s">
        <v>139</v>
      </c>
      <c r="K82" s="14">
        <v>8.0</v>
      </c>
      <c r="L82" s="14" t="str">
        <f t="array" ref="L82">INDEX('School Rep'!$A$2:$A$21, MATCH(J82, 'School Rep'!$B$2:$B$21, 0))</f>
        <v>Angel Gutierrez</v>
      </c>
      <c r="M82" s="15">
        <v>2.1</v>
      </c>
      <c r="N82" s="16" t="s">
        <v>336</v>
      </c>
      <c r="O82" s="8" t="str">
        <f t="shared" si="1"/>
        <v>5329 S Oak Park Ave </v>
      </c>
      <c r="P82" s="12">
        <v>23.0</v>
      </c>
      <c r="Q82" s="13" t="s">
        <v>172</v>
      </c>
    </row>
    <row r="83">
      <c r="A83" s="7">
        <v>610353.0</v>
      </c>
      <c r="B83" s="8" t="s">
        <v>337</v>
      </c>
      <c r="C83" s="17" t="s">
        <v>338</v>
      </c>
      <c r="D83" s="10">
        <v>0.043</v>
      </c>
      <c r="E83" s="11" t="s">
        <v>80</v>
      </c>
      <c r="F83" s="11" t="s">
        <v>285</v>
      </c>
      <c r="G83" s="15" t="s">
        <v>2036</v>
      </c>
      <c r="H83" s="12">
        <v>65.0</v>
      </c>
      <c r="I83" s="13" t="s">
        <v>52</v>
      </c>
      <c r="J83" s="14" t="s">
        <v>21</v>
      </c>
      <c r="K83" s="14">
        <v>7.0</v>
      </c>
      <c r="L83" s="14" t="str">
        <f t="array" ref="L83">INDEX('School Rep'!$A$2:$A$21, MATCH(J83, 'School Rep'!$B$2:$B$21, 0))</f>
        <v>Yesenia Lopez</v>
      </c>
      <c r="M83" s="15">
        <v>3.4</v>
      </c>
      <c r="N83" s="16" t="s">
        <v>339</v>
      </c>
      <c r="O83" s="8" t="str">
        <f t="shared" si="1"/>
        <v>3456 W 38th St </v>
      </c>
      <c r="P83" s="12">
        <v>12.0</v>
      </c>
      <c r="Q83" s="13" t="s">
        <v>23</v>
      </c>
    </row>
    <row r="84">
      <c r="A84" s="7">
        <v>609835.0</v>
      </c>
      <c r="B84" s="12" t="s">
        <v>340</v>
      </c>
      <c r="C84" s="17" t="s">
        <v>341</v>
      </c>
      <c r="D84" s="10">
        <v>0.19</v>
      </c>
      <c r="E84" s="11" t="s">
        <v>80</v>
      </c>
      <c r="F84" s="11" t="s">
        <v>216</v>
      </c>
      <c r="G84" s="15" t="s">
        <v>2032</v>
      </c>
      <c r="H84" s="12">
        <v>31.0</v>
      </c>
      <c r="I84" s="13" t="s">
        <v>41</v>
      </c>
      <c r="J84" s="14" t="s">
        <v>232</v>
      </c>
      <c r="K84" s="14">
        <v>3.0</v>
      </c>
      <c r="L84" s="14" t="str">
        <f t="array" ref="L84">INDEX('School Rep'!$A$2:$A$21, MATCH(J84, 'School Rep'!$B$2:$B$21, 0))</f>
        <v>Carlos Rivas</v>
      </c>
      <c r="M84" s="12">
        <v>3.7</v>
      </c>
      <c r="N84" s="16" t="s">
        <v>342</v>
      </c>
      <c r="O84" s="8" t="str">
        <f t="shared" si="1"/>
        <v>1234 N Monticello Ave </v>
      </c>
      <c r="P84" s="12">
        <v>36.0</v>
      </c>
      <c r="Q84" s="13" t="s">
        <v>67</v>
      </c>
    </row>
    <row r="85">
      <c r="A85" s="7">
        <v>610539.0</v>
      </c>
      <c r="B85" s="13" t="s">
        <v>343</v>
      </c>
      <c r="C85" s="9" t="s">
        <v>344</v>
      </c>
      <c r="D85" s="10">
        <v>0.088</v>
      </c>
      <c r="E85" s="11" t="s">
        <v>80</v>
      </c>
      <c r="F85" s="11" t="s">
        <v>126</v>
      </c>
      <c r="G85" s="15" t="e">
        <v>#N/A</v>
      </c>
      <c r="H85" s="12">
        <v>46.0</v>
      </c>
      <c r="I85" s="13" t="s">
        <v>20</v>
      </c>
      <c r="J85" s="14" t="s">
        <v>222</v>
      </c>
      <c r="K85" s="14">
        <v>1.0</v>
      </c>
      <c r="L85" s="14" t="str">
        <f t="array" ref="L85">INDEX('School Rep'!$A$2:$A$21, MATCH(J85, 'School Rep'!$B$2:$B$21, 0))</f>
        <v>Jennifer Custer</v>
      </c>
      <c r="M85" s="12">
        <v>3.2</v>
      </c>
      <c r="N85" s="16" t="s">
        <v>345</v>
      </c>
      <c r="O85" s="8" t="str">
        <f t="shared" si="1"/>
        <v>3000 N Mango Ave </v>
      </c>
      <c r="P85" s="12">
        <v>30.0</v>
      </c>
      <c r="Q85" s="13" t="s">
        <v>346</v>
      </c>
    </row>
    <row r="86">
      <c r="A86" s="7">
        <v>609836.0</v>
      </c>
      <c r="B86" s="13" t="s">
        <v>347</v>
      </c>
      <c r="C86" s="18" t="s">
        <v>348</v>
      </c>
      <c r="D86" s="19">
        <v>0.073</v>
      </c>
      <c r="E86" s="18" t="s">
        <v>80</v>
      </c>
      <c r="F86" s="18" t="s">
        <v>97</v>
      </c>
      <c r="G86" s="15" t="s">
        <v>2024</v>
      </c>
      <c r="H86" s="12">
        <v>47.0</v>
      </c>
      <c r="I86" s="13" t="s">
        <v>20</v>
      </c>
      <c r="J86" s="14" t="s">
        <v>199</v>
      </c>
      <c r="K86" s="14">
        <v>1.0</v>
      </c>
      <c r="L86" s="14" t="str">
        <f t="array" ref="L86">INDEX('School Rep'!$A$2:$A$21, MATCH(J86, 'School Rep'!$B$2:$B$21, 0))</f>
        <v>Ed Bannon</v>
      </c>
      <c r="M86" s="12">
        <v>1.8</v>
      </c>
      <c r="N86" s="16" t="s">
        <v>349</v>
      </c>
      <c r="O86" s="8" t="str">
        <f t="shared" si="1"/>
        <v>3740 N Panama Ave </v>
      </c>
      <c r="P86" s="12">
        <v>38.0</v>
      </c>
      <c r="Q86" s="13" t="s">
        <v>279</v>
      </c>
    </row>
    <row r="87">
      <c r="A87" s="7">
        <v>610024.0</v>
      </c>
      <c r="B87" s="8" t="s">
        <v>350</v>
      </c>
      <c r="C87" s="18" t="s">
        <v>351</v>
      </c>
      <c r="D87" s="19">
        <v>0.098</v>
      </c>
      <c r="E87" s="18" t="s">
        <v>80</v>
      </c>
      <c r="F87" s="18" t="s">
        <v>126</v>
      </c>
      <c r="G87" s="15" t="e">
        <v>#N/A</v>
      </c>
      <c r="H87" s="12">
        <v>64.0</v>
      </c>
      <c r="I87" s="13" t="s">
        <v>52</v>
      </c>
      <c r="J87" s="14" t="s">
        <v>42</v>
      </c>
      <c r="K87" s="14">
        <v>7.0</v>
      </c>
      <c r="L87" s="14" t="str">
        <f t="array" ref="L87">INDEX('School Rep'!$A$2:$A$21, MATCH(J87, 'School Rep'!$B$2:$B$21, 0))</f>
        <v>Emma Lozano</v>
      </c>
      <c r="M87" s="15">
        <v>3.1</v>
      </c>
      <c r="N87" s="16" t="s">
        <v>352</v>
      </c>
      <c r="O87" s="8" t="str">
        <f t="shared" si="1"/>
        <v>2345 S Millard Ave </v>
      </c>
      <c r="P87" s="12">
        <v>22.0</v>
      </c>
      <c r="Q87" s="13" t="s">
        <v>353</v>
      </c>
    </row>
    <row r="88">
      <c r="A88" s="7">
        <v>609837.0</v>
      </c>
      <c r="B88" s="13" t="s">
        <v>354</v>
      </c>
      <c r="C88" s="9" t="s">
        <v>355</v>
      </c>
      <c r="D88" s="10">
        <v>0.056</v>
      </c>
      <c r="E88" s="11" t="s">
        <v>80</v>
      </c>
      <c r="F88" s="11" t="s">
        <v>120</v>
      </c>
      <c r="G88" s="15" t="s">
        <v>2028</v>
      </c>
      <c r="H88" s="12">
        <v>67.0</v>
      </c>
      <c r="I88" s="13" t="s">
        <v>52</v>
      </c>
      <c r="J88" s="14" t="s">
        <v>121</v>
      </c>
      <c r="K88" s="14">
        <v>10.0</v>
      </c>
      <c r="L88" s="14" t="str">
        <f t="array" ref="L88">INDEX('School Rep'!$A$2:$A$21, MATCH(J88, 'School Rep'!$B$2:$B$21, 0))</f>
        <v>Che "Rhymefest" Smith</v>
      </c>
      <c r="M88" s="12">
        <v>2.8</v>
      </c>
      <c r="N88" s="16" t="s">
        <v>356</v>
      </c>
      <c r="O88" s="8" t="str">
        <f t="shared" si="1"/>
        <v>1414 E 61st Pl </v>
      </c>
      <c r="P88" s="12">
        <v>5.0</v>
      </c>
      <c r="Q88" s="13" t="s">
        <v>357</v>
      </c>
    </row>
    <row r="89">
      <c r="A89" s="7">
        <v>609839.0</v>
      </c>
      <c r="B89" s="8" t="s">
        <v>358</v>
      </c>
      <c r="C89" s="11" t="s">
        <v>359</v>
      </c>
      <c r="D89" s="10">
        <v>0.139</v>
      </c>
      <c r="E89" s="11" t="s">
        <v>80</v>
      </c>
      <c r="F89" s="11" t="s">
        <v>138</v>
      </c>
      <c r="G89" s="15" t="s">
        <v>2029</v>
      </c>
      <c r="H89" s="12">
        <v>75.0</v>
      </c>
      <c r="I89" s="13" t="s">
        <v>52</v>
      </c>
      <c r="J89" s="14" t="s">
        <v>139</v>
      </c>
      <c r="K89" s="14">
        <v>8.0</v>
      </c>
      <c r="L89" s="14" t="str">
        <f t="array" ref="L89">INDEX('School Rep'!$A$2:$A$21, MATCH(J89, 'School Rep'!$B$2:$B$21, 0))</f>
        <v>Angel Gutierrez</v>
      </c>
      <c r="M89" s="15">
        <v>2.7</v>
      </c>
      <c r="N89" s="16" t="s">
        <v>360</v>
      </c>
      <c r="O89" s="8" t="str">
        <f t="shared" si="1"/>
        <v>2929 W 83rd St </v>
      </c>
      <c r="P89" s="12">
        <v>18.0</v>
      </c>
      <c r="Q89" s="13" t="s">
        <v>141</v>
      </c>
    </row>
    <row r="90">
      <c r="A90" s="7">
        <v>609842.0</v>
      </c>
      <c r="B90" s="8" t="s">
        <v>361</v>
      </c>
      <c r="C90" s="17" t="s">
        <v>362</v>
      </c>
      <c r="D90" s="10">
        <v>0.089</v>
      </c>
      <c r="E90" s="11" t="s">
        <v>80</v>
      </c>
      <c r="F90" s="11" t="s">
        <v>126</v>
      </c>
      <c r="G90" s="15" t="e">
        <v>#N/A</v>
      </c>
      <c r="H90" s="12">
        <v>50.0</v>
      </c>
      <c r="I90" s="13" t="s">
        <v>20</v>
      </c>
      <c r="J90" s="14" t="s">
        <v>26</v>
      </c>
      <c r="K90" s="14">
        <v>8.0</v>
      </c>
      <c r="L90" s="14" t="str">
        <f t="array" ref="L90">INDEX('School Rep'!$A$2:$A$21, MATCH(J90, 'School Rep'!$B$2:$B$21, 0))</f>
        <v>Cydney Wallace</v>
      </c>
      <c r="M90" s="15">
        <v>3.6</v>
      </c>
      <c r="N90" s="16" t="s">
        <v>363</v>
      </c>
      <c r="O90" s="8" t="str">
        <f t="shared" si="1"/>
        <v>5516 S Maplewood Ave </v>
      </c>
      <c r="P90" s="12">
        <v>15.0</v>
      </c>
      <c r="Q90" s="13" t="s">
        <v>364</v>
      </c>
    </row>
    <row r="91">
      <c r="A91" s="7">
        <v>609844.0</v>
      </c>
      <c r="B91" s="8" t="s">
        <v>365</v>
      </c>
      <c r="C91" s="18" t="s">
        <v>366</v>
      </c>
      <c r="D91" s="19">
        <v>0.19</v>
      </c>
      <c r="E91" s="18" t="s">
        <v>80</v>
      </c>
      <c r="F91" s="18" t="s">
        <v>120</v>
      </c>
      <c r="G91" s="15" t="s">
        <v>2028</v>
      </c>
      <c r="H91" s="12">
        <v>51.0</v>
      </c>
      <c r="I91" s="13" t="s">
        <v>20</v>
      </c>
      <c r="J91" s="14" t="s">
        <v>204</v>
      </c>
      <c r="K91" s="14">
        <v>6.0</v>
      </c>
      <c r="L91" s="14" t="str">
        <f t="array" ref="L91">INDEX('School Rep'!$A$2:$A$21, MATCH(J91, 'School Rep'!$B$2:$B$21, 0))</f>
        <v>Jessica Biggs</v>
      </c>
      <c r="M91" s="15">
        <v>3.2</v>
      </c>
      <c r="N91" s="16" t="s">
        <v>367</v>
      </c>
      <c r="O91" s="8" t="str">
        <f t="shared" si="1"/>
        <v>5740 S Michigan Ave </v>
      </c>
      <c r="P91" s="12">
        <v>20.0</v>
      </c>
      <c r="Q91" s="13" t="s">
        <v>368</v>
      </c>
    </row>
    <row r="92">
      <c r="A92" s="7">
        <v>609845.0</v>
      </c>
      <c r="B92" s="13" t="s">
        <v>369</v>
      </c>
      <c r="C92" s="18" t="s">
        <v>370</v>
      </c>
      <c r="D92" s="19">
        <v>0.189</v>
      </c>
      <c r="E92" s="18" t="s">
        <v>80</v>
      </c>
      <c r="F92" s="18" t="s">
        <v>81</v>
      </c>
      <c r="G92" s="15" t="s">
        <v>2022</v>
      </c>
      <c r="H92" s="12">
        <v>72.0</v>
      </c>
      <c r="I92" s="13" t="s">
        <v>52</v>
      </c>
      <c r="J92" s="14" t="s">
        <v>82</v>
      </c>
      <c r="K92" s="14">
        <v>10.0</v>
      </c>
      <c r="L92" s="14" t="str">
        <f t="array" ref="L92">INDEX('School Rep'!$A$2:$A$21, MATCH(J92, 'School Rep'!$B$2:$B$21, 0))</f>
        <v>Olga Bautista</v>
      </c>
      <c r="M92" s="12">
        <v>3.7</v>
      </c>
      <c r="N92" s="16" t="s">
        <v>371</v>
      </c>
      <c r="O92" s="8" t="str">
        <f t="shared" si="1"/>
        <v>901 E 133rd Pl </v>
      </c>
      <c r="P92" s="12">
        <v>10.0</v>
      </c>
      <c r="Q92" s="13" t="s">
        <v>84</v>
      </c>
    </row>
    <row r="93">
      <c r="A93" s="7">
        <v>609760.0</v>
      </c>
      <c r="B93" s="13" t="s">
        <v>372</v>
      </c>
      <c r="C93" s="18" t="s">
        <v>373</v>
      </c>
      <c r="D93" s="19">
        <v>0.069</v>
      </c>
      <c r="E93" s="18" t="s">
        <v>80</v>
      </c>
      <c r="F93" s="18" t="s">
        <v>263</v>
      </c>
      <c r="G93" s="15" t="s">
        <v>2034</v>
      </c>
      <c r="H93" s="12">
        <v>39.0</v>
      </c>
      <c r="I93" s="13" t="s">
        <v>41</v>
      </c>
      <c r="J93" s="14" t="s">
        <v>82</v>
      </c>
      <c r="K93" s="14">
        <v>10.0</v>
      </c>
      <c r="L93" s="14" t="str">
        <f t="array" ref="L93">INDEX('School Rep'!$A$2:$A$21, MATCH(J93, 'School Rep'!$B$2:$B$21, 0))</f>
        <v>Olga Bautista</v>
      </c>
      <c r="M93" s="12">
        <v>3.2</v>
      </c>
      <c r="N93" s="16" t="s">
        <v>374</v>
      </c>
      <c r="O93" s="8" t="str">
        <f t="shared" si="1"/>
        <v>13100 S Doty Ave </v>
      </c>
      <c r="P93" s="12">
        <v>10.0</v>
      </c>
      <c r="Q93" s="13" t="s">
        <v>84</v>
      </c>
    </row>
    <row r="94">
      <c r="A94" s="7">
        <v>610021.0</v>
      </c>
      <c r="B94" s="12" t="s">
        <v>375</v>
      </c>
      <c r="C94" s="18" t="s">
        <v>376</v>
      </c>
      <c r="D94" s="19">
        <v>0.237</v>
      </c>
      <c r="E94" s="18" t="s">
        <v>80</v>
      </c>
      <c r="F94" s="18" t="s">
        <v>216</v>
      </c>
      <c r="G94" s="15" t="s">
        <v>2032</v>
      </c>
      <c r="H94" s="12">
        <v>61.0</v>
      </c>
      <c r="I94" s="13" t="s">
        <v>52</v>
      </c>
      <c r="J94" s="14" t="s">
        <v>232</v>
      </c>
      <c r="K94" s="14">
        <v>3.0</v>
      </c>
      <c r="L94" s="14" t="str">
        <f t="array" ref="L94">INDEX('School Rep'!$A$2:$A$21, MATCH(J94, 'School Rep'!$B$2:$B$21, 0))</f>
        <v>Carlos Rivas</v>
      </c>
      <c r="M94" s="12">
        <v>3.6</v>
      </c>
      <c r="N94" s="16" t="s">
        <v>377</v>
      </c>
      <c r="O94" s="8" t="str">
        <f t="shared" si="1"/>
        <v>3501 W Potomac Ave </v>
      </c>
      <c r="P94" s="12">
        <v>26.0</v>
      </c>
      <c r="Q94" s="13" t="s">
        <v>378</v>
      </c>
    </row>
    <row r="95">
      <c r="A95" s="7">
        <v>609849.0</v>
      </c>
      <c r="B95" s="8" t="s">
        <v>379</v>
      </c>
      <c r="C95" s="18" t="s">
        <v>380</v>
      </c>
      <c r="D95" s="19">
        <v>0.031</v>
      </c>
      <c r="E95" s="18" t="s">
        <v>80</v>
      </c>
      <c r="F95" s="18" t="s">
        <v>126</v>
      </c>
      <c r="G95" s="15" t="e">
        <v>#N/A</v>
      </c>
      <c r="H95" s="12">
        <v>84.0</v>
      </c>
      <c r="I95" s="13" t="s">
        <v>248</v>
      </c>
      <c r="J95" s="14" t="s">
        <v>178</v>
      </c>
      <c r="K95" s="14">
        <v>9.0</v>
      </c>
      <c r="L95" s="14" t="str">
        <f t="array" ref="L95">INDEX('School Rep'!$A$2:$A$21, MATCH(J95, 'School Rep'!$B$2:$B$21, 0))</f>
        <v>Therese Boyle</v>
      </c>
      <c r="M95" s="15">
        <v>2.0</v>
      </c>
      <c r="N95" s="16" t="s">
        <v>381</v>
      </c>
      <c r="O95" s="8" t="str">
        <f t="shared" si="1"/>
        <v>11314 S Spaulding Ave </v>
      </c>
      <c r="P95" s="12">
        <v>19.0</v>
      </c>
      <c r="Q95" s="13" t="s">
        <v>180</v>
      </c>
    </row>
    <row r="96">
      <c r="A96" s="7">
        <v>610599.0</v>
      </c>
      <c r="B96" s="8" t="s">
        <v>382</v>
      </c>
      <c r="C96" s="20" t="s">
        <v>383</v>
      </c>
      <c r="D96" s="21">
        <v>0.0</v>
      </c>
      <c r="E96" s="20" t="s">
        <v>80</v>
      </c>
      <c r="F96" s="20" t="s">
        <v>97</v>
      </c>
      <c r="G96" s="15" t="s">
        <v>2024</v>
      </c>
      <c r="H96" s="15"/>
      <c r="I96" s="8"/>
      <c r="J96" s="15" t="s">
        <v>384</v>
      </c>
      <c r="K96" s="15" t="s">
        <v>384</v>
      </c>
      <c r="L96" s="15" t="s">
        <v>384</v>
      </c>
      <c r="M96" s="15">
        <v>1.8</v>
      </c>
      <c r="N96" s="16" t="s">
        <v>385</v>
      </c>
      <c r="O96" s="8" t="str">
        <f t="shared" si="1"/>
        <v>5252 N Long Ave </v>
      </c>
      <c r="P96" s="12">
        <v>45.0</v>
      </c>
      <c r="Q96" s="13" t="s">
        <v>210</v>
      </c>
    </row>
    <row r="97">
      <c r="A97" s="7">
        <v>400021.0</v>
      </c>
      <c r="B97" s="12" t="s">
        <v>386</v>
      </c>
      <c r="C97" s="18" t="s">
        <v>387</v>
      </c>
      <c r="D97" s="19">
        <v>0.025</v>
      </c>
      <c r="E97" s="18" t="s">
        <v>19</v>
      </c>
      <c r="F97" s="18" t="s">
        <v>19</v>
      </c>
      <c r="G97" s="15" t="e">
        <v>#N/A</v>
      </c>
      <c r="H97" s="12">
        <v>64.0</v>
      </c>
      <c r="I97" s="13" t="s">
        <v>52</v>
      </c>
      <c r="J97" s="14" t="s">
        <v>31</v>
      </c>
      <c r="K97" s="14">
        <v>5.0</v>
      </c>
      <c r="L97" s="14" t="str">
        <f t="array" ref="L97">INDEX('School Rep'!$A$2:$A$21, MATCH(J97, 'School Rep'!$B$2:$B$21, 0))</f>
        <v>Aaron "Jitu" Brown</v>
      </c>
      <c r="M97" s="12">
        <v>3.5</v>
      </c>
      <c r="N97" s="16" t="s">
        <v>388</v>
      </c>
      <c r="O97" s="8" t="str">
        <f t="shared" si="1"/>
        <v>5608 W Washington Blvd </v>
      </c>
      <c r="P97" s="12">
        <v>29.0</v>
      </c>
      <c r="Q97" s="13" t="s">
        <v>33</v>
      </c>
    </row>
    <row r="98">
      <c r="A98" s="7">
        <v>400115.0</v>
      </c>
      <c r="B98" s="8" t="s">
        <v>389</v>
      </c>
      <c r="C98" s="9" t="s">
        <v>390</v>
      </c>
      <c r="D98" s="10">
        <v>0.053</v>
      </c>
      <c r="E98" s="11" t="s">
        <v>19</v>
      </c>
      <c r="F98" s="11" t="s">
        <v>19</v>
      </c>
      <c r="G98" s="15" t="e">
        <v>#N/A</v>
      </c>
      <c r="H98" s="12">
        <v>46.0</v>
      </c>
      <c r="I98" s="13" t="s">
        <v>20</v>
      </c>
      <c r="J98" s="15" t="s">
        <v>384</v>
      </c>
      <c r="K98" s="15" t="s">
        <v>384</v>
      </c>
      <c r="L98" s="15" t="s">
        <v>384</v>
      </c>
      <c r="M98" s="15">
        <v>3.1</v>
      </c>
      <c r="N98" s="16" t="s">
        <v>391</v>
      </c>
      <c r="O98" s="8" t="str">
        <f t="shared" si="1"/>
        <v>6727 S California Ave </v>
      </c>
      <c r="P98" s="12">
        <v>16.0</v>
      </c>
      <c r="Q98" s="13" t="s">
        <v>193</v>
      </c>
    </row>
    <row r="99">
      <c r="A99" s="7">
        <v>400182.0</v>
      </c>
      <c r="B99" s="8" t="s">
        <v>392</v>
      </c>
      <c r="C99" s="22"/>
      <c r="D99" s="23"/>
      <c r="E99" s="22"/>
      <c r="F99" s="22"/>
      <c r="G99" s="15" t="e">
        <v>#N/A</v>
      </c>
      <c r="H99" s="12">
        <v>46.0</v>
      </c>
      <c r="I99" s="13" t="s">
        <v>20</v>
      </c>
      <c r="J99" s="15" t="s">
        <v>384</v>
      </c>
      <c r="K99" s="15" t="s">
        <v>384</v>
      </c>
      <c r="L99" s="15" t="s">
        <v>384</v>
      </c>
      <c r="M99" s="12">
        <v>3.0</v>
      </c>
      <c r="N99" s="16" t="s">
        <v>391</v>
      </c>
      <c r="O99" s="8" t="str">
        <f t="shared" si="1"/>
        <v>6727 S California Ave </v>
      </c>
      <c r="P99" s="12">
        <v>16.0</v>
      </c>
      <c r="Q99" s="13" t="s">
        <v>193</v>
      </c>
    </row>
    <row r="100">
      <c r="A100" s="7">
        <v>610251.0</v>
      </c>
      <c r="B100" s="8" t="s">
        <v>393</v>
      </c>
      <c r="C100" s="18" t="s">
        <v>394</v>
      </c>
      <c r="D100" s="19">
        <v>0.181</v>
      </c>
      <c r="E100" s="18" t="s">
        <v>80</v>
      </c>
      <c r="F100" s="18" t="s">
        <v>216</v>
      </c>
      <c r="G100" s="15" t="s">
        <v>2032</v>
      </c>
      <c r="H100" s="12">
        <v>54.0</v>
      </c>
      <c r="I100" s="13" t="s">
        <v>20</v>
      </c>
      <c r="J100" s="14" t="s">
        <v>217</v>
      </c>
      <c r="K100" s="14">
        <v>5.0</v>
      </c>
      <c r="L100" s="14" t="str">
        <f t="array" ref="L100">INDEX('School Rep'!$A$2:$A$21, MATCH(J100, 'School Rep'!$B$2:$B$21, 0))</f>
        <v>Michilla Blaise</v>
      </c>
      <c r="M100" s="15">
        <v>3.6</v>
      </c>
      <c r="N100" s="16" t="s">
        <v>395</v>
      </c>
      <c r="O100" s="8" t="str">
        <f t="shared" si="1"/>
        <v>2908 W Washington Blvd </v>
      </c>
      <c r="P100" s="12">
        <v>27.0</v>
      </c>
      <c r="Q100" s="13" t="s">
        <v>219</v>
      </c>
    </row>
    <row r="101">
      <c r="A101" s="7">
        <v>609851.0</v>
      </c>
      <c r="B101" s="8" t="s">
        <v>396</v>
      </c>
      <c r="C101" s="18" t="s">
        <v>397</v>
      </c>
      <c r="D101" s="19">
        <v>0.176</v>
      </c>
      <c r="E101" s="18" t="s">
        <v>80</v>
      </c>
      <c r="F101" s="18" t="s">
        <v>216</v>
      </c>
      <c r="G101" s="15" t="s">
        <v>2032</v>
      </c>
      <c r="H101" s="12">
        <v>28.0</v>
      </c>
      <c r="I101" s="13" t="s">
        <v>41</v>
      </c>
      <c r="J101" s="14" t="s">
        <v>217</v>
      </c>
      <c r="K101" s="14">
        <v>5.0</v>
      </c>
      <c r="L101" s="14" t="str">
        <f t="array" ref="L101">INDEX('School Rep'!$A$2:$A$21, MATCH(J101, 'School Rep'!$B$2:$B$21, 0))</f>
        <v>Michilla Blaise</v>
      </c>
      <c r="M101" s="15">
        <v>3.8</v>
      </c>
      <c r="N101" s="16" t="s">
        <v>398</v>
      </c>
      <c r="O101" s="8" t="str">
        <f t="shared" si="1"/>
        <v>2745 W Roosevelt Rd </v>
      </c>
      <c r="P101" s="12">
        <v>28.0</v>
      </c>
      <c r="Q101" s="13" t="s">
        <v>399</v>
      </c>
    </row>
    <row r="102">
      <c r="A102" s="7">
        <v>609852.0</v>
      </c>
      <c r="B102" s="13" t="s">
        <v>400</v>
      </c>
      <c r="C102" s="17" t="s">
        <v>401</v>
      </c>
      <c r="D102" s="10">
        <v>0.06</v>
      </c>
      <c r="E102" s="11" t="s">
        <v>80</v>
      </c>
      <c r="F102" s="11" t="s">
        <v>270</v>
      </c>
      <c r="G102" s="15" t="s">
        <v>2035</v>
      </c>
      <c r="H102" s="12">
        <v>45.0</v>
      </c>
      <c r="I102" s="13" t="s">
        <v>20</v>
      </c>
      <c r="J102" s="14" t="s">
        <v>87</v>
      </c>
      <c r="K102" s="14">
        <v>2.0</v>
      </c>
      <c r="L102" s="14" t="str">
        <f t="array" ref="L102">INDEX('School Rep'!$A$2:$A$21, MATCH(J102, 'School Rep'!$B$2:$B$21, 0))</f>
        <v>Debby Pope</v>
      </c>
      <c r="M102" s="12">
        <v>2.3</v>
      </c>
      <c r="N102" s="16" t="s">
        <v>402</v>
      </c>
      <c r="O102" s="8" t="str">
        <f t="shared" si="1"/>
        <v>2135 W Foster Ave </v>
      </c>
      <c r="P102" s="12">
        <v>40.0</v>
      </c>
      <c r="Q102" s="13" t="s">
        <v>89</v>
      </c>
    </row>
    <row r="103">
      <c r="A103" s="7">
        <v>609853.0</v>
      </c>
      <c r="B103" s="12" t="s">
        <v>403</v>
      </c>
      <c r="C103" s="18" t="s">
        <v>404</v>
      </c>
      <c r="D103" s="19">
        <v>0.066</v>
      </c>
      <c r="E103" s="18" t="s">
        <v>80</v>
      </c>
      <c r="F103" s="18" t="s">
        <v>102</v>
      </c>
      <c r="G103" s="15" t="s">
        <v>2025</v>
      </c>
      <c r="H103" s="12">
        <v>55.0</v>
      </c>
      <c r="I103" s="13" t="s">
        <v>20</v>
      </c>
      <c r="J103" s="14" t="s">
        <v>232</v>
      </c>
      <c r="K103" s="14">
        <v>3.0</v>
      </c>
      <c r="L103" s="14" t="str">
        <f t="array" ref="L103">INDEX('School Rep'!$A$2:$A$21, MATCH(J103, 'School Rep'!$B$2:$B$21, 0))</f>
        <v>Carlos Rivas</v>
      </c>
      <c r="M103" s="12">
        <v>2.2</v>
      </c>
      <c r="N103" s="16" t="s">
        <v>405</v>
      </c>
      <c r="O103" s="8" t="str">
        <f t="shared" si="1"/>
        <v>2021 N Point St </v>
      </c>
      <c r="P103" s="12">
        <v>1.0</v>
      </c>
      <c r="Q103" s="13" t="s">
        <v>275</v>
      </c>
    </row>
    <row r="104">
      <c r="A104" s="7">
        <v>610148.0</v>
      </c>
      <c r="B104" s="8" t="s">
        <v>406</v>
      </c>
      <c r="C104" s="17" t="s">
        <v>407</v>
      </c>
      <c r="D104" s="10">
        <v>0.05</v>
      </c>
      <c r="E104" s="11" t="s">
        <v>80</v>
      </c>
      <c r="F104" s="11" t="s">
        <v>126</v>
      </c>
      <c r="G104" s="15" t="e">
        <v>#N/A</v>
      </c>
      <c r="H104" s="12">
        <v>73.0</v>
      </c>
      <c r="I104" s="13" t="s">
        <v>52</v>
      </c>
      <c r="J104" s="14" t="s">
        <v>26</v>
      </c>
      <c r="K104" s="14">
        <v>8.0</v>
      </c>
      <c r="L104" s="14" t="str">
        <f t="array" ref="L104">INDEX('School Rep'!$A$2:$A$21, MATCH(J104, 'School Rep'!$B$2:$B$21, 0))</f>
        <v>Cydney Wallace</v>
      </c>
      <c r="M104" s="15">
        <v>3.7</v>
      </c>
      <c r="N104" s="16" t="s">
        <v>408</v>
      </c>
      <c r="O104" s="8" t="str">
        <f t="shared" si="1"/>
        <v>4747 S Marshfield Ave </v>
      </c>
      <c r="P104" s="12">
        <v>20.0</v>
      </c>
      <c r="Q104" s="13" t="s">
        <v>368</v>
      </c>
    </row>
    <row r="105">
      <c r="A105" s="7">
        <v>400022.0</v>
      </c>
      <c r="B105" s="12" t="s">
        <v>409</v>
      </c>
      <c r="C105" s="17" t="s">
        <v>410</v>
      </c>
      <c r="D105" s="10">
        <v>0.031</v>
      </c>
      <c r="E105" s="11" t="s">
        <v>411</v>
      </c>
      <c r="F105" s="11" t="s">
        <v>411</v>
      </c>
      <c r="G105" s="15" t="e">
        <v>#N/A</v>
      </c>
      <c r="H105" s="12">
        <v>21.0</v>
      </c>
      <c r="I105" s="13" t="s">
        <v>41</v>
      </c>
      <c r="J105" s="14" t="s">
        <v>232</v>
      </c>
      <c r="K105" s="14">
        <v>3.0</v>
      </c>
      <c r="L105" s="14" t="str">
        <f t="array" ref="L105">INDEX('School Rep'!$A$2:$A$21, MATCH(J105, 'School Rep'!$B$2:$B$21, 0))</f>
        <v>Carlos Rivas</v>
      </c>
      <c r="M105" s="12">
        <v>2.0</v>
      </c>
      <c r="N105" s="16" t="s">
        <v>412</v>
      </c>
      <c r="O105" s="8" t="str">
        <f t="shared" si="1"/>
        <v>2714 W Augusta Blvd </v>
      </c>
      <c r="P105" s="12">
        <v>26.0</v>
      </c>
      <c r="Q105" s="13" t="s">
        <v>378</v>
      </c>
    </row>
    <row r="106">
      <c r="A106" s="7">
        <v>610248.0</v>
      </c>
      <c r="B106" s="13" t="s">
        <v>413</v>
      </c>
      <c r="C106" s="17" t="s">
        <v>414</v>
      </c>
      <c r="D106" s="10">
        <v>0.02</v>
      </c>
      <c r="E106" s="11" t="s">
        <v>80</v>
      </c>
      <c r="F106" s="11" t="s">
        <v>97</v>
      </c>
      <c r="G106" s="15" t="s">
        <v>2024</v>
      </c>
      <c r="H106" s="12">
        <v>63.0</v>
      </c>
      <c r="I106" s="13" t="s">
        <v>52</v>
      </c>
      <c r="J106" s="14" t="s">
        <v>222</v>
      </c>
      <c r="K106" s="14">
        <v>1.0</v>
      </c>
      <c r="L106" s="14" t="str">
        <f t="array" ref="L106">INDEX('School Rep'!$A$2:$A$21, MATCH(J106, 'School Rep'!$B$2:$B$21, 0))</f>
        <v>Jennifer Custer</v>
      </c>
      <c r="M106" s="12">
        <v>2.7</v>
      </c>
      <c r="N106" s="16" t="s">
        <v>415</v>
      </c>
      <c r="O106" s="8" t="str">
        <f t="shared" si="1"/>
        <v>3400 N Austin Ave </v>
      </c>
      <c r="P106" s="12">
        <v>30.0</v>
      </c>
      <c r="Q106" s="13" t="s">
        <v>346</v>
      </c>
    </row>
    <row r="107">
      <c r="A107" s="7">
        <v>610340.0</v>
      </c>
      <c r="B107" s="13" t="s">
        <v>416</v>
      </c>
      <c r="C107" s="9" t="s">
        <v>417</v>
      </c>
      <c r="D107" s="10">
        <v>0.031</v>
      </c>
      <c r="E107" s="11" t="s">
        <v>80</v>
      </c>
      <c r="F107" s="11" t="s">
        <v>116</v>
      </c>
      <c r="G107" s="15" t="s">
        <v>2027</v>
      </c>
      <c r="H107" s="12">
        <v>63.0</v>
      </c>
      <c r="I107" s="13" t="s">
        <v>52</v>
      </c>
      <c r="J107" s="14" t="s">
        <v>222</v>
      </c>
      <c r="K107" s="14">
        <v>1.0</v>
      </c>
      <c r="L107" s="14" t="str">
        <f t="array" ref="L107">INDEX('School Rep'!$A$2:$A$21, MATCH(J107, 'School Rep'!$B$2:$B$21, 0))</f>
        <v>Jennifer Custer</v>
      </c>
      <c r="M107" s="12">
        <v>2.6</v>
      </c>
      <c r="N107" s="16" t="s">
        <v>415</v>
      </c>
      <c r="O107" s="8" t="str">
        <f t="shared" si="1"/>
        <v>3400 N Austin Ave </v>
      </c>
      <c r="P107" s="12">
        <v>30.0</v>
      </c>
      <c r="Q107" s="13" t="s">
        <v>346</v>
      </c>
    </row>
    <row r="108">
      <c r="A108" s="7">
        <v>609753.0</v>
      </c>
      <c r="B108" s="8" t="s">
        <v>418</v>
      </c>
      <c r="C108" s="9" t="s">
        <v>419</v>
      </c>
      <c r="D108" s="10">
        <v>0.052</v>
      </c>
      <c r="E108" s="11" t="s">
        <v>80</v>
      </c>
      <c r="F108" s="11" t="s">
        <v>126</v>
      </c>
      <c r="G108" s="15" t="e">
        <v>#N/A</v>
      </c>
      <c r="H108" s="12">
        <v>68.0</v>
      </c>
      <c r="I108" s="13" t="s">
        <v>52</v>
      </c>
      <c r="J108" s="14" t="s">
        <v>178</v>
      </c>
      <c r="K108" s="14">
        <v>9.0</v>
      </c>
      <c r="L108" s="14" t="str">
        <f t="array" ref="L108">INDEX('School Rep'!$A$2:$A$21, MATCH(J108, 'School Rep'!$B$2:$B$21, 0))</f>
        <v>Therese Boyle</v>
      </c>
      <c r="M108" s="15">
        <v>2.4</v>
      </c>
      <c r="N108" s="16" t="s">
        <v>420</v>
      </c>
      <c r="O108" s="8" t="str">
        <f t="shared" si="1"/>
        <v>3857 W 111th St </v>
      </c>
      <c r="P108" s="12">
        <v>19.0</v>
      </c>
      <c r="Q108" s="13" t="s">
        <v>180</v>
      </c>
    </row>
    <row r="109">
      <c r="A109" s="7">
        <v>400161.0</v>
      </c>
      <c r="B109" s="8" t="s">
        <v>421</v>
      </c>
      <c r="C109" s="9" t="s">
        <v>422</v>
      </c>
      <c r="D109" s="10">
        <v>0.263</v>
      </c>
      <c r="E109" s="11" t="s">
        <v>19</v>
      </c>
      <c r="F109" s="11" t="s">
        <v>19</v>
      </c>
      <c r="G109" s="15" t="e">
        <v>#N/A</v>
      </c>
      <c r="H109" s="12">
        <v>54.0</v>
      </c>
      <c r="I109" s="13" t="s">
        <v>20</v>
      </c>
      <c r="J109" s="14" t="s">
        <v>178</v>
      </c>
      <c r="K109" s="14">
        <v>9.0</v>
      </c>
      <c r="L109" s="14" t="str">
        <f t="array" ref="L109">INDEX('School Rep'!$A$2:$A$21, MATCH(J109, 'School Rep'!$B$2:$B$21, 0))</f>
        <v>Therese Boyle</v>
      </c>
      <c r="M109" s="15">
        <v>3.7</v>
      </c>
      <c r="N109" s="16" t="s">
        <v>423</v>
      </c>
      <c r="O109" s="8" t="str">
        <f t="shared" si="1"/>
        <v>11816 S Indiana </v>
      </c>
      <c r="P109" s="12">
        <v>9.0</v>
      </c>
      <c r="Q109" s="13" t="s">
        <v>237</v>
      </c>
    </row>
    <row r="110">
      <c r="A110" s="7">
        <v>400147.0</v>
      </c>
      <c r="B110" s="8" t="s">
        <v>424</v>
      </c>
      <c r="C110" s="18" t="s">
        <v>425</v>
      </c>
      <c r="D110" s="19">
        <v>0.611</v>
      </c>
      <c r="E110" s="18" t="s">
        <v>411</v>
      </c>
      <c r="F110" s="18" t="s">
        <v>426</v>
      </c>
      <c r="G110" s="15" t="s">
        <v>2038</v>
      </c>
      <c r="H110" s="12">
        <v>68.0</v>
      </c>
      <c r="I110" s="13" t="s">
        <v>52</v>
      </c>
      <c r="J110" s="14" t="s">
        <v>178</v>
      </c>
      <c r="K110" s="14">
        <v>9.0</v>
      </c>
      <c r="L110" s="14" t="str">
        <f t="array" ref="L110">INDEX('School Rep'!$A$2:$A$21, MATCH(J110, 'School Rep'!$B$2:$B$21, 0))</f>
        <v>Therese Boyle</v>
      </c>
      <c r="M110" s="15" t="s">
        <v>384</v>
      </c>
      <c r="N110" s="16" t="s">
        <v>427</v>
      </c>
      <c r="O110" s="8" t="str">
        <f t="shared" si="1"/>
        <v>1257 W 111th St </v>
      </c>
      <c r="P110" s="12">
        <v>21.0</v>
      </c>
      <c r="Q110" s="13" t="s">
        <v>428</v>
      </c>
    </row>
    <row r="111">
      <c r="A111" s="7">
        <v>400035.0</v>
      </c>
      <c r="B111" s="13" t="s">
        <v>429</v>
      </c>
      <c r="C111" s="18" t="s">
        <v>430</v>
      </c>
      <c r="D111" s="19">
        <v>0.103</v>
      </c>
      <c r="E111" s="18" t="s">
        <v>19</v>
      </c>
      <c r="F111" s="18" t="s">
        <v>19</v>
      </c>
      <c r="G111" s="15" t="e">
        <v>#N/A</v>
      </c>
      <c r="H111" s="12">
        <v>56.0</v>
      </c>
      <c r="I111" s="13" t="s">
        <v>20</v>
      </c>
      <c r="J111" s="14" t="s">
        <v>36</v>
      </c>
      <c r="K111" s="14">
        <v>2.0</v>
      </c>
      <c r="L111" s="14" t="str">
        <f t="array" ref="L111">INDEX('School Rep'!$A$2:$A$21, MATCH(J111, 'School Rep'!$B$2:$B$21, 0))</f>
        <v>Ebony DeBerry</v>
      </c>
      <c r="M111" s="12">
        <v>2.7</v>
      </c>
      <c r="N111" s="16" t="s">
        <v>431</v>
      </c>
      <c r="O111" s="8" t="str">
        <f t="shared" si="1"/>
        <v>7212 N Clark St </v>
      </c>
      <c r="P111" s="12">
        <v>49.0</v>
      </c>
      <c r="Q111" s="13" t="s">
        <v>38</v>
      </c>
    </row>
    <row r="112">
      <c r="A112" s="7">
        <v>609754.0</v>
      </c>
      <c r="B112" s="8" t="s">
        <v>432</v>
      </c>
      <c r="C112" s="9" t="s">
        <v>433</v>
      </c>
      <c r="D112" s="10">
        <v>0.098</v>
      </c>
      <c r="E112" s="11" t="s">
        <v>80</v>
      </c>
      <c r="F112" s="11" t="s">
        <v>263</v>
      </c>
      <c r="G112" s="15" t="s">
        <v>2034</v>
      </c>
      <c r="H112" s="12">
        <v>5.0</v>
      </c>
      <c r="I112" s="13" t="s">
        <v>30</v>
      </c>
      <c r="J112" s="14" t="s">
        <v>204</v>
      </c>
      <c r="K112" s="14">
        <v>6.0</v>
      </c>
      <c r="L112" s="14" t="str">
        <f t="array" ref="L112">INDEX('School Rep'!$A$2:$A$21, MATCH(J112, 'School Rep'!$B$2:$B$21, 0))</f>
        <v>Jessica Biggs</v>
      </c>
      <c r="M112" s="15">
        <v>3.5</v>
      </c>
      <c r="N112" s="16" t="s">
        <v>434</v>
      </c>
      <c r="O112" s="8" t="str">
        <f t="shared" si="1"/>
        <v>3519 S Giles Ave </v>
      </c>
      <c r="P112" s="12">
        <v>3.0</v>
      </c>
      <c r="Q112" s="13" t="s">
        <v>206</v>
      </c>
    </row>
    <row r="113">
      <c r="A113" s="7">
        <v>400091.0</v>
      </c>
      <c r="B113" s="8" t="s">
        <v>435</v>
      </c>
      <c r="C113" s="11" t="s">
        <v>436</v>
      </c>
      <c r="D113" s="10">
        <v>0.076</v>
      </c>
      <c r="E113" s="11" t="s">
        <v>411</v>
      </c>
      <c r="F113" s="11" t="s">
        <v>411</v>
      </c>
      <c r="G113" s="15" t="e">
        <v>#N/A</v>
      </c>
      <c r="H113" s="12">
        <v>30.0</v>
      </c>
      <c r="I113" s="13" t="s">
        <v>41</v>
      </c>
      <c r="J113" s="14" t="s">
        <v>42</v>
      </c>
      <c r="K113" s="14">
        <v>7.0</v>
      </c>
      <c r="L113" s="14" t="str">
        <f t="array" ref="L113">INDEX('School Rep'!$A$2:$A$21, MATCH(J113, 'School Rep'!$B$2:$B$21, 0))</f>
        <v>Emma Lozano</v>
      </c>
      <c r="M113" s="15">
        <v>3.5</v>
      </c>
      <c r="N113" s="16" t="s">
        <v>437</v>
      </c>
      <c r="O113" s="8" t="str">
        <f t="shared" si="1"/>
        <v>1301 W 14th St </v>
      </c>
      <c r="P113" s="12">
        <v>28.0</v>
      </c>
      <c r="Q113" s="13" t="s">
        <v>399</v>
      </c>
    </row>
    <row r="114">
      <c r="A114" s="7">
        <v>609674.0</v>
      </c>
      <c r="B114" s="13" t="s">
        <v>438</v>
      </c>
      <c r="C114" s="9" t="s">
        <v>439</v>
      </c>
      <c r="D114" s="10">
        <v>0.279</v>
      </c>
      <c r="E114" s="11" t="s">
        <v>80</v>
      </c>
      <c r="F114" s="11" t="s">
        <v>263</v>
      </c>
      <c r="G114" s="15" t="s">
        <v>2034</v>
      </c>
      <c r="H114" s="12">
        <v>54.0</v>
      </c>
      <c r="I114" s="13" t="s">
        <v>20</v>
      </c>
      <c r="J114" s="14" t="s">
        <v>82</v>
      </c>
      <c r="K114" s="14">
        <v>10.0</v>
      </c>
      <c r="L114" s="14" t="str">
        <f t="array" ref="L114">INDEX('School Rep'!$A$2:$A$21, MATCH(J114, 'School Rep'!$B$2:$B$21, 0))</f>
        <v>Olga Bautista</v>
      </c>
      <c r="M114" s="12">
        <v>3.3</v>
      </c>
      <c r="N114" s="16" t="s">
        <v>440</v>
      </c>
      <c r="O114" s="8" t="str">
        <f t="shared" si="1"/>
        <v>2100 E 87th St </v>
      </c>
      <c r="P114" s="12">
        <v>8.0</v>
      </c>
      <c r="Q114" s="13" t="s">
        <v>135</v>
      </c>
    </row>
    <row r="115">
      <c r="A115" s="7">
        <v>610060.0</v>
      </c>
      <c r="B115" s="8" t="s">
        <v>441</v>
      </c>
      <c r="C115" s="17" t="s">
        <v>442</v>
      </c>
      <c r="D115" s="10">
        <v>0.035</v>
      </c>
      <c r="E115" s="11" t="s">
        <v>80</v>
      </c>
      <c r="F115" s="11" t="s">
        <v>301</v>
      </c>
      <c r="G115" s="15" t="s">
        <v>2037</v>
      </c>
      <c r="H115" s="12">
        <v>31.0</v>
      </c>
      <c r="I115" s="13" t="s">
        <v>41</v>
      </c>
      <c r="J115" s="14" t="s">
        <v>42</v>
      </c>
      <c r="K115" s="14">
        <v>7.0</v>
      </c>
      <c r="L115" s="14" t="str">
        <f t="array" ref="L115">INDEX('School Rep'!$A$2:$A$21, MATCH(J115, 'School Rep'!$B$2:$B$21, 0))</f>
        <v>Emma Lozano</v>
      </c>
      <c r="M115" s="15">
        <v>2.1</v>
      </c>
      <c r="N115" s="16" t="s">
        <v>443</v>
      </c>
      <c r="O115" s="8" t="str">
        <f t="shared" si="1"/>
        <v>1340 W Harrison St </v>
      </c>
      <c r="P115" s="12">
        <v>34.0</v>
      </c>
      <c r="Q115" s="13" t="s">
        <v>444</v>
      </c>
    </row>
    <row r="116">
      <c r="A116" s="7">
        <v>609854.0</v>
      </c>
      <c r="B116" s="12" t="s">
        <v>445</v>
      </c>
      <c r="C116" s="18" t="s">
        <v>446</v>
      </c>
      <c r="D116" s="19">
        <v>0.249</v>
      </c>
      <c r="E116" s="18" t="s">
        <v>80</v>
      </c>
      <c r="F116" s="18" t="s">
        <v>216</v>
      </c>
      <c r="G116" s="15" t="s">
        <v>2032</v>
      </c>
      <c r="H116" s="12">
        <v>53.0</v>
      </c>
      <c r="I116" s="13" t="s">
        <v>20</v>
      </c>
      <c r="J116" s="14" t="s">
        <v>31</v>
      </c>
      <c r="K116" s="14">
        <v>5.0</v>
      </c>
      <c r="L116" s="14" t="str">
        <f t="array" ref="L116">INDEX('School Rep'!$A$2:$A$21, MATCH(J116, 'School Rep'!$B$2:$B$21, 0))</f>
        <v>Aaron "Jitu" Brown</v>
      </c>
      <c r="M116" s="12">
        <v>2.8</v>
      </c>
      <c r="N116" s="16" t="s">
        <v>447</v>
      </c>
      <c r="O116" s="8" t="str">
        <f t="shared" si="1"/>
        <v>2450 W Rice St </v>
      </c>
      <c r="P116" s="12">
        <v>36.0</v>
      </c>
      <c r="Q116" s="13" t="s">
        <v>67</v>
      </c>
    </row>
    <row r="117">
      <c r="A117" s="7">
        <v>609855.0</v>
      </c>
      <c r="B117" s="8" t="s">
        <v>448</v>
      </c>
      <c r="C117" s="18" t="s">
        <v>449</v>
      </c>
      <c r="D117" s="19">
        <v>0.088</v>
      </c>
      <c r="E117" s="18" t="s">
        <v>80</v>
      </c>
      <c r="F117" s="18" t="s">
        <v>285</v>
      </c>
      <c r="G117" s="15" t="s">
        <v>2036</v>
      </c>
      <c r="H117" s="12">
        <v>62.0</v>
      </c>
      <c r="I117" s="13" t="s">
        <v>52</v>
      </c>
      <c r="J117" s="14" t="s">
        <v>26</v>
      </c>
      <c r="K117" s="14">
        <v>8.0</v>
      </c>
      <c r="L117" s="14" t="str">
        <f t="array" ref="L117">INDEX('School Rep'!$A$2:$A$21, MATCH(J117, 'School Rep'!$B$2:$B$21, 0))</f>
        <v>Cydney Wallace</v>
      </c>
      <c r="M117" s="15">
        <v>3.6</v>
      </c>
      <c r="N117" s="16" t="s">
        <v>450</v>
      </c>
      <c r="O117" s="8" t="str">
        <f t="shared" si="1"/>
        <v>5042 S Artesian Ave </v>
      </c>
      <c r="P117" s="12">
        <v>15.0</v>
      </c>
      <c r="Q117" s="13" t="s">
        <v>364</v>
      </c>
    </row>
    <row r="118">
      <c r="A118" s="7">
        <v>400159.0</v>
      </c>
      <c r="B118" s="12" t="s">
        <v>451</v>
      </c>
      <c r="C118" s="17" t="s">
        <v>452</v>
      </c>
      <c r="D118" s="10">
        <v>0.0</v>
      </c>
      <c r="E118" s="11" t="s">
        <v>19</v>
      </c>
      <c r="F118" s="11" t="s">
        <v>19</v>
      </c>
      <c r="G118" s="15" t="e">
        <v>#N/A</v>
      </c>
      <c r="H118" s="12">
        <v>16.0</v>
      </c>
      <c r="I118" s="13" t="s">
        <v>30</v>
      </c>
      <c r="J118" s="14" t="s">
        <v>232</v>
      </c>
      <c r="K118" s="14">
        <v>3.0</v>
      </c>
      <c r="L118" s="14" t="str">
        <f t="array" ref="L118">INDEX('School Rep'!$A$2:$A$21, MATCH(J118, 'School Rep'!$B$2:$B$21, 0))</f>
        <v>Carlos Rivas</v>
      </c>
      <c r="M118" s="12">
        <v>3.1</v>
      </c>
      <c r="N118" s="16" t="s">
        <v>453</v>
      </c>
      <c r="O118" s="8" t="str">
        <f t="shared" si="1"/>
        <v>5235 W Belden Ave </v>
      </c>
      <c r="P118" s="12">
        <v>36.0</v>
      </c>
      <c r="Q118" s="13" t="s">
        <v>67</v>
      </c>
    </row>
    <row r="119">
      <c r="A119" s="7">
        <v>400023.0</v>
      </c>
      <c r="B119" s="12" t="s">
        <v>454</v>
      </c>
      <c r="C119" s="12" t="s">
        <v>454</v>
      </c>
      <c r="D119" s="24">
        <v>0.116</v>
      </c>
      <c r="E119" s="12" t="s">
        <v>19</v>
      </c>
      <c r="F119" s="12" t="s">
        <v>19</v>
      </c>
      <c r="G119" s="15" t="e">
        <v>#N/A</v>
      </c>
      <c r="H119" s="12">
        <v>49.0</v>
      </c>
      <c r="I119" s="13" t="s">
        <v>20</v>
      </c>
      <c r="J119" s="14" t="s">
        <v>82</v>
      </c>
      <c r="K119" s="14">
        <v>10.0</v>
      </c>
      <c r="L119" s="14" t="str">
        <f t="array" ref="L119">INDEX('School Rep'!$A$2:$A$21, MATCH(J119, 'School Rep'!$B$2:$B$21, 0))</f>
        <v>Olga Bautista</v>
      </c>
      <c r="M119" s="12">
        <v>3.4</v>
      </c>
      <c r="N119" s="16" t="s">
        <v>455</v>
      </c>
      <c r="O119" s="8" t="str">
        <f t="shared" si="1"/>
        <v>1501 E 83rd Pl </v>
      </c>
      <c r="P119" s="12">
        <v>8.0</v>
      </c>
      <c r="Q119" s="13" t="s">
        <v>135</v>
      </c>
    </row>
    <row r="120">
      <c r="A120" s="7">
        <v>400024.0</v>
      </c>
      <c r="B120" s="8" t="s">
        <v>456</v>
      </c>
      <c r="C120" s="15" t="s">
        <v>456</v>
      </c>
      <c r="D120" s="24">
        <v>0.195</v>
      </c>
      <c r="E120" s="12" t="s">
        <v>19</v>
      </c>
      <c r="F120" s="12" t="s">
        <v>19</v>
      </c>
      <c r="G120" s="15" t="e">
        <v>#N/A</v>
      </c>
      <c r="H120" s="12">
        <v>52.0</v>
      </c>
      <c r="I120" s="13" t="s">
        <v>20</v>
      </c>
      <c r="J120" s="14" t="s">
        <v>26</v>
      </c>
      <c r="K120" s="14">
        <v>8.0</v>
      </c>
      <c r="L120" s="14" t="str">
        <f t="array" ref="L120">INDEX('School Rep'!$A$2:$A$21, MATCH(J120, 'School Rep'!$B$2:$B$21, 0))</f>
        <v>Cydney Wallace</v>
      </c>
      <c r="M120" s="15">
        <v>3.4</v>
      </c>
      <c r="N120" s="16" t="s">
        <v>457</v>
      </c>
      <c r="O120" s="8" t="str">
        <f t="shared" si="1"/>
        <v>1816 W Garfield Blvd </v>
      </c>
      <c r="P120" s="12">
        <v>16.0</v>
      </c>
      <c r="Q120" s="13" t="s">
        <v>193</v>
      </c>
    </row>
    <row r="121">
      <c r="A121" s="7">
        <v>400092.0</v>
      </c>
      <c r="B121" s="13" t="s">
        <v>458</v>
      </c>
      <c r="C121" s="18" t="s">
        <v>459</v>
      </c>
      <c r="D121" s="19">
        <v>0.129</v>
      </c>
      <c r="E121" s="18" t="s">
        <v>19</v>
      </c>
      <c r="F121" s="18" t="s">
        <v>19</v>
      </c>
      <c r="G121" s="15" t="e">
        <v>#N/A</v>
      </c>
      <c r="H121" s="12">
        <v>65.0</v>
      </c>
      <c r="I121" s="13" t="s">
        <v>52</v>
      </c>
      <c r="J121" s="14" t="s">
        <v>82</v>
      </c>
      <c r="K121" s="14">
        <v>10.0</v>
      </c>
      <c r="L121" s="14" t="str">
        <f t="array" ref="L121">INDEX('School Rep'!$A$2:$A$21, MATCH(J121, 'School Rep'!$B$2:$B$21, 0))</f>
        <v>Olga Bautista</v>
      </c>
      <c r="M121" s="12">
        <v>3.3</v>
      </c>
      <c r="N121" s="16" t="s">
        <v>460</v>
      </c>
      <c r="O121" s="8" t="str">
        <f t="shared" si="1"/>
        <v>13300 S Langley Ave </v>
      </c>
      <c r="P121" s="12">
        <v>10.0</v>
      </c>
      <c r="Q121" s="13" t="s">
        <v>84</v>
      </c>
    </row>
    <row r="122">
      <c r="A122" s="7">
        <v>400025.0</v>
      </c>
      <c r="B122" s="8" t="s">
        <v>461</v>
      </c>
      <c r="C122" s="15" t="s">
        <v>461</v>
      </c>
      <c r="D122" s="24">
        <v>0.065</v>
      </c>
      <c r="E122" s="12" t="s">
        <v>19</v>
      </c>
      <c r="F122" s="12" t="s">
        <v>19</v>
      </c>
      <c r="G122" s="15" t="e">
        <v>#N/A</v>
      </c>
      <c r="H122" s="12">
        <v>61.0</v>
      </c>
      <c r="I122" s="13" t="s">
        <v>52</v>
      </c>
      <c r="J122" s="14" t="s">
        <v>462</v>
      </c>
      <c r="K122" s="14">
        <v>6.0</v>
      </c>
      <c r="L122" s="14" t="str">
        <f t="array" ref="L122">INDEX('School Rep'!$A$2:$A$21, MATCH(J122, 'School Rep'!$B$2:$B$21, 0))</f>
        <v>Anusha Thotakura</v>
      </c>
      <c r="M122" s="15">
        <v>2.9</v>
      </c>
      <c r="N122" s="16" t="s">
        <v>463</v>
      </c>
      <c r="O122" s="8" t="str">
        <f t="shared" si="1"/>
        <v>2235 N Hamilton Ave </v>
      </c>
      <c r="P122" s="12">
        <v>32.0</v>
      </c>
      <c r="Q122" s="13" t="s">
        <v>110</v>
      </c>
    </row>
    <row r="123">
      <c r="A123" s="7">
        <v>400032.0</v>
      </c>
      <c r="B123" s="8" t="s">
        <v>464</v>
      </c>
      <c r="C123" s="18" t="s">
        <v>465</v>
      </c>
      <c r="D123" s="19">
        <v>0.226</v>
      </c>
      <c r="E123" s="18" t="s">
        <v>19</v>
      </c>
      <c r="F123" s="18" t="s">
        <v>19</v>
      </c>
      <c r="G123" s="15" t="e">
        <v>#N/A</v>
      </c>
      <c r="H123" s="12">
        <v>48.0</v>
      </c>
      <c r="I123" s="13" t="s">
        <v>20</v>
      </c>
      <c r="J123" s="14" t="s">
        <v>187</v>
      </c>
      <c r="K123" s="14">
        <v>9.0</v>
      </c>
      <c r="L123" s="14" t="str">
        <f t="array" ref="L123">INDEX('School Rep'!$A$2:$A$21, MATCH(J123, 'School Rep'!$B$2:$B$21, 0))</f>
        <v>Frank Niles Thomas</v>
      </c>
      <c r="M123" s="15">
        <v>3.7</v>
      </c>
      <c r="N123" s="16" t="s">
        <v>466</v>
      </c>
      <c r="O123" s="8" t="str">
        <f t="shared" si="1"/>
        <v>1817 W 80th St </v>
      </c>
      <c r="P123" s="12">
        <v>17.0</v>
      </c>
      <c r="Q123" s="13" t="s">
        <v>189</v>
      </c>
    </row>
    <row r="124">
      <c r="A124" s="7">
        <v>400027.0</v>
      </c>
      <c r="B124" s="12" t="s">
        <v>467</v>
      </c>
      <c r="C124" s="12" t="s">
        <v>467</v>
      </c>
      <c r="D124" s="24">
        <v>0.053</v>
      </c>
      <c r="E124" s="12" t="s">
        <v>19</v>
      </c>
      <c r="F124" s="12" t="s">
        <v>19</v>
      </c>
      <c r="G124" s="15" t="e">
        <v>#N/A</v>
      </c>
      <c r="H124" s="12">
        <v>73.0</v>
      </c>
      <c r="I124" s="13" t="s">
        <v>52</v>
      </c>
      <c r="J124" s="14" t="s">
        <v>47</v>
      </c>
      <c r="K124" s="14">
        <v>3.0</v>
      </c>
      <c r="L124" s="14" t="str">
        <f t="array" ref="L124">INDEX('School Rep'!$A$2:$A$21, MATCH(J124, 'School Rep'!$B$2:$B$21, 0))</f>
        <v>Norma Rios-Sierra</v>
      </c>
      <c r="M124" s="12">
        <v>2.7</v>
      </c>
      <c r="N124" s="16" t="s">
        <v>468</v>
      </c>
      <c r="O124" s="8" t="str">
        <f t="shared" si="1"/>
        <v>3820 N Spaulding Ave </v>
      </c>
      <c r="P124" s="12">
        <v>33.0</v>
      </c>
      <c r="Q124" s="13" t="s">
        <v>99</v>
      </c>
    </row>
    <row r="125">
      <c r="A125" s="7">
        <v>400033.0</v>
      </c>
      <c r="B125" s="8" t="s">
        <v>469</v>
      </c>
      <c r="C125" s="15" t="s">
        <v>469</v>
      </c>
      <c r="D125" s="24">
        <v>0.161</v>
      </c>
      <c r="E125" s="12" t="s">
        <v>19</v>
      </c>
      <c r="F125" s="12" t="s">
        <v>19</v>
      </c>
      <c r="G125" s="15" t="e">
        <v>#N/A</v>
      </c>
      <c r="H125" s="12">
        <v>45.0</v>
      </c>
      <c r="I125" s="13" t="s">
        <v>20</v>
      </c>
      <c r="J125" s="14" t="s">
        <v>178</v>
      </c>
      <c r="K125" s="14">
        <v>9.0</v>
      </c>
      <c r="L125" s="14" t="str">
        <f t="array" ref="L125">INDEX('School Rep'!$A$2:$A$21, MATCH(J125, 'School Rep'!$B$2:$B$21, 0))</f>
        <v>Therese Boyle</v>
      </c>
      <c r="M125" s="15">
        <v>3.5</v>
      </c>
      <c r="N125" s="16" t="s">
        <v>470</v>
      </c>
      <c r="O125" s="8" t="str">
        <f t="shared" si="1"/>
        <v>1309 W 95th St </v>
      </c>
      <c r="P125" s="12">
        <v>21.0</v>
      </c>
      <c r="Q125" s="13" t="s">
        <v>428</v>
      </c>
    </row>
    <row r="126">
      <c r="A126" s="7">
        <v>400026.0</v>
      </c>
      <c r="B126" s="8" t="s">
        <v>471</v>
      </c>
      <c r="C126" s="15" t="s">
        <v>471</v>
      </c>
      <c r="D126" s="24">
        <v>0.111</v>
      </c>
      <c r="E126" s="12" t="s">
        <v>19</v>
      </c>
      <c r="F126" s="12" t="s">
        <v>19</v>
      </c>
      <c r="G126" s="15" t="e">
        <v>#N/A</v>
      </c>
      <c r="H126" s="12">
        <v>64.0</v>
      </c>
      <c r="I126" s="13" t="s">
        <v>52</v>
      </c>
      <c r="J126" s="14" t="s">
        <v>178</v>
      </c>
      <c r="K126" s="14">
        <v>9.0</v>
      </c>
      <c r="L126" s="14" t="str">
        <f t="array" ref="L126">INDEX('School Rep'!$A$2:$A$21, MATCH(J126, 'School Rep'!$B$2:$B$21, 0))</f>
        <v>Therese Boyle</v>
      </c>
      <c r="M126" s="15">
        <v>2.8</v>
      </c>
      <c r="N126" s="16" t="s">
        <v>472</v>
      </c>
      <c r="O126" s="8" t="str">
        <f t="shared" si="1"/>
        <v>9535 S Loomis St </v>
      </c>
      <c r="P126" s="12">
        <v>21.0</v>
      </c>
      <c r="Q126" s="13" t="s">
        <v>428</v>
      </c>
    </row>
    <row r="127">
      <c r="A127" s="7">
        <v>400034.0</v>
      </c>
      <c r="B127" s="13" t="s">
        <v>473</v>
      </c>
      <c r="C127" s="18" t="s">
        <v>474</v>
      </c>
      <c r="D127" s="19">
        <v>0.061</v>
      </c>
      <c r="E127" s="18" t="s">
        <v>19</v>
      </c>
      <c r="F127" s="18" t="s">
        <v>19</v>
      </c>
      <c r="G127" s="15" t="e">
        <v>#N/A</v>
      </c>
      <c r="H127" s="12">
        <v>81.0</v>
      </c>
      <c r="I127" s="13" t="s">
        <v>248</v>
      </c>
      <c r="J127" s="14" t="s">
        <v>199</v>
      </c>
      <c r="K127" s="14">
        <v>1.0</v>
      </c>
      <c r="L127" s="14" t="str">
        <f t="array" ref="L127">INDEX('School Rep'!$A$2:$A$21, MATCH(J127, 'School Rep'!$B$2:$B$21, 0))</f>
        <v>Ed Bannon</v>
      </c>
      <c r="M127" s="12">
        <v>2.3</v>
      </c>
      <c r="N127" s="16" t="s">
        <v>475</v>
      </c>
      <c r="O127" s="8" t="str">
        <f t="shared" si="1"/>
        <v>3900 W Peterson Ave </v>
      </c>
      <c r="P127" s="12">
        <v>39.0</v>
      </c>
      <c r="Q127" s="13" t="s">
        <v>224</v>
      </c>
    </row>
    <row r="128">
      <c r="A128" s="7">
        <v>400028.0</v>
      </c>
      <c r="B128" s="8" t="s">
        <v>476</v>
      </c>
      <c r="C128" s="15" t="s">
        <v>476</v>
      </c>
      <c r="D128" s="24">
        <v>0.081</v>
      </c>
      <c r="E128" s="12" t="s">
        <v>19</v>
      </c>
      <c r="F128" s="12" t="s">
        <v>19</v>
      </c>
      <c r="G128" s="15" t="e">
        <v>#N/A</v>
      </c>
      <c r="H128" s="12">
        <v>50.0</v>
      </c>
      <c r="I128" s="13" t="s">
        <v>20</v>
      </c>
      <c r="J128" s="14" t="s">
        <v>178</v>
      </c>
      <c r="K128" s="14">
        <v>9.0</v>
      </c>
      <c r="L128" s="14" t="str">
        <f t="array" ref="L128">INDEX('School Rep'!$A$2:$A$21, MATCH(J128, 'School Rep'!$B$2:$B$21, 0))</f>
        <v>Therese Boyle</v>
      </c>
      <c r="M128" s="15">
        <v>3.6</v>
      </c>
      <c r="N128" s="16" t="s">
        <v>477</v>
      </c>
      <c r="O128" s="8" t="str">
        <f t="shared" si="1"/>
        <v>11530 S Prairie Ave </v>
      </c>
      <c r="P128" s="12">
        <v>9.0</v>
      </c>
      <c r="Q128" s="13" t="s">
        <v>237</v>
      </c>
    </row>
    <row r="129">
      <c r="A129" s="7">
        <v>400029.0</v>
      </c>
      <c r="B129" s="8" t="s">
        <v>478</v>
      </c>
      <c r="C129" s="15" t="s">
        <v>478</v>
      </c>
      <c r="D129" s="24">
        <v>0.15</v>
      </c>
      <c r="E129" s="12" t="s">
        <v>19</v>
      </c>
      <c r="F129" s="12" t="s">
        <v>19</v>
      </c>
      <c r="G129" s="15" t="e">
        <v>#N/A</v>
      </c>
      <c r="H129" s="12">
        <v>34.0</v>
      </c>
      <c r="I129" s="13" t="s">
        <v>41</v>
      </c>
      <c r="J129" s="14" t="s">
        <v>204</v>
      </c>
      <c r="K129" s="14">
        <v>6.0</v>
      </c>
      <c r="L129" s="14" t="str">
        <f t="array" ref="L129">INDEX('School Rep'!$A$2:$A$21, MATCH(J129, 'School Rep'!$B$2:$B$21, 0))</f>
        <v>Jessica Biggs</v>
      </c>
      <c r="M129" s="15">
        <v>3.1</v>
      </c>
      <c r="N129" s="16" t="s">
        <v>479</v>
      </c>
      <c r="O129" s="8" t="str">
        <f t="shared" si="1"/>
        <v>110 E 61st St </v>
      </c>
      <c r="P129" s="12">
        <v>20.0</v>
      </c>
      <c r="Q129" s="13" t="s">
        <v>368</v>
      </c>
    </row>
    <row r="130">
      <c r="A130" s="7">
        <v>400030.0</v>
      </c>
      <c r="B130" s="12" t="s">
        <v>480</v>
      </c>
      <c r="C130" s="12" t="s">
        <v>480</v>
      </c>
      <c r="D130" s="24">
        <v>0.018</v>
      </c>
      <c r="E130" s="12" t="s">
        <v>19</v>
      </c>
      <c r="F130" s="12" t="s">
        <v>19</v>
      </c>
      <c r="G130" s="15" t="e">
        <v>#N/A</v>
      </c>
      <c r="H130" s="12">
        <v>65.0</v>
      </c>
      <c r="I130" s="13" t="s">
        <v>52</v>
      </c>
      <c r="J130" s="14" t="s">
        <v>31</v>
      </c>
      <c r="K130" s="14">
        <v>5.0</v>
      </c>
      <c r="L130" s="14" t="str">
        <f t="array" ref="L130">INDEX('School Rep'!$A$2:$A$21, MATCH(J130, 'School Rep'!$B$2:$B$21, 0))</f>
        <v>Aaron "Jitu" Brown</v>
      </c>
      <c r="M130" s="12">
        <v>3.5</v>
      </c>
      <c r="N130" s="16" t="s">
        <v>481</v>
      </c>
      <c r="O130" s="8" t="str">
        <f t="shared" si="1"/>
        <v>2245 N Mcvicker Ave </v>
      </c>
      <c r="P130" s="12">
        <v>36.0</v>
      </c>
      <c r="Q130" s="13" t="s">
        <v>67</v>
      </c>
    </row>
    <row r="131">
      <c r="A131" s="7">
        <v>400031.0</v>
      </c>
      <c r="B131" s="8" t="s">
        <v>482</v>
      </c>
      <c r="C131" s="15" t="s">
        <v>482</v>
      </c>
      <c r="D131" s="24">
        <v>0.062</v>
      </c>
      <c r="E131" s="12" t="s">
        <v>19</v>
      </c>
      <c r="F131" s="12" t="s">
        <v>19</v>
      </c>
      <c r="G131" s="15" t="e">
        <v>#N/A</v>
      </c>
      <c r="H131" s="12">
        <v>52.0</v>
      </c>
      <c r="I131" s="13" t="s">
        <v>20</v>
      </c>
      <c r="J131" s="14" t="s">
        <v>187</v>
      </c>
      <c r="K131" s="14">
        <v>9.0</v>
      </c>
      <c r="L131" s="14" t="str">
        <f t="array" ref="L131">INDEX('School Rep'!$A$2:$A$21, MATCH(J131, 'School Rep'!$B$2:$B$21, 0))</f>
        <v>Frank Niles Thomas</v>
      </c>
      <c r="M131" s="15">
        <v>3.1</v>
      </c>
      <c r="N131" s="16" t="s">
        <v>483</v>
      </c>
      <c r="O131" s="8" t="str">
        <f t="shared" si="1"/>
        <v>8130 S California Ave </v>
      </c>
      <c r="P131" s="12">
        <v>18.0</v>
      </c>
      <c r="Q131" s="13" t="s">
        <v>141</v>
      </c>
    </row>
    <row r="132">
      <c r="A132" s="7">
        <v>610347.0</v>
      </c>
      <c r="B132" s="8" t="s">
        <v>484</v>
      </c>
      <c r="C132" s="18" t="s">
        <v>485</v>
      </c>
      <c r="D132" s="19">
        <v>0.277</v>
      </c>
      <c r="E132" s="18" t="s">
        <v>80</v>
      </c>
      <c r="F132" s="18" t="s">
        <v>138</v>
      </c>
      <c r="G132" s="15" t="s">
        <v>2029</v>
      </c>
      <c r="H132" s="12">
        <v>58.0</v>
      </c>
      <c r="I132" s="13" t="s">
        <v>20</v>
      </c>
      <c r="J132" s="14" t="s">
        <v>187</v>
      </c>
      <c r="K132" s="14">
        <v>9.0</v>
      </c>
      <c r="L132" s="14" t="str">
        <f t="array" ref="L132">INDEX('School Rep'!$A$2:$A$21, MATCH(J132, 'School Rep'!$B$2:$B$21, 0))</f>
        <v>Frank Niles Thomas</v>
      </c>
      <c r="M132" s="15">
        <v>3.5</v>
      </c>
      <c r="N132" s="16" t="s">
        <v>486</v>
      </c>
      <c r="O132" s="8" t="str">
        <f t="shared" si="1"/>
        <v>2300 W 64th St </v>
      </c>
      <c r="P132" s="12">
        <v>16.0</v>
      </c>
      <c r="Q132" s="13" t="s">
        <v>193</v>
      </c>
    </row>
    <row r="133">
      <c r="A133" s="7">
        <v>609795.0</v>
      </c>
      <c r="B133" s="12" t="s">
        <v>487</v>
      </c>
      <c r="C133" s="17" t="s">
        <v>488</v>
      </c>
      <c r="D133" s="10">
        <v>0.0</v>
      </c>
      <c r="E133" s="11" t="s">
        <v>80</v>
      </c>
      <c r="F133" s="11" t="s">
        <v>126</v>
      </c>
      <c r="G133" s="15" t="e">
        <v>#N/A</v>
      </c>
      <c r="H133" s="12">
        <v>63.0</v>
      </c>
      <c r="I133" s="13" t="s">
        <v>52</v>
      </c>
      <c r="J133" s="14" t="s">
        <v>31</v>
      </c>
      <c r="K133" s="14">
        <v>5.0</v>
      </c>
      <c r="L133" s="14" t="str">
        <f t="array" ref="L133">INDEX('School Rep'!$A$2:$A$21, MATCH(J133, 'School Rep'!$B$2:$B$21, 0))</f>
        <v>Aaron "Jitu" Brown</v>
      </c>
      <c r="M133" s="12">
        <v>3.5</v>
      </c>
      <c r="N133" s="16" t="s">
        <v>489</v>
      </c>
      <c r="O133" s="8" t="str">
        <f t="shared" si="1"/>
        <v>1045 S Monitor Ave </v>
      </c>
      <c r="P133" s="12">
        <v>29.0</v>
      </c>
      <c r="Q133" s="13" t="s">
        <v>33</v>
      </c>
    </row>
    <row r="134">
      <c r="A134" s="7">
        <v>610244.0</v>
      </c>
      <c r="B134" s="12" t="s">
        <v>490</v>
      </c>
      <c r="C134" s="18" t="s">
        <v>491</v>
      </c>
      <c r="D134" s="19">
        <v>0.123</v>
      </c>
      <c r="E134" s="18" t="s">
        <v>80</v>
      </c>
      <c r="F134" s="18" t="s">
        <v>126</v>
      </c>
      <c r="G134" s="15" t="e">
        <v>#N/A</v>
      </c>
      <c r="H134" s="12">
        <v>28.0</v>
      </c>
      <c r="I134" s="13" t="s">
        <v>41</v>
      </c>
      <c r="J134" s="14" t="s">
        <v>31</v>
      </c>
      <c r="K134" s="14">
        <v>5.0</v>
      </c>
      <c r="L134" s="14" t="str">
        <f t="array" ref="L134">INDEX('School Rep'!$A$2:$A$21, MATCH(J134, 'School Rep'!$B$2:$B$21, 0))</f>
        <v>Aaron "Jitu" Brown</v>
      </c>
      <c r="M134" s="12">
        <v>3.5</v>
      </c>
      <c r="N134" s="16" t="s">
        <v>492</v>
      </c>
      <c r="O134" s="8" t="str">
        <f t="shared" si="1"/>
        <v>5101 W Harrison St </v>
      </c>
      <c r="P134" s="12">
        <v>29.0</v>
      </c>
      <c r="Q134" s="13" t="s">
        <v>33</v>
      </c>
    </row>
    <row r="135">
      <c r="A135" s="7">
        <v>609856.0</v>
      </c>
      <c r="B135" s="13" t="s">
        <v>493</v>
      </c>
      <c r="C135" s="17" t="s">
        <v>494</v>
      </c>
      <c r="D135" s="10">
        <v>0.122</v>
      </c>
      <c r="E135" s="11" t="s">
        <v>80</v>
      </c>
      <c r="F135" s="11" t="s">
        <v>81</v>
      </c>
      <c r="G135" s="15" t="s">
        <v>2022</v>
      </c>
      <c r="H135" s="12">
        <v>39.0</v>
      </c>
      <c r="I135" s="13" t="s">
        <v>41</v>
      </c>
      <c r="J135" s="14" t="s">
        <v>82</v>
      </c>
      <c r="K135" s="14">
        <v>10.0</v>
      </c>
      <c r="L135" s="14" t="str">
        <f t="array" ref="L135">INDEX('School Rep'!$A$2:$A$21, MATCH(J135, 'School Rep'!$B$2:$B$21, 0))</f>
        <v>Olga Bautista</v>
      </c>
      <c r="M135" s="12">
        <v>2.6</v>
      </c>
      <c r="N135" s="16" t="s">
        <v>495</v>
      </c>
      <c r="O135" s="8" t="str">
        <f t="shared" si="1"/>
        <v>13231 S Burley Ave </v>
      </c>
      <c r="P135" s="12">
        <v>10.0</v>
      </c>
      <c r="Q135" s="13" t="s">
        <v>84</v>
      </c>
    </row>
    <row r="136">
      <c r="A136" s="7">
        <v>609759.0</v>
      </c>
      <c r="B136" s="12" t="s">
        <v>496</v>
      </c>
      <c r="C136" s="17" t="s">
        <v>497</v>
      </c>
      <c r="D136" s="10">
        <v>0.269</v>
      </c>
      <c r="E136" s="11" t="s">
        <v>80</v>
      </c>
      <c r="F136" s="11" t="s">
        <v>108</v>
      </c>
      <c r="G136" s="15" t="s">
        <v>2026</v>
      </c>
      <c r="H136" s="12">
        <v>12.0</v>
      </c>
      <c r="I136" s="13" t="s">
        <v>30</v>
      </c>
      <c r="J136" s="14" t="s">
        <v>31</v>
      </c>
      <c r="K136" s="14">
        <v>5.0</v>
      </c>
      <c r="L136" s="14" t="str">
        <f t="array" ref="L136">INDEX('School Rep'!$A$2:$A$21, MATCH(J136, 'School Rep'!$B$2:$B$21, 0))</f>
        <v>Aaron "Jitu" Brown</v>
      </c>
      <c r="M136" s="12">
        <v>3.0</v>
      </c>
      <c r="N136" s="16" t="s">
        <v>498</v>
      </c>
      <c r="O136" s="8" t="str">
        <f t="shared" si="1"/>
        <v>1147 N Western Ave </v>
      </c>
      <c r="P136" s="12">
        <v>1.0</v>
      </c>
      <c r="Q136" s="13" t="s">
        <v>275</v>
      </c>
    </row>
    <row r="137">
      <c r="A137" s="7">
        <v>609857.0</v>
      </c>
      <c r="B137" s="12" t="s">
        <v>499</v>
      </c>
      <c r="C137" s="18" t="s">
        <v>500</v>
      </c>
      <c r="D137" s="19">
        <v>0.074</v>
      </c>
      <c r="E137" s="18" t="s">
        <v>80</v>
      </c>
      <c r="F137" s="18" t="s">
        <v>97</v>
      </c>
      <c r="G137" s="15" t="s">
        <v>2024</v>
      </c>
      <c r="H137" s="12">
        <v>65.0</v>
      </c>
      <c r="I137" s="13" t="s">
        <v>52</v>
      </c>
      <c r="J137" s="14" t="s">
        <v>47</v>
      </c>
      <c r="K137" s="14">
        <v>3.0</v>
      </c>
      <c r="L137" s="14" t="str">
        <f t="array" ref="L137">INDEX('School Rep'!$A$2:$A$21, MATCH(J137, 'School Rep'!$B$2:$B$21, 0))</f>
        <v>Norma Rios-Sierra</v>
      </c>
      <c r="M137" s="12">
        <v>2.3</v>
      </c>
      <c r="N137" s="16" t="s">
        <v>501</v>
      </c>
      <c r="O137" s="8" t="str">
        <f t="shared" si="1"/>
        <v>3121 W Byron St </v>
      </c>
      <c r="P137" s="12">
        <v>33.0</v>
      </c>
      <c r="Q137" s="13" t="s">
        <v>99</v>
      </c>
    </row>
    <row r="138">
      <c r="A138" s="7">
        <v>609859.0</v>
      </c>
      <c r="B138" s="13" t="s">
        <v>502</v>
      </c>
      <c r="C138" s="18" t="s">
        <v>503</v>
      </c>
      <c r="D138" s="19">
        <v>0.14</v>
      </c>
      <c r="E138" s="18" t="s">
        <v>80</v>
      </c>
      <c r="F138" s="18" t="s">
        <v>126</v>
      </c>
      <c r="G138" s="15" t="e">
        <v>#N/A</v>
      </c>
      <c r="H138" s="12">
        <v>77.0</v>
      </c>
      <c r="I138" s="13" t="s">
        <v>52</v>
      </c>
      <c r="J138" s="14" t="s">
        <v>36</v>
      </c>
      <c r="K138" s="14">
        <v>2.0</v>
      </c>
      <c r="L138" s="14" t="str">
        <f t="array" ref="L138">INDEX('School Rep'!$A$2:$A$21, MATCH(J138, 'School Rep'!$B$2:$B$21, 0))</f>
        <v>Ebony DeBerry</v>
      </c>
      <c r="M138" s="12">
        <v>2.3</v>
      </c>
      <c r="N138" s="16" t="s">
        <v>504</v>
      </c>
      <c r="O138" s="8" t="str">
        <f t="shared" si="1"/>
        <v>6110 N Fairfield Ave </v>
      </c>
      <c r="P138" s="12">
        <v>50.0</v>
      </c>
      <c r="Q138" s="13" t="s">
        <v>131</v>
      </c>
    </row>
    <row r="139">
      <c r="A139" s="7">
        <v>609861.0</v>
      </c>
      <c r="B139" s="8" t="s">
        <v>505</v>
      </c>
      <c r="C139" s="18" t="s">
        <v>506</v>
      </c>
      <c r="D139" s="19">
        <v>0.096</v>
      </c>
      <c r="E139" s="18" t="s">
        <v>80</v>
      </c>
      <c r="F139" s="18" t="s">
        <v>138</v>
      </c>
      <c r="G139" s="15" t="s">
        <v>2029</v>
      </c>
      <c r="H139" s="12">
        <v>34.0</v>
      </c>
      <c r="I139" s="13" t="s">
        <v>41</v>
      </c>
      <c r="J139" s="14" t="s">
        <v>178</v>
      </c>
      <c r="K139" s="14">
        <v>9.0</v>
      </c>
      <c r="L139" s="14" t="str">
        <f t="array" ref="L139">INDEX('School Rep'!$A$2:$A$21, MATCH(J139, 'School Rep'!$B$2:$B$21, 0))</f>
        <v>Therese Boyle</v>
      </c>
      <c r="M139" s="15">
        <v>2.2</v>
      </c>
      <c r="N139" s="16" t="s">
        <v>507</v>
      </c>
      <c r="O139" s="8" t="str">
        <f t="shared" si="1"/>
        <v>2350 W 110th Pl </v>
      </c>
      <c r="P139" s="12">
        <v>19.0</v>
      </c>
      <c r="Q139" s="13" t="s">
        <v>180</v>
      </c>
    </row>
    <row r="140">
      <c r="A140" s="7">
        <v>610199.0</v>
      </c>
      <c r="B140" s="8" t="s">
        <v>508</v>
      </c>
      <c r="C140" s="18" t="s">
        <v>509</v>
      </c>
      <c r="D140" s="19">
        <v>0.073</v>
      </c>
      <c r="E140" s="18" t="s">
        <v>80</v>
      </c>
      <c r="F140" s="18" t="s">
        <v>81</v>
      </c>
      <c r="G140" s="15" t="s">
        <v>2022</v>
      </c>
      <c r="H140" s="12">
        <v>78.0</v>
      </c>
      <c r="I140" s="13" t="s">
        <v>52</v>
      </c>
      <c r="J140" s="14" t="s">
        <v>178</v>
      </c>
      <c r="K140" s="14">
        <v>9.0</v>
      </c>
      <c r="L140" s="14" t="str">
        <f t="array" ref="L140">INDEX('School Rep'!$A$2:$A$21, MATCH(J140, 'School Rep'!$B$2:$B$21, 0))</f>
        <v>Therese Boyle</v>
      </c>
      <c r="M140" s="15">
        <v>3.8</v>
      </c>
      <c r="N140" s="16" t="s">
        <v>510</v>
      </c>
      <c r="O140" s="8" t="str">
        <f t="shared" si="1"/>
        <v>1441 W 119th St </v>
      </c>
      <c r="P140" s="12">
        <v>21.0</v>
      </c>
      <c r="Q140" s="13" t="s">
        <v>428</v>
      </c>
    </row>
    <row r="141">
      <c r="A141" s="7">
        <v>609862.0</v>
      </c>
      <c r="B141" s="13" t="s">
        <v>511</v>
      </c>
      <c r="C141" s="18" t="s">
        <v>512</v>
      </c>
      <c r="D141" s="19">
        <v>0.194</v>
      </c>
      <c r="E141" s="18" t="s">
        <v>80</v>
      </c>
      <c r="F141" s="18" t="s">
        <v>144</v>
      </c>
      <c r="G141" s="15" t="s">
        <v>2030</v>
      </c>
      <c r="H141" s="12">
        <v>59.0</v>
      </c>
      <c r="I141" s="13" t="s">
        <v>20</v>
      </c>
      <c r="J141" s="14" t="s">
        <v>82</v>
      </c>
      <c r="K141" s="14">
        <v>10.0</v>
      </c>
      <c r="L141" s="14" t="str">
        <f t="array" ref="L141">INDEX('School Rep'!$A$2:$A$21, MATCH(J141, 'School Rep'!$B$2:$B$21, 0))</f>
        <v>Olga Bautista</v>
      </c>
      <c r="M141" s="12">
        <v>3.6</v>
      </c>
      <c r="N141" s="16" t="s">
        <v>513</v>
      </c>
      <c r="O141" s="8" t="str">
        <f t="shared" si="1"/>
        <v>8441 S Yates Blvd </v>
      </c>
      <c r="P141" s="12">
        <v>7.0</v>
      </c>
      <c r="Q141" s="13" t="s">
        <v>260</v>
      </c>
    </row>
    <row r="142">
      <c r="A142" s="7">
        <v>610499.0</v>
      </c>
      <c r="B142" s="8" t="s">
        <v>514</v>
      </c>
      <c r="C142" s="18" t="s">
        <v>515</v>
      </c>
      <c r="D142" s="19">
        <v>0.115</v>
      </c>
      <c r="E142" s="18" t="s">
        <v>80</v>
      </c>
      <c r="F142" s="18" t="s">
        <v>108</v>
      </c>
      <c r="G142" s="15" t="s">
        <v>2026</v>
      </c>
      <c r="H142" s="12">
        <v>60.0</v>
      </c>
      <c r="I142" s="13" t="s">
        <v>52</v>
      </c>
      <c r="J142" s="15" t="s">
        <v>384</v>
      </c>
      <c r="K142" s="15" t="s">
        <v>384</v>
      </c>
      <c r="L142" s="15" t="s">
        <v>384</v>
      </c>
      <c r="M142" s="12">
        <v>3.4</v>
      </c>
      <c r="N142" s="16" t="s">
        <v>516</v>
      </c>
      <c r="O142" s="8" t="str">
        <f t="shared" si="1"/>
        <v>1313 S Sacramento Dr </v>
      </c>
      <c r="P142" s="12">
        <v>24.0</v>
      </c>
      <c r="Q142" s="13" t="s">
        <v>517</v>
      </c>
    </row>
    <row r="143">
      <c r="A143" s="7">
        <v>610170.0</v>
      </c>
      <c r="B143" s="8" t="s">
        <v>518</v>
      </c>
      <c r="C143" s="18" t="s">
        <v>519</v>
      </c>
      <c r="D143" s="19">
        <v>0.075</v>
      </c>
      <c r="E143" s="18" t="s">
        <v>80</v>
      </c>
      <c r="F143" s="18" t="s">
        <v>126</v>
      </c>
      <c r="G143" s="15" t="e">
        <v>#N/A</v>
      </c>
      <c r="H143" s="12">
        <v>76.0</v>
      </c>
      <c r="I143" s="13" t="s">
        <v>52</v>
      </c>
      <c r="J143" s="14" t="s">
        <v>21</v>
      </c>
      <c r="K143" s="14">
        <v>7.0</v>
      </c>
      <c r="L143" s="14" t="str">
        <f t="array" ref="L143">INDEX('School Rep'!$A$2:$A$21, MATCH(J143, 'School Rep'!$B$2:$B$21, 0))</f>
        <v>Yesenia Lopez</v>
      </c>
      <c r="M143" s="15">
        <v>3.7</v>
      </c>
      <c r="N143" s="16" t="s">
        <v>520</v>
      </c>
      <c r="O143" s="8" t="str">
        <f t="shared" si="1"/>
        <v>4520 S Kedzie Ave </v>
      </c>
      <c r="P143" s="12">
        <v>12.0</v>
      </c>
      <c r="Q143" s="13" t="s">
        <v>23</v>
      </c>
    </row>
    <row r="144">
      <c r="A144" s="7">
        <v>609864.0</v>
      </c>
      <c r="B144" s="8" t="s">
        <v>521</v>
      </c>
      <c r="C144" s="9" t="s">
        <v>522</v>
      </c>
      <c r="D144" s="10">
        <v>0.257</v>
      </c>
      <c r="E144" s="11" t="s">
        <v>80</v>
      </c>
      <c r="F144" s="11" t="s">
        <v>186</v>
      </c>
      <c r="G144" s="15" t="s">
        <v>2031</v>
      </c>
      <c r="H144" s="12">
        <v>17.0</v>
      </c>
      <c r="I144" s="13" t="s">
        <v>30</v>
      </c>
      <c r="J144" s="14" t="s">
        <v>187</v>
      </c>
      <c r="K144" s="14">
        <v>9.0</v>
      </c>
      <c r="L144" s="14" t="str">
        <f t="array" ref="L144">INDEX('School Rep'!$A$2:$A$21, MATCH(J144, 'School Rep'!$B$2:$B$21, 0))</f>
        <v>Frank Niles Thomas</v>
      </c>
      <c r="M144" s="15">
        <v>2.9</v>
      </c>
      <c r="N144" s="16" t="s">
        <v>523</v>
      </c>
      <c r="O144" s="8" t="str">
        <f t="shared" si="1"/>
        <v>8150 S Bishop St </v>
      </c>
      <c r="P144" s="12">
        <v>17.0</v>
      </c>
      <c r="Q144" s="13" t="s">
        <v>189</v>
      </c>
    </row>
    <row r="145">
      <c r="A145" s="7">
        <v>609866.0</v>
      </c>
      <c r="B145" s="12" t="s">
        <v>524</v>
      </c>
      <c r="C145" s="18" t="s">
        <v>525</v>
      </c>
      <c r="D145" s="19">
        <v>0.02</v>
      </c>
      <c r="E145" s="18" t="s">
        <v>80</v>
      </c>
      <c r="F145" s="18" t="s">
        <v>270</v>
      </c>
      <c r="G145" s="15" t="s">
        <v>2035</v>
      </c>
      <c r="H145" s="12">
        <v>28.0</v>
      </c>
      <c r="I145" s="13" t="s">
        <v>41</v>
      </c>
      <c r="J145" s="14" t="s">
        <v>103</v>
      </c>
      <c r="K145" s="14">
        <v>4.0</v>
      </c>
      <c r="L145" s="14" t="str">
        <f t="array" ref="L145">INDEX('School Rep'!$A$2:$A$21, MATCH(J145, 'School Rep'!$B$2:$B$21, 0))</f>
        <v>Ellen Rosenfeld</v>
      </c>
      <c r="M145" s="12">
        <v>1.9</v>
      </c>
      <c r="N145" s="16" t="s">
        <v>526</v>
      </c>
      <c r="O145" s="8" t="str">
        <f t="shared" si="1"/>
        <v>4046 N Leavitt St </v>
      </c>
      <c r="P145" s="12">
        <v>47.0</v>
      </c>
      <c r="Q145" s="13" t="s">
        <v>228</v>
      </c>
    </row>
    <row r="146">
      <c r="A146" s="7">
        <v>609867.0</v>
      </c>
      <c r="B146" s="8" t="s">
        <v>527</v>
      </c>
      <c r="C146" s="18" t="s">
        <v>528</v>
      </c>
      <c r="D146" s="19">
        <v>0.046</v>
      </c>
      <c r="E146" s="18" t="s">
        <v>80</v>
      </c>
      <c r="F146" s="18" t="s">
        <v>529</v>
      </c>
      <c r="G146" s="15" t="s">
        <v>2039</v>
      </c>
      <c r="H146" s="12">
        <v>41.0</v>
      </c>
      <c r="I146" s="13" t="s">
        <v>20</v>
      </c>
      <c r="J146" s="14" t="s">
        <v>42</v>
      </c>
      <c r="K146" s="14">
        <v>7.0</v>
      </c>
      <c r="L146" s="14" t="str">
        <f t="array" ref="L146">INDEX('School Rep'!$A$2:$A$21, MATCH(J146, 'School Rep'!$B$2:$B$21, 0))</f>
        <v>Emma Lozano</v>
      </c>
      <c r="M146" s="15">
        <v>3.2</v>
      </c>
      <c r="N146" s="16" t="s">
        <v>530</v>
      </c>
      <c r="O146" s="8" t="str">
        <f t="shared" si="1"/>
        <v>1624 W 19th St </v>
      </c>
      <c r="P146" s="12">
        <v>25.0</v>
      </c>
      <c r="Q146" s="13" t="s">
        <v>44</v>
      </c>
    </row>
    <row r="147">
      <c r="A147" s="7">
        <v>609870.0</v>
      </c>
      <c r="B147" s="8" t="s">
        <v>531</v>
      </c>
      <c r="C147" s="18" t="s">
        <v>532</v>
      </c>
      <c r="D147" s="19">
        <v>0.145</v>
      </c>
      <c r="E147" s="18" t="s">
        <v>80</v>
      </c>
      <c r="F147" s="18" t="s">
        <v>529</v>
      </c>
      <c r="G147" s="15" t="s">
        <v>2039</v>
      </c>
      <c r="H147" s="12">
        <v>43.0</v>
      </c>
      <c r="I147" s="13" t="s">
        <v>20</v>
      </c>
      <c r="J147" s="14" t="s">
        <v>42</v>
      </c>
      <c r="K147" s="14">
        <v>7.0</v>
      </c>
      <c r="L147" s="14" t="str">
        <f t="array" ref="L147">INDEX('School Rep'!$A$2:$A$21, MATCH(J147, 'School Rep'!$B$2:$B$21, 0))</f>
        <v>Emma Lozano</v>
      </c>
      <c r="M147" s="15">
        <v>3.5</v>
      </c>
      <c r="N147" s="16" t="s">
        <v>533</v>
      </c>
      <c r="O147" s="8" t="str">
        <f t="shared" si="1"/>
        <v>2510 S Kildare Ave </v>
      </c>
      <c r="P147" s="12">
        <v>22.0</v>
      </c>
      <c r="Q147" s="13" t="s">
        <v>353</v>
      </c>
    </row>
    <row r="148">
      <c r="A148" s="7">
        <v>609761.0</v>
      </c>
      <c r="B148" s="13" t="s">
        <v>534</v>
      </c>
      <c r="C148" s="18" t="s">
        <v>535</v>
      </c>
      <c r="D148" s="19">
        <v>0.202</v>
      </c>
      <c r="E148" s="18" t="s">
        <v>80</v>
      </c>
      <c r="F148" s="18" t="s">
        <v>263</v>
      </c>
      <c r="G148" s="15" t="s">
        <v>2034</v>
      </c>
      <c r="H148" s="12">
        <v>33.0</v>
      </c>
      <c r="I148" s="13" t="s">
        <v>41</v>
      </c>
      <c r="J148" s="14" t="s">
        <v>82</v>
      </c>
      <c r="K148" s="14">
        <v>10.0</v>
      </c>
      <c r="L148" s="14" t="str">
        <f t="array" ref="L148">INDEX('School Rep'!$A$2:$A$21, MATCH(J148, 'School Rep'!$B$2:$B$21, 0))</f>
        <v>Olga Bautista</v>
      </c>
      <c r="M148" s="12">
        <v>3.6</v>
      </c>
      <c r="N148" s="16" t="s">
        <v>536</v>
      </c>
      <c r="O148" s="8" t="str">
        <f t="shared" si="1"/>
        <v>821 E 103rd St </v>
      </c>
      <c r="P148" s="12">
        <v>9.0</v>
      </c>
      <c r="Q148" s="13" t="s">
        <v>237</v>
      </c>
    </row>
    <row r="149">
      <c r="A149" s="7">
        <v>610355.0</v>
      </c>
      <c r="B149" s="12" t="s">
        <v>537</v>
      </c>
      <c r="C149" s="18" t="s">
        <v>538</v>
      </c>
      <c r="D149" s="19">
        <v>0.357</v>
      </c>
      <c r="E149" s="18" t="s">
        <v>80</v>
      </c>
      <c r="F149" s="18" t="s">
        <v>270</v>
      </c>
      <c r="G149" s="15" t="s">
        <v>2035</v>
      </c>
      <c r="H149" s="12">
        <v>56.0</v>
      </c>
      <c r="I149" s="13" t="s">
        <v>20</v>
      </c>
      <c r="J149" s="14" t="s">
        <v>243</v>
      </c>
      <c r="K149" s="14">
        <v>4.0</v>
      </c>
      <c r="L149" s="14" t="str">
        <f t="array" ref="L149">INDEX('School Rep'!$A$2:$A$21, MATCH(J149, 'School Rep'!$B$2:$B$21, 0))</f>
        <v>Karen Zaccor</v>
      </c>
      <c r="M149" s="12">
        <v>3.3</v>
      </c>
      <c r="N149" s="16" t="s">
        <v>539</v>
      </c>
      <c r="O149" s="8" t="str">
        <f t="shared" si="1"/>
        <v>4420 N Beacon St </v>
      </c>
      <c r="P149" s="12">
        <v>46.0</v>
      </c>
      <c r="Q149" s="13" t="s">
        <v>245</v>
      </c>
    </row>
    <row r="150">
      <c r="A150" s="7">
        <v>610561.0</v>
      </c>
      <c r="B150" s="12" t="s">
        <v>540</v>
      </c>
      <c r="C150" s="11" t="s">
        <v>541</v>
      </c>
      <c r="D150" s="10">
        <v>0.161</v>
      </c>
      <c r="E150" s="11" t="s">
        <v>80</v>
      </c>
      <c r="F150" s="11" t="s">
        <v>108</v>
      </c>
      <c r="G150" s="15" t="s">
        <v>2026</v>
      </c>
      <c r="H150" s="12">
        <v>60.0</v>
      </c>
      <c r="I150" s="13" t="s">
        <v>52</v>
      </c>
      <c r="J150" s="14" t="s">
        <v>217</v>
      </c>
      <c r="K150" s="14">
        <v>5.0</v>
      </c>
      <c r="L150" s="14" t="str">
        <f t="array" ref="L150">INDEX('School Rep'!$A$2:$A$21, MATCH(J150, 'School Rep'!$B$2:$B$21, 0))</f>
        <v>Michilla Blaise</v>
      </c>
      <c r="M150" s="12">
        <v>3.3</v>
      </c>
      <c r="N150" s="16" t="s">
        <v>542</v>
      </c>
      <c r="O150" s="8" t="str">
        <f t="shared" si="1"/>
        <v>2245 W Jackson Blvd </v>
      </c>
      <c r="P150" s="12">
        <v>27.0</v>
      </c>
      <c r="Q150" s="13" t="s">
        <v>219</v>
      </c>
    </row>
    <row r="151">
      <c r="A151" s="7">
        <v>609873.0</v>
      </c>
      <c r="B151" s="8" t="s">
        <v>543</v>
      </c>
      <c r="C151" s="18" t="s">
        <v>544</v>
      </c>
      <c r="D151" s="19">
        <v>0.181</v>
      </c>
      <c r="E151" s="18" t="s">
        <v>80</v>
      </c>
      <c r="F151" s="18" t="s">
        <v>216</v>
      </c>
      <c r="G151" s="15" t="s">
        <v>2032</v>
      </c>
      <c r="H151" s="12">
        <v>23.0</v>
      </c>
      <c r="I151" s="13" t="s">
        <v>41</v>
      </c>
      <c r="J151" s="14" t="s">
        <v>217</v>
      </c>
      <c r="K151" s="14">
        <v>5.0</v>
      </c>
      <c r="L151" s="14" t="str">
        <f t="array" ref="L151">INDEX('School Rep'!$A$2:$A$21, MATCH(J151, 'School Rep'!$B$2:$B$21, 0))</f>
        <v>Michilla Blaise</v>
      </c>
      <c r="M151" s="15">
        <v>3.8</v>
      </c>
      <c r="N151" s="16" t="s">
        <v>545</v>
      </c>
      <c r="O151" s="8" t="str">
        <f t="shared" si="1"/>
        <v>2128 S Saint Louis Ave </v>
      </c>
      <c r="P151" s="12">
        <v>24.0</v>
      </c>
      <c r="Q151" s="13" t="s">
        <v>517</v>
      </c>
    </row>
    <row r="152">
      <c r="A152" s="7">
        <v>610003.0</v>
      </c>
      <c r="B152" s="8" t="s">
        <v>546</v>
      </c>
      <c r="C152" s="18" t="s">
        <v>547</v>
      </c>
      <c r="D152" s="19">
        <v>0.123</v>
      </c>
      <c r="E152" s="18" t="s">
        <v>80</v>
      </c>
      <c r="F152" s="18" t="s">
        <v>186</v>
      </c>
      <c r="G152" s="15" t="s">
        <v>2031</v>
      </c>
      <c r="H152" s="12">
        <v>60.0</v>
      </c>
      <c r="I152" s="13" t="s">
        <v>52</v>
      </c>
      <c r="J152" s="14" t="s">
        <v>187</v>
      </c>
      <c r="K152" s="14">
        <v>9.0</v>
      </c>
      <c r="L152" s="14" t="str">
        <f t="array" ref="L152">INDEX('School Rep'!$A$2:$A$21, MATCH(J152, 'School Rep'!$B$2:$B$21, 0))</f>
        <v>Frank Niles Thomas</v>
      </c>
      <c r="M152" s="15">
        <v>2.8</v>
      </c>
      <c r="N152" s="16" t="s">
        <v>548</v>
      </c>
      <c r="O152" s="8" t="str">
        <f t="shared" si="1"/>
        <v>8324 S Racine Ave </v>
      </c>
      <c r="P152" s="12">
        <v>17.0</v>
      </c>
      <c r="Q152" s="13" t="s">
        <v>189</v>
      </c>
    </row>
    <row r="153">
      <c r="A153" s="7">
        <v>610004.0</v>
      </c>
      <c r="B153" s="8" t="s">
        <v>549</v>
      </c>
      <c r="C153" s="18" t="s">
        <v>550</v>
      </c>
      <c r="D153" s="19">
        <v>0.245</v>
      </c>
      <c r="E153" s="18" t="s">
        <v>80</v>
      </c>
      <c r="F153" s="18" t="s">
        <v>81</v>
      </c>
      <c r="G153" s="15" t="s">
        <v>2022</v>
      </c>
      <c r="H153" s="12">
        <v>48.0</v>
      </c>
      <c r="I153" s="13" t="s">
        <v>20</v>
      </c>
      <c r="J153" s="14" t="s">
        <v>178</v>
      </c>
      <c r="K153" s="14">
        <v>9.0</v>
      </c>
      <c r="L153" s="14" t="str">
        <f t="array" ref="L153">INDEX('School Rep'!$A$2:$A$21, MATCH(J153, 'School Rep'!$B$2:$B$21, 0))</f>
        <v>Therese Boyle</v>
      </c>
      <c r="M153" s="15">
        <v>3.6</v>
      </c>
      <c r="N153" s="16" t="s">
        <v>551</v>
      </c>
      <c r="O153" s="8" t="str">
        <f t="shared" si="1"/>
        <v>10650 S Eberhart Ave </v>
      </c>
      <c r="P153" s="12">
        <v>9.0</v>
      </c>
      <c r="Q153" s="13" t="s">
        <v>237</v>
      </c>
    </row>
    <row r="154">
      <c r="A154" s="7">
        <v>609756.0</v>
      </c>
      <c r="B154" s="8" t="s">
        <v>552</v>
      </c>
      <c r="C154" s="9" t="s">
        <v>553</v>
      </c>
      <c r="D154" s="10">
        <v>0.104</v>
      </c>
      <c r="E154" s="11" t="s">
        <v>80</v>
      </c>
      <c r="F154" s="11" t="s">
        <v>108</v>
      </c>
      <c r="G154" s="15" t="s">
        <v>2026</v>
      </c>
      <c r="H154" s="12">
        <v>25.0</v>
      </c>
      <c r="I154" s="13" t="s">
        <v>41</v>
      </c>
      <c r="J154" s="14" t="s">
        <v>21</v>
      </c>
      <c r="K154" s="14">
        <v>7.0</v>
      </c>
      <c r="L154" s="14" t="str">
        <f t="array" ref="L154">INDEX('School Rep'!$A$2:$A$21, MATCH(J154, 'School Rep'!$B$2:$B$21, 0))</f>
        <v>Yesenia Lopez</v>
      </c>
      <c r="M154" s="15">
        <v>2.6</v>
      </c>
      <c r="N154" s="16" t="s">
        <v>554</v>
      </c>
      <c r="O154" s="8" t="str">
        <f t="shared" si="1"/>
        <v>4959 S Archer Ave </v>
      </c>
      <c r="P154" s="12">
        <v>14.0</v>
      </c>
      <c r="Q154" s="13" t="s">
        <v>54</v>
      </c>
    </row>
    <row r="155">
      <c r="A155" s="7">
        <v>609900.0</v>
      </c>
      <c r="B155" s="8" t="s">
        <v>555</v>
      </c>
      <c r="C155" s="9" t="s">
        <v>556</v>
      </c>
      <c r="D155" s="10">
        <v>0.311</v>
      </c>
      <c r="E155" s="11" t="s">
        <v>80</v>
      </c>
      <c r="F155" s="11" t="s">
        <v>81</v>
      </c>
      <c r="G155" s="15" t="s">
        <v>2022</v>
      </c>
      <c r="H155" s="12">
        <v>35.0</v>
      </c>
      <c r="I155" s="13" t="s">
        <v>41</v>
      </c>
      <c r="J155" s="14" t="s">
        <v>178</v>
      </c>
      <c r="K155" s="14">
        <v>9.0</v>
      </c>
      <c r="L155" s="14" t="str">
        <f t="array" ref="L155">INDEX('School Rep'!$A$2:$A$21, MATCH(J155, 'School Rep'!$B$2:$B$21, 0))</f>
        <v>Therese Boyle</v>
      </c>
      <c r="M155" s="15">
        <v>3.6</v>
      </c>
      <c r="N155" s="16" t="s">
        <v>557</v>
      </c>
      <c r="O155" s="8" t="str">
        <f t="shared" si="1"/>
        <v>32 E 115th St </v>
      </c>
      <c r="P155" s="12">
        <v>9.0</v>
      </c>
      <c r="Q155" s="13" t="s">
        <v>237</v>
      </c>
    </row>
    <row r="156">
      <c r="A156" s="7">
        <v>609833.0</v>
      </c>
      <c r="B156" s="8" t="s">
        <v>558</v>
      </c>
      <c r="C156" s="20" t="s">
        <v>559</v>
      </c>
      <c r="D156" s="21">
        <v>0.19</v>
      </c>
      <c r="E156" s="20" t="s">
        <v>80</v>
      </c>
      <c r="F156" s="20" t="s">
        <v>126</v>
      </c>
      <c r="G156" s="15" t="e">
        <v>#N/A</v>
      </c>
      <c r="H156" s="12">
        <v>54.0</v>
      </c>
      <c r="I156" s="13" t="s">
        <v>20</v>
      </c>
      <c r="J156" s="14"/>
      <c r="K156" s="14"/>
      <c r="L156" s="14" t="str">
        <f t="array" ref="L156">INDEX('School Rep'!$A$2:$A$21, MATCH(J156, 'School Rep'!$B$2:$B$21, 0))</f>
        <v>#N/A</v>
      </c>
      <c r="M156" s="15">
        <v>2.9</v>
      </c>
      <c r="N156" s="16" t="s">
        <v>560</v>
      </c>
      <c r="O156" s="8" t="str">
        <f t="shared" si="1"/>
        <v>8546 S Cregier Ave </v>
      </c>
      <c r="P156" s="12">
        <v>8.0</v>
      </c>
      <c r="Q156" s="13" t="s">
        <v>135</v>
      </c>
    </row>
    <row r="157">
      <c r="A157" s="7">
        <v>610239.0</v>
      </c>
      <c r="B157" s="8" t="s">
        <v>561</v>
      </c>
      <c r="C157" s="18" t="s">
        <v>562</v>
      </c>
      <c r="D157" s="19">
        <v>0.127</v>
      </c>
      <c r="E157" s="18" t="s">
        <v>80</v>
      </c>
      <c r="F157" s="18" t="s">
        <v>285</v>
      </c>
      <c r="G157" s="15" t="s">
        <v>2036</v>
      </c>
      <c r="H157" s="12">
        <v>25.0</v>
      </c>
      <c r="I157" s="13" t="s">
        <v>41</v>
      </c>
      <c r="J157" s="14" t="s">
        <v>26</v>
      </c>
      <c r="K157" s="14">
        <v>8.0</v>
      </c>
      <c r="L157" s="14" t="str">
        <f t="array" ref="L157">INDEX('School Rep'!$A$2:$A$21, MATCH(J157, 'School Rep'!$B$2:$B$21, 0))</f>
        <v>Cydney Wallace</v>
      </c>
      <c r="M157" s="15">
        <v>4.0</v>
      </c>
      <c r="N157" s="16" t="s">
        <v>563</v>
      </c>
      <c r="O157" s="8" t="str">
        <f t="shared" si="1"/>
        <v>5024 S Wolcott Ave </v>
      </c>
      <c r="P157" s="12">
        <v>20.0</v>
      </c>
      <c r="Q157" s="13" t="s">
        <v>368</v>
      </c>
    </row>
    <row r="158">
      <c r="A158" s="7">
        <v>609875.0</v>
      </c>
      <c r="B158" s="12" t="s">
        <v>564</v>
      </c>
      <c r="C158" s="18" t="s">
        <v>565</v>
      </c>
      <c r="D158" s="19">
        <v>0.087</v>
      </c>
      <c r="E158" s="18" t="s">
        <v>80</v>
      </c>
      <c r="F158" s="18" t="s">
        <v>102</v>
      </c>
      <c r="G158" s="15" t="s">
        <v>2025</v>
      </c>
      <c r="H158" s="12">
        <v>57.0</v>
      </c>
      <c r="I158" s="13" t="s">
        <v>20</v>
      </c>
      <c r="J158" s="14" t="s">
        <v>232</v>
      </c>
      <c r="K158" s="14">
        <v>3.0</v>
      </c>
      <c r="L158" s="14" t="str">
        <f t="array" ref="L158">INDEX('School Rep'!$A$2:$A$21, MATCH(J158, 'School Rep'!$B$2:$B$21, 0))</f>
        <v>Carlos Rivas</v>
      </c>
      <c r="M158" s="12">
        <v>2.4</v>
      </c>
      <c r="N158" s="16" t="s">
        <v>566</v>
      </c>
      <c r="O158" s="8" t="str">
        <f t="shared" si="1"/>
        <v>3116 W Belden Ave </v>
      </c>
      <c r="P158" s="12">
        <v>35.0</v>
      </c>
      <c r="Q158" s="13" t="s">
        <v>49</v>
      </c>
    </row>
    <row r="159">
      <c r="A159" s="7">
        <v>610521.0</v>
      </c>
      <c r="B159" s="8" t="s">
        <v>567</v>
      </c>
      <c r="C159" s="18" t="s">
        <v>568</v>
      </c>
      <c r="D159" s="19">
        <v>0.0</v>
      </c>
      <c r="E159" s="18" t="s">
        <v>80</v>
      </c>
      <c r="F159" s="18" t="s">
        <v>126</v>
      </c>
      <c r="G159" s="15" t="e">
        <v>#N/A</v>
      </c>
      <c r="H159" s="12">
        <v>56.0</v>
      </c>
      <c r="I159" s="13" t="s">
        <v>20</v>
      </c>
      <c r="J159" s="14" t="s">
        <v>187</v>
      </c>
      <c r="K159" s="14">
        <v>9.0</v>
      </c>
      <c r="L159" s="14" t="str">
        <f t="array" ref="L159">INDEX('School Rep'!$A$2:$A$21, MATCH(J159, 'School Rep'!$B$2:$B$21, 0))</f>
        <v>Frank Niles Thomas</v>
      </c>
      <c r="M159" s="15">
        <v>3.3</v>
      </c>
      <c r="N159" s="16" t="s">
        <v>569</v>
      </c>
      <c r="O159" s="8" t="str">
        <f t="shared" si="1"/>
        <v>6740 S Paulina St </v>
      </c>
      <c r="P159" s="12">
        <v>16.0</v>
      </c>
      <c r="Q159" s="13" t="s">
        <v>193</v>
      </c>
    </row>
    <row r="160">
      <c r="A160" s="7">
        <v>609876.0</v>
      </c>
      <c r="B160" s="8" t="s">
        <v>570</v>
      </c>
      <c r="C160" s="18" t="s">
        <v>571</v>
      </c>
      <c r="D160" s="19">
        <v>0.122</v>
      </c>
      <c r="E160" s="18" t="s">
        <v>80</v>
      </c>
      <c r="F160" s="18" t="s">
        <v>285</v>
      </c>
      <c r="G160" s="15" t="s">
        <v>2036</v>
      </c>
      <c r="H160" s="12">
        <v>17.0</v>
      </c>
      <c r="I160" s="13" t="s">
        <v>30</v>
      </c>
      <c r="J160" s="14" t="s">
        <v>21</v>
      </c>
      <c r="K160" s="14">
        <v>7.0</v>
      </c>
      <c r="L160" s="14" t="str">
        <f t="array" ref="L160">INDEX('School Rep'!$A$2:$A$21, MATCH(J160, 'School Rep'!$B$2:$B$21, 0))</f>
        <v>Yesenia Lopez</v>
      </c>
      <c r="M160" s="15">
        <v>3.4</v>
      </c>
      <c r="N160" s="16" t="s">
        <v>572</v>
      </c>
      <c r="O160" s="8" t="str">
        <f t="shared" si="1"/>
        <v>3014 W 39th Pl </v>
      </c>
      <c r="P160" s="12">
        <v>12.0</v>
      </c>
      <c r="Q160" s="13" t="s">
        <v>23</v>
      </c>
    </row>
    <row r="161">
      <c r="A161" s="7">
        <v>609879.0</v>
      </c>
      <c r="B161" s="8" t="s">
        <v>573</v>
      </c>
      <c r="C161" s="18" t="s">
        <v>574</v>
      </c>
      <c r="D161" s="19">
        <v>0.078</v>
      </c>
      <c r="E161" s="18" t="s">
        <v>80</v>
      </c>
      <c r="F161" s="18" t="s">
        <v>138</v>
      </c>
      <c r="G161" s="15" t="s">
        <v>2029</v>
      </c>
      <c r="H161" s="12">
        <v>58.0</v>
      </c>
      <c r="I161" s="13" t="s">
        <v>20</v>
      </c>
      <c r="J161" s="14" t="s">
        <v>139</v>
      </c>
      <c r="K161" s="14">
        <v>8.0</v>
      </c>
      <c r="L161" s="14" t="str">
        <f t="array" ref="L161">INDEX('School Rep'!$A$2:$A$21, MATCH(J161, 'School Rep'!$B$2:$B$21, 0))</f>
        <v>Angel Gutierrez</v>
      </c>
      <c r="M161" s="15">
        <v>2.8</v>
      </c>
      <c r="N161" s="16" t="s">
        <v>575</v>
      </c>
      <c r="O161" s="8" t="str">
        <f t="shared" si="1"/>
        <v>3810 W 81st Pl </v>
      </c>
      <c r="P161" s="12">
        <v>18.0</v>
      </c>
      <c r="Q161" s="13" t="s">
        <v>141</v>
      </c>
    </row>
    <row r="162">
      <c r="A162" s="7">
        <v>610313.0</v>
      </c>
      <c r="B162" s="8" t="s">
        <v>576</v>
      </c>
      <c r="C162" s="18" t="s">
        <v>577</v>
      </c>
      <c r="D162" s="19">
        <v>0.087</v>
      </c>
      <c r="E162" s="18" t="s">
        <v>80</v>
      </c>
      <c r="F162" s="18" t="s">
        <v>216</v>
      </c>
      <c r="G162" s="15" t="s">
        <v>2032</v>
      </c>
      <c r="H162" s="12">
        <v>47.0</v>
      </c>
      <c r="I162" s="13" t="s">
        <v>20</v>
      </c>
      <c r="J162" s="14" t="s">
        <v>462</v>
      </c>
      <c r="K162" s="14">
        <v>6.0</v>
      </c>
      <c r="L162" s="14" t="str">
        <f t="array" ref="L162">INDEX('School Rep'!$A$2:$A$21, MATCH(J162, 'School Rep'!$B$2:$B$21, 0))</f>
        <v>Anusha Thotakura</v>
      </c>
      <c r="M162" s="15">
        <v>2.9</v>
      </c>
      <c r="N162" s="16" t="s">
        <v>578</v>
      </c>
      <c r="O162" s="8" t="str">
        <f t="shared" si="1"/>
        <v>1313 N Claremont Ave </v>
      </c>
      <c r="P162" s="12">
        <v>1.0</v>
      </c>
      <c r="Q162" s="13" t="s">
        <v>275</v>
      </c>
    </row>
    <row r="163">
      <c r="A163" s="7">
        <v>609880.0</v>
      </c>
      <c r="B163" s="13" t="s">
        <v>579</v>
      </c>
      <c r="C163" s="18" t="s">
        <v>580</v>
      </c>
      <c r="D163" s="19">
        <v>0.0</v>
      </c>
      <c r="E163" s="18" t="s">
        <v>80</v>
      </c>
      <c r="F163" s="18" t="s">
        <v>270</v>
      </c>
      <c r="G163" s="15" t="s">
        <v>2035</v>
      </c>
      <c r="H163" s="12">
        <v>82.0</v>
      </c>
      <c r="I163" s="13" t="s">
        <v>248</v>
      </c>
      <c r="J163" s="14" t="s">
        <v>36</v>
      </c>
      <c r="K163" s="14">
        <v>2.0</v>
      </c>
      <c r="L163" s="14" t="str">
        <f t="array" ref="L163">INDEX('School Rep'!$A$2:$A$21, MATCH(J163, 'School Rep'!$B$2:$B$21, 0))</f>
        <v>Ebony DeBerry</v>
      </c>
      <c r="M163" s="12">
        <v>1.7</v>
      </c>
      <c r="N163" s="16" t="s">
        <v>581</v>
      </c>
      <c r="O163" s="8" t="str">
        <f t="shared" si="1"/>
        <v>7030 N Sacramento Ave </v>
      </c>
      <c r="P163" s="12">
        <v>50.0</v>
      </c>
      <c r="Q163" s="13" t="s">
        <v>131</v>
      </c>
    </row>
    <row r="164">
      <c r="A164" s="7">
        <v>609883.0</v>
      </c>
      <c r="B164" s="8" t="s">
        <v>582</v>
      </c>
      <c r="C164" s="18" t="s">
        <v>583</v>
      </c>
      <c r="D164" s="19">
        <v>0.133</v>
      </c>
      <c r="E164" s="18" t="s">
        <v>80</v>
      </c>
      <c r="F164" s="18" t="s">
        <v>144</v>
      </c>
      <c r="G164" s="15" t="s">
        <v>2030</v>
      </c>
      <c r="H164" s="12">
        <v>55.0</v>
      </c>
      <c r="I164" s="13" t="s">
        <v>20</v>
      </c>
      <c r="J164" s="14" t="s">
        <v>204</v>
      </c>
      <c r="K164" s="14">
        <v>6.0</v>
      </c>
      <c r="L164" s="14" t="str">
        <f t="array" ref="L164">INDEX('School Rep'!$A$2:$A$21, MATCH(J164, 'School Rep'!$B$2:$B$21, 0))</f>
        <v>Jessica Biggs</v>
      </c>
      <c r="M164" s="15">
        <v>3.3</v>
      </c>
      <c r="N164" s="16" t="s">
        <v>584</v>
      </c>
      <c r="O164" s="8" t="str">
        <f t="shared" si="1"/>
        <v>7240 S Wabash Ave </v>
      </c>
      <c r="P164" s="12">
        <v>6.0</v>
      </c>
      <c r="Q164" s="13" t="s">
        <v>306</v>
      </c>
    </row>
    <row r="165">
      <c r="A165" s="7">
        <v>610367.0</v>
      </c>
      <c r="B165" s="12" t="s">
        <v>585</v>
      </c>
      <c r="C165" s="18" t="s">
        <v>586</v>
      </c>
      <c r="D165" s="19">
        <v>0.15</v>
      </c>
      <c r="E165" s="18" t="s">
        <v>80</v>
      </c>
      <c r="F165" s="18" t="s">
        <v>231</v>
      </c>
      <c r="G165" s="15" t="s">
        <v>2033</v>
      </c>
      <c r="H165" s="12">
        <v>27.0</v>
      </c>
      <c r="I165" s="13" t="s">
        <v>41</v>
      </c>
      <c r="J165" s="14" t="s">
        <v>31</v>
      </c>
      <c r="K165" s="14">
        <v>5.0</v>
      </c>
      <c r="L165" s="14" t="str">
        <f t="array" ref="L165">INDEX('School Rep'!$A$2:$A$21, MATCH(J165, 'School Rep'!$B$2:$B$21, 0))</f>
        <v>Aaron "Jitu" Brown</v>
      </c>
      <c r="M165" s="12">
        <v>3.8</v>
      </c>
      <c r="N165" s="16" t="s">
        <v>587</v>
      </c>
      <c r="O165" s="8" t="str">
        <f t="shared" si="1"/>
        <v>139 S Parkside Ave </v>
      </c>
      <c r="P165" s="12">
        <v>29.0</v>
      </c>
      <c r="Q165" s="13" t="s">
        <v>33</v>
      </c>
    </row>
    <row r="166">
      <c r="A166" s="7">
        <v>610252.0</v>
      </c>
      <c r="B166" s="8" t="s">
        <v>588</v>
      </c>
      <c r="C166" s="18" t="s">
        <v>589</v>
      </c>
      <c r="D166" s="19">
        <v>0.283</v>
      </c>
      <c r="E166" s="18" t="s">
        <v>80</v>
      </c>
      <c r="F166" s="18" t="s">
        <v>301</v>
      </c>
      <c r="G166" s="15" t="s">
        <v>2037</v>
      </c>
      <c r="H166" s="15"/>
      <c r="I166" s="8"/>
      <c r="J166" s="14" t="s">
        <v>217</v>
      </c>
      <c r="K166" s="14">
        <v>5.0</v>
      </c>
      <c r="L166" s="14" t="str">
        <f t="array" ref="L166">INDEX('School Rep'!$A$2:$A$21, MATCH(J166, 'School Rep'!$B$2:$B$21, 0))</f>
        <v>Michilla Blaise</v>
      </c>
      <c r="M166" s="15">
        <v>3.4</v>
      </c>
      <c r="N166" s="16" t="s">
        <v>590</v>
      </c>
      <c r="O166" s="8" t="str">
        <f t="shared" si="1"/>
        <v>2131 W Monroe St </v>
      </c>
      <c r="P166" s="12">
        <v>27.0</v>
      </c>
      <c r="Q166" s="13" t="s">
        <v>219</v>
      </c>
    </row>
    <row r="167">
      <c r="A167" s="7">
        <v>609884.0</v>
      </c>
      <c r="B167" s="13" t="s">
        <v>591</v>
      </c>
      <c r="C167" s="18" t="s">
        <v>592</v>
      </c>
      <c r="D167" s="19">
        <v>0.072</v>
      </c>
      <c r="E167" s="18" t="s">
        <v>80</v>
      </c>
      <c r="F167" s="18" t="s">
        <v>97</v>
      </c>
      <c r="G167" s="15" t="s">
        <v>2024</v>
      </c>
      <c r="H167" s="12">
        <v>54.0</v>
      </c>
      <c r="I167" s="13" t="s">
        <v>20</v>
      </c>
      <c r="J167" s="14" t="s">
        <v>199</v>
      </c>
      <c r="K167" s="14">
        <v>1.0</v>
      </c>
      <c r="L167" s="14" t="str">
        <f t="array" ref="L167">INDEX('School Rep'!$A$2:$A$21, MATCH(J167, 'School Rep'!$B$2:$B$21, 0))</f>
        <v>Ed Bannon</v>
      </c>
      <c r="M167" s="12">
        <v>1.9</v>
      </c>
      <c r="N167" s="16" t="s">
        <v>593</v>
      </c>
      <c r="O167" s="8" t="str">
        <f t="shared" si="1"/>
        <v>3436 N Osceola Ave </v>
      </c>
      <c r="P167" s="12">
        <v>38.0</v>
      </c>
      <c r="Q167" s="13" t="s">
        <v>279</v>
      </c>
    </row>
    <row r="168">
      <c r="A168" s="7">
        <v>610402.0</v>
      </c>
      <c r="B168" s="13" t="s">
        <v>594</v>
      </c>
      <c r="C168" s="9" t="s">
        <v>595</v>
      </c>
      <c r="D168" s="10">
        <v>0.0</v>
      </c>
      <c r="E168" s="11" t="s">
        <v>80</v>
      </c>
      <c r="F168" s="11" t="s">
        <v>116</v>
      </c>
      <c r="G168" s="15" t="s">
        <v>2027</v>
      </c>
      <c r="H168" s="12">
        <v>91.0</v>
      </c>
      <c r="I168" s="13" t="s">
        <v>248</v>
      </c>
      <c r="J168" s="14" t="s">
        <v>87</v>
      </c>
      <c r="K168" s="14">
        <v>2.0</v>
      </c>
      <c r="L168" s="14" t="str">
        <f t="array" ref="L168">INDEX('School Rep'!$A$2:$A$21, MATCH(J168, 'School Rep'!$B$2:$B$21, 0))</f>
        <v>Debby Pope</v>
      </c>
      <c r="M168" s="12">
        <v>2.4</v>
      </c>
      <c r="N168" s="16" t="s">
        <v>596</v>
      </c>
      <c r="O168" s="8" t="str">
        <f t="shared" si="1"/>
        <v>1900 W Lawrence Ave </v>
      </c>
      <c r="P168" s="12">
        <v>47.0</v>
      </c>
      <c r="Q168" s="13" t="s">
        <v>228</v>
      </c>
    </row>
    <row r="169">
      <c r="A169" s="7">
        <v>609885.0</v>
      </c>
      <c r="B169" s="8" t="s">
        <v>597</v>
      </c>
      <c r="C169" s="11" t="s">
        <v>598</v>
      </c>
      <c r="D169" s="10">
        <v>0.134</v>
      </c>
      <c r="E169" s="11" t="s">
        <v>80</v>
      </c>
      <c r="F169" s="11" t="s">
        <v>285</v>
      </c>
      <c r="G169" s="15" t="s">
        <v>2036</v>
      </c>
      <c r="H169" s="12">
        <v>58.0</v>
      </c>
      <c r="I169" s="13" t="s">
        <v>20</v>
      </c>
      <c r="J169" s="14" t="s">
        <v>187</v>
      </c>
      <c r="K169" s="14">
        <v>9.0</v>
      </c>
      <c r="L169" s="14" t="str">
        <f t="array" ref="L169">INDEX('School Rep'!$A$2:$A$21, MATCH(J169, 'School Rep'!$B$2:$B$21, 0))</f>
        <v>Frank Niles Thomas</v>
      </c>
      <c r="M169" s="15">
        <v>3.6</v>
      </c>
      <c r="N169" s="16" t="s">
        <v>599</v>
      </c>
      <c r="O169" s="8" t="str">
        <f t="shared" si="1"/>
        <v>5415 S Union Ave </v>
      </c>
      <c r="P169" s="12">
        <v>16.0</v>
      </c>
      <c r="Q169" s="13" t="s">
        <v>193</v>
      </c>
    </row>
    <row r="170">
      <c r="A170" s="7">
        <v>609874.0</v>
      </c>
      <c r="B170" s="12" t="s">
        <v>600</v>
      </c>
      <c r="C170" s="18" t="s">
        <v>601</v>
      </c>
      <c r="D170" s="19">
        <v>0.191</v>
      </c>
      <c r="E170" s="18" t="s">
        <v>80</v>
      </c>
      <c r="F170" s="18" t="s">
        <v>97</v>
      </c>
      <c r="G170" s="15" t="s">
        <v>2024</v>
      </c>
      <c r="H170" s="15"/>
      <c r="I170" s="8"/>
      <c r="J170" s="14" t="s">
        <v>199</v>
      </c>
      <c r="K170" s="14">
        <v>1.0</v>
      </c>
      <c r="L170" s="14" t="str">
        <f t="array" ref="L170">INDEX('School Rep'!$A$2:$A$21, MATCH(J170, 'School Rep'!$B$2:$B$21, 0))</f>
        <v>Ed Bannon</v>
      </c>
      <c r="M170" s="12">
        <v>2.0</v>
      </c>
      <c r="N170" s="16" t="s">
        <v>602</v>
      </c>
      <c r="O170" s="8" t="str">
        <f t="shared" si="1"/>
        <v>8601 W Foster Ave </v>
      </c>
      <c r="P170" s="12">
        <v>41.0</v>
      </c>
      <c r="Q170" s="13" t="s">
        <v>201</v>
      </c>
    </row>
    <row r="171">
      <c r="A171" s="7">
        <v>610363.0</v>
      </c>
      <c r="B171" s="12" t="s">
        <v>603</v>
      </c>
      <c r="C171" s="18" t="s">
        <v>604</v>
      </c>
      <c r="D171" s="19">
        <v>0.026</v>
      </c>
      <c r="E171" s="18" t="s">
        <v>80</v>
      </c>
      <c r="F171" s="18" t="s">
        <v>270</v>
      </c>
      <c r="G171" s="15" t="s">
        <v>2035</v>
      </c>
      <c r="H171" s="12">
        <v>34.0</v>
      </c>
      <c r="I171" s="13" t="s">
        <v>41</v>
      </c>
      <c r="J171" s="14" t="s">
        <v>243</v>
      </c>
      <c r="K171" s="14">
        <v>4.0</v>
      </c>
      <c r="L171" s="14" t="str">
        <f t="array" ref="L171">INDEX('School Rep'!$A$2:$A$21, MATCH(J171, 'School Rep'!$B$2:$B$21, 0))</f>
        <v>Karen Zaccor</v>
      </c>
      <c r="M171" s="12">
        <v>2.3</v>
      </c>
      <c r="N171" s="16" t="s">
        <v>605</v>
      </c>
      <c r="O171" s="8" t="str">
        <f t="shared" si="1"/>
        <v>4140 N Marine Dr </v>
      </c>
      <c r="P171" s="12">
        <v>46.0</v>
      </c>
      <c r="Q171" s="13" t="s">
        <v>245</v>
      </c>
    </row>
    <row r="172">
      <c r="A172" s="7">
        <v>610515.0</v>
      </c>
      <c r="B172" s="13" t="s">
        <v>606</v>
      </c>
      <c r="C172" s="17" t="s">
        <v>607</v>
      </c>
      <c r="D172" s="10">
        <v>0.0</v>
      </c>
      <c r="E172" s="11" t="s">
        <v>80</v>
      </c>
      <c r="F172" s="11" t="s">
        <v>116</v>
      </c>
      <c r="G172" s="15" t="s">
        <v>2027</v>
      </c>
      <c r="H172" s="12">
        <v>70.0</v>
      </c>
      <c r="I172" s="13" t="s">
        <v>52</v>
      </c>
      <c r="J172" s="14" t="s">
        <v>222</v>
      </c>
      <c r="K172" s="14">
        <v>1.0</v>
      </c>
      <c r="L172" s="14" t="str">
        <f t="array" ref="L172">INDEX('School Rep'!$A$2:$A$21, MATCH(J172, 'School Rep'!$B$2:$B$21, 0))</f>
        <v>Jennifer Custer</v>
      </c>
      <c r="M172" s="12">
        <v>2.5</v>
      </c>
      <c r="N172" s="16" t="s">
        <v>608</v>
      </c>
      <c r="O172" s="8" t="str">
        <f t="shared" si="1"/>
        <v>3815 N Kedvale Ave </v>
      </c>
      <c r="P172" s="12">
        <v>30.0</v>
      </c>
      <c r="Q172" s="13" t="s">
        <v>346</v>
      </c>
    </row>
    <row r="173">
      <c r="A173" s="7">
        <v>610564.0</v>
      </c>
      <c r="B173" s="13" t="s">
        <v>609</v>
      </c>
      <c r="C173" s="11" t="s">
        <v>610</v>
      </c>
      <c r="D173" s="10">
        <v>0.031</v>
      </c>
      <c r="E173" s="11" t="s">
        <v>80</v>
      </c>
      <c r="F173" s="11" t="s">
        <v>116</v>
      </c>
      <c r="G173" s="15" t="s">
        <v>2027</v>
      </c>
      <c r="H173" s="12">
        <v>63.0</v>
      </c>
      <c r="I173" s="13" t="s">
        <v>52</v>
      </c>
      <c r="J173" s="14" t="s">
        <v>222</v>
      </c>
      <c r="K173" s="14">
        <v>1.0</v>
      </c>
      <c r="L173" s="14" t="str">
        <f t="array" ref="L173">INDEX('School Rep'!$A$2:$A$21, MATCH(J173, 'School Rep'!$B$2:$B$21, 0))</f>
        <v>Jennifer Custer</v>
      </c>
      <c r="M173" s="12">
        <v>2.6</v>
      </c>
      <c r="N173" s="16" t="s">
        <v>611</v>
      </c>
      <c r="O173" s="8" t="str">
        <f t="shared" si="1"/>
        <v>3900 N Lawndale Ave </v>
      </c>
      <c r="P173" s="12">
        <v>45.0</v>
      </c>
      <c r="Q173" s="13" t="s">
        <v>210</v>
      </c>
    </row>
    <row r="174">
      <c r="A174" s="7">
        <v>609887.0</v>
      </c>
      <c r="B174" s="13" t="s">
        <v>612</v>
      </c>
      <c r="C174" s="18" t="s">
        <v>613</v>
      </c>
      <c r="D174" s="19">
        <v>0.081</v>
      </c>
      <c r="E174" s="18" t="s">
        <v>80</v>
      </c>
      <c r="F174" s="18" t="s">
        <v>144</v>
      </c>
      <c r="G174" s="15" t="s">
        <v>2030</v>
      </c>
      <c r="H174" s="12">
        <v>70.0</v>
      </c>
      <c r="I174" s="13" t="s">
        <v>52</v>
      </c>
      <c r="J174" s="14" t="s">
        <v>82</v>
      </c>
      <c r="K174" s="14">
        <v>10.0</v>
      </c>
      <c r="L174" s="14" t="str">
        <f t="array" ref="L174">INDEX('School Rep'!$A$2:$A$21, MATCH(J174, 'School Rep'!$B$2:$B$21, 0))</f>
        <v>Olga Bautista</v>
      </c>
      <c r="M174" s="12">
        <v>2.9</v>
      </c>
      <c r="N174" s="16" t="s">
        <v>614</v>
      </c>
      <c r="O174" s="8" t="str">
        <f t="shared" si="1"/>
        <v>8306 S Saint Lawrence Ave </v>
      </c>
      <c r="P174" s="12">
        <v>6.0</v>
      </c>
      <c r="Q174" s="13" t="s">
        <v>306</v>
      </c>
    </row>
    <row r="175">
      <c r="A175" s="7">
        <v>609891.0</v>
      </c>
      <c r="B175" s="13" t="s">
        <v>615</v>
      </c>
      <c r="C175" s="9" t="s">
        <v>616</v>
      </c>
      <c r="D175" s="10">
        <v>0.196</v>
      </c>
      <c r="E175" s="11" t="s">
        <v>80</v>
      </c>
      <c r="F175" s="11" t="s">
        <v>120</v>
      </c>
      <c r="G175" s="15" t="s">
        <v>2028</v>
      </c>
      <c r="H175" s="12">
        <v>50.0</v>
      </c>
      <c r="I175" s="13" t="s">
        <v>20</v>
      </c>
      <c r="J175" s="14" t="s">
        <v>121</v>
      </c>
      <c r="K175" s="14">
        <v>10.0</v>
      </c>
      <c r="L175" s="14" t="str">
        <f t="array" ref="L175">INDEX('School Rep'!$A$2:$A$21, MATCH(J175, 'School Rep'!$B$2:$B$21, 0))</f>
        <v>Che "Rhymefest" Smith</v>
      </c>
      <c r="M175" s="12">
        <v>3.8</v>
      </c>
      <c r="N175" s="16" t="s">
        <v>617</v>
      </c>
      <c r="O175" s="8" t="str">
        <f t="shared" si="1"/>
        <v>535 E 35th St </v>
      </c>
      <c r="P175" s="12">
        <v>4.0</v>
      </c>
      <c r="Q175" s="13" t="s">
        <v>123</v>
      </c>
    </row>
    <row r="176">
      <c r="A176" s="7">
        <v>609893.0</v>
      </c>
      <c r="B176" s="8" t="s">
        <v>618</v>
      </c>
      <c r="C176" s="18" t="s">
        <v>619</v>
      </c>
      <c r="D176" s="19">
        <v>0.065</v>
      </c>
      <c r="E176" s="18" t="s">
        <v>80</v>
      </c>
      <c r="F176" s="18" t="s">
        <v>138</v>
      </c>
      <c r="G176" s="15" t="s">
        <v>2029</v>
      </c>
      <c r="H176" s="15"/>
      <c r="I176" s="8"/>
      <c r="J176" s="14" t="s">
        <v>139</v>
      </c>
      <c r="K176" s="14">
        <v>8.0</v>
      </c>
      <c r="L176" s="14" t="str">
        <f t="array" ref="L176">INDEX('School Rep'!$A$2:$A$21, MATCH(J176, 'School Rep'!$B$2:$B$21, 0))</f>
        <v>Angel Gutierrez</v>
      </c>
      <c r="M176" s="15">
        <v>2.5</v>
      </c>
      <c r="N176" s="16" t="s">
        <v>620</v>
      </c>
      <c r="O176" s="8" t="str">
        <f t="shared" si="1"/>
        <v>7134 W 65th St </v>
      </c>
      <c r="P176" s="12">
        <v>13.0</v>
      </c>
      <c r="Q176" s="13" t="s">
        <v>250</v>
      </c>
    </row>
    <row r="177">
      <c r="A177" s="7">
        <v>610245.0</v>
      </c>
      <c r="B177" s="12" t="s">
        <v>621</v>
      </c>
      <c r="C177" s="9" t="s">
        <v>622</v>
      </c>
      <c r="D177" s="10">
        <v>0.0</v>
      </c>
      <c r="E177" s="11" t="s">
        <v>80</v>
      </c>
      <c r="F177" s="11" t="s">
        <v>108</v>
      </c>
      <c r="G177" s="15" t="s">
        <v>2026</v>
      </c>
      <c r="H177" s="12">
        <v>90.0</v>
      </c>
      <c r="I177" s="13" t="s">
        <v>248</v>
      </c>
      <c r="J177" s="14" t="s">
        <v>31</v>
      </c>
      <c r="K177" s="14">
        <v>5.0</v>
      </c>
      <c r="L177" s="14" t="str">
        <f t="array" ref="L177">INDEX('School Rep'!$A$2:$A$21, MATCH(J177, 'School Rep'!$B$2:$B$21, 0))</f>
        <v>Aaron "Jitu" Brown</v>
      </c>
      <c r="M177" s="12">
        <v>4.1</v>
      </c>
      <c r="N177" s="16" t="s">
        <v>623</v>
      </c>
      <c r="O177" s="8" t="str">
        <f t="shared" si="1"/>
        <v>543 N Waller Ave </v>
      </c>
      <c r="P177" s="12">
        <v>29.0</v>
      </c>
      <c r="Q177" s="13" t="s">
        <v>33</v>
      </c>
    </row>
    <row r="178">
      <c r="A178" s="7">
        <v>609894.0</v>
      </c>
      <c r="B178" s="8" t="s">
        <v>624</v>
      </c>
      <c r="C178" s="18" t="s">
        <v>625</v>
      </c>
      <c r="D178" s="19">
        <v>0.296</v>
      </c>
      <c r="E178" s="18" t="s">
        <v>80</v>
      </c>
      <c r="F178" s="18" t="s">
        <v>120</v>
      </c>
      <c r="G178" s="15" t="s">
        <v>2028</v>
      </c>
      <c r="H178" s="12">
        <v>76.0</v>
      </c>
      <c r="I178" s="13" t="s">
        <v>52</v>
      </c>
      <c r="J178" s="14" t="s">
        <v>26</v>
      </c>
      <c r="K178" s="14">
        <v>8.0</v>
      </c>
      <c r="L178" s="14" t="str">
        <f t="array" ref="L178">INDEX('School Rep'!$A$2:$A$21, MATCH(J178, 'School Rep'!$B$2:$B$21, 0))</f>
        <v>Cydney Wallace</v>
      </c>
      <c r="M178" s="15">
        <v>3.0</v>
      </c>
      <c r="N178" s="16" t="s">
        <v>626</v>
      </c>
      <c r="O178" s="8" t="str">
        <f t="shared" si="1"/>
        <v>2710 S Dearborn St </v>
      </c>
      <c r="P178" s="12">
        <v>3.0</v>
      </c>
      <c r="Q178" s="13" t="s">
        <v>206</v>
      </c>
    </row>
    <row r="179">
      <c r="A179" s="7">
        <v>609896.0</v>
      </c>
      <c r="B179" s="12" t="s">
        <v>627</v>
      </c>
      <c r="C179" s="17" t="s">
        <v>628</v>
      </c>
      <c r="D179" s="10">
        <v>0.0</v>
      </c>
      <c r="E179" s="11" t="s">
        <v>80</v>
      </c>
      <c r="F179" s="11" t="s">
        <v>301</v>
      </c>
      <c r="G179" s="15" t="s">
        <v>2037</v>
      </c>
      <c r="H179" s="12">
        <v>62.0</v>
      </c>
      <c r="I179" s="13" t="s">
        <v>52</v>
      </c>
      <c r="J179" s="14" t="s">
        <v>103</v>
      </c>
      <c r="K179" s="14">
        <v>4.0</v>
      </c>
      <c r="L179" s="14" t="str">
        <f t="array" ref="L179">INDEX('School Rep'!$A$2:$A$21, MATCH(J179, 'School Rep'!$B$2:$B$21, 0))</f>
        <v>Ellen Rosenfeld</v>
      </c>
      <c r="M179" s="12">
        <v>2.0</v>
      </c>
      <c r="N179" s="16" t="s">
        <v>629</v>
      </c>
      <c r="O179" s="8" t="str">
        <f t="shared" si="1"/>
        <v>1845 W Cortland St </v>
      </c>
      <c r="P179" s="12">
        <v>32.0</v>
      </c>
      <c r="Q179" s="13" t="s">
        <v>110</v>
      </c>
    </row>
    <row r="180">
      <c r="A180" s="7">
        <v>610364.0</v>
      </c>
      <c r="B180" s="13" t="s">
        <v>630</v>
      </c>
      <c r="C180" s="18" t="s">
        <v>631</v>
      </c>
      <c r="D180" s="19">
        <v>0.171</v>
      </c>
      <c r="E180" s="18" t="s">
        <v>80</v>
      </c>
      <c r="F180" s="18" t="s">
        <v>81</v>
      </c>
      <c r="G180" s="15" t="s">
        <v>2022</v>
      </c>
      <c r="H180" s="12">
        <v>55.0</v>
      </c>
      <c r="I180" s="13" t="s">
        <v>20</v>
      </c>
      <c r="J180" s="14" t="s">
        <v>82</v>
      </c>
      <c r="K180" s="14">
        <v>10.0</v>
      </c>
      <c r="L180" s="14" t="str">
        <f t="array" ref="L180">INDEX('School Rep'!$A$2:$A$21, MATCH(J180, 'School Rep'!$B$2:$B$21, 0))</f>
        <v>Olga Bautista</v>
      </c>
      <c r="M180" s="12">
        <v>3.5</v>
      </c>
      <c r="N180" s="16" t="s">
        <v>632</v>
      </c>
      <c r="O180" s="8" t="str">
        <f t="shared" si="1"/>
        <v>330 E 133rd St </v>
      </c>
      <c r="P180" s="12">
        <v>9.0</v>
      </c>
      <c r="Q180" s="13" t="s">
        <v>237</v>
      </c>
    </row>
    <row r="181">
      <c r="A181" s="7">
        <v>610263.0</v>
      </c>
      <c r="B181" s="8" t="s">
        <v>633</v>
      </c>
      <c r="C181" s="18" t="s">
        <v>634</v>
      </c>
      <c r="D181" s="19">
        <v>0.202</v>
      </c>
      <c r="E181" s="18" t="s">
        <v>80</v>
      </c>
      <c r="F181" s="18" t="s">
        <v>120</v>
      </c>
      <c r="G181" s="15" t="s">
        <v>2028</v>
      </c>
      <c r="H181" s="12">
        <v>59.0</v>
      </c>
      <c r="I181" s="13" t="s">
        <v>20</v>
      </c>
      <c r="J181" s="14" t="s">
        <v>204</v>
      </c>
      <c r="K181" s="14">
        <v>6.0</v>
      </c>
      <c r="L181" s="14" t="str">
        <f t="array" ref="L181">INDEX('School Rep'!$A$2:$A$21, MATCH(J181, 'School Rep'!$B$2:$B$21, 0))</f>
        <v>Jessica Biggs</v>
      </c>
      <c r="M181" s="15">
        <v>3.4</v>
      </c>
      <c r="N181" s="16" t="s">
        <v>635</v>
      </c>
      <c r="O181" s="8" t="str">
        <f t="shared" si="1"/>
        <v>6311 S Calumet Ave </v>
      </c>
      <c r="P181" s="12">
        <v>20.0</v>
      </c>
      <c r="Q181" s="13" t="s">
        <v>368</v>
      </c>
    </row>
    <row r="182">
      <c r="A182" s="7">
        <v>609676.0</v>
      </c>
      <c r="B182" s="8" t="s">
        <v>636</v>
      </c>
      <c r="C182" s="9" t="s">
        <v>637</v>
      </c>
      <c r="D182" s="10">
        <v>0.145</v>
      </c>
      <c r="E182" s="11" t="s">
        <v>80</v>
      </c>
      <c r="F182" s="11" t="s">
        <v>263</v>
      </c>
      <c r="G182" s="15" t="s">
        <v>2034</v>
      </c>
      <c r="H182" s="12">
        <v>41.0</v>
      </c>
      <c r="I182" s="13" t="s">
        <v>20</v>
      </c>
      <c r="J182" s="14" t="s">
        <v>204</v>
      </c>
      <c r="K182" s="14">
        <v>6.0</v>
      </c>
      <c r="L182" s="14" t="str">
        <f t="array" ref="L182">INDEX('School Rep'!$A$2:$A$21, MATCH(J182, 'School Rep'!$B$2:$B$21, 0))</f>
        <v>Jessica Biggs</v>
      </c>
      <c r="M182" s="15">
        <v>3.3</v>
      </c>
      <c r="N182" s="16" t="s">
        <v>638</v>
      </c>
      <c r="O182" s="8" t="str">
        <f t="shared" si="1"/>
        <v>3000 S King Dr </v>
      </c>
      <c r="P182" s="12">
        <v>4.0</v>
      </c>
      <c r="Q182" s="13" t="s">
        <v>123</v>
      </c>
    </row>
    <row r="183">
      <c r="A183" s="7">
        <v>610188.0</v>
      </c>
      <c r="B183" s="8" t="s">
        <v>639</v>
      </c>
      <c r="C183" s="18" t="s">
        <v>640</v>
      </c>
      <c r="D183" s="19">
        <v>0.119</v>
      </c>
      <c r="E183" s="18" t="s">
        <v>80</v>
      </c>
      <c r="F183" s="18" t="s">
        <v>81</v>
      </c>
      <c r="G183" s="15" t="s">
        <v>2022</v>
      </c>
      <c r="H183" s="12">
        <v>69.0</v>
      </c>
      <c r="I183" s="13" t="s">
        <v>52</v>
      </c>
      <c r="J183" s="14" t="s">
        <v>178</v>
      </c>
      <c r="K183" s="14">
        <v>9.0</v>
      </c>
      <c r="L183" s="14" t="str">
        <f t="array" ref="L183">INDEX('School Rep'!$A$2:$A$21, MATCH(J183, 'School Rep'!$B$2:$B$21, 0))</f>
        <v>Therese Boyle</v>
      </c>
      <c r="M183" s="15">
        <v>2.8</v>
      </c>
      <c r="N183" s="16" t="s">
        <v>641</v>
      </c>
      <c r="O183" s="8" t="str">
        <f t="shared" si="1"/>
        <v>10845 S Union Ave </v>
      </c>
      <c r="P183" s="12">
        <v>21.0</v>
      </c>
      <c r="Q183" s="13" t="s">
        <v>428</v>
      </c>
    </row>
    <row r="184">
      <c r="A184" s="7">
        <v>610352.0</v>
      </c>
      <c r="B184" s="8" t="s">
        <v>642</v>
      </c>
      <c r="C184" s="18" t="s">
        <v>643</v>
      </c>
      <c r="D184" s="19">
        <v>0.065</v>
      </c>
      <c r="E184" s="18" t="s">
        <v>80</v>
      </c>
      <c r="F184" s="18" t="s">
        <v>138</v>
      </c>
      <c r="G184" s="15" t="s">
        <v>2029</v>
      </c>
      <c r="H184" s="12">
        <v>43.0</v>
      </c>
      <c r="I184" s="13" t="s">
        <v>20</v>
      </c>
      <c r="J184" s="14" t="s">
        <v>139</v>
      </c>
      <c r="K184" s="14">
        <v>8.0</v>
      </c>
      <c r="L184" s="14" t="str">
        <f t="array" ref="L184">INDEX('School Rep'!$A$2:$A$21, MATCH(J184, 'School Rep'!$B$2:$B$21, 0))</f>
        <v>Angel Gutierrez</v>
      </c>
      <c r="M184" s="15">
        <v>2.5</v>
      </c>
      <c r="N184" s="16" t="s">
        <v>644</v>
      </c>
      <c r="O184" s="8" t="str">
        <f t="shared" si="1"/>
        <v>8445 S Kolin Ave </v>
      </c>
      <c r="P184" s="12">
        <v>18.0</v>
      </c>
      <c r="Q184" s="13" t="s">
        <v>141</v>
      </c>
    </row>
    <row r="185">
      <c r="A185" s="7">
        <v>610254.0</v>
      </c>
      <c r="B185" s="8" t="s">
        <v>645</v>
      </c>
      <c r="C185" s="9" t="s">
        <v>646</v>
      </c>
      <c r="D185" s="10">
        <v>0.186</v>
      </c>
      <c r="E185" s="11" t="s">
        <v>80</v>
      </c>
      <c r="F185" s="11" t="s">
        <v>529</v>
      </c>
      <c r="G185" s="15" t="s">
        <v>2039</v>
      </c>
      <c r="H185" s="12">
        <v>22.0</v>
      </c>
      <c r="I185" s="13" t="s">
        <v>41</v>
      </c>
      <c r="J185" s="14" t="s">
        <v>217</v>
      </c>
      <c r="K185" s="14">
        <v>5.0</v>
      </c>
      <c r="L185" s="14" t="str">
        <f t="array" ref="L185">INDEX('School Rep'!$A$2:$A$21, MATCH(J185, 'School Rep'!$B$2:$B$21, 0))</f>
        <v>Michilla Blaise</v>
      </c>
      <c r="M185" s="15">
        <v>3.5</v>
      </c>
      <c r="N185" s="16" t="s">
        <v>647</v>
      </c>
      <c r="O185" s="8" t="str">
        <f t="shared" si="1"/>
        <v>3615 W 16th St </v>
      </c>
      <c r="P185" s="12">
        <v>24.0</v>
      </c>
      <c r="Q185" s="13" t="s">
        <v>517</v>
      </c>
    </row>
    <row r="186">
      <c r="A186" s="7">
        <v>610587.0</v>
      </c>
      <c r="B186" s="8" t="s">
        <v>648</v>
      </c>
      <c r="C186" s="17" t="s">
        <v>649</v>
      </c>
      <c r="D186" s="10">
        <v>0.104</v>
      </c>
      <c r="E186" s="11" t="s">
        <v>80</v>
      </c>
      <c r="F186" s="11" t="s">
        <v>263</v>
      </c>
      <c r="G186" s="15" t="s">
        <v>2034</v>
      </c>
      <c r="H186" s="12">
        <v>43.0</v>
      </c>
      <c r="I186" s="13" t="s">
        <v>20</v>
      </c>
      <c r="J186" s="14" t="s">
        <v>204</v>
      </c>
      <c r="K186" s="14">
        <v>6.0</v>
      </c>
      <c r="L186" s="14" t="str">
        <f t="array" ref="L186">INDEX('School Rep'!$A$2:$A$21, MATCH(J186, 'School Rep'!$B$2:$B$21, 0))</f>
        <v>Jessica Biggs</v>
      </c>
      <c r="M186" s="15">
        <v>3.1</v>
      </c>
      <c r="N186" s="16" t="s">
        <v>650</v>
      </c>
      <c r="O186" s="8" t="str">
        <f t="shared" si="1"/>
        <v>555 E 51St </v>
      </c>
      <c r="P186" s="12">
        <v>20.0</v>
      </c>
      <c r="Q186" s="13" t="s">
        <v>368</v>
      </c>
    </row>
    <row r="187">
      <c r="A187" s="7">
        <v>610316.0</v>
      </c>
      <c r="B187" s="12" t="s">
        <v>651</v>
      </c>
      <c r="C187" s="18" t="s">
        <v>652</v>
      </c>
      <c r="D187" s="19">
        <v>0.0</v>
      </c>
      <c r="E187" s="18" t="s">
        <v>80</v>
      </c>
      <c r="F187" s="18" t="s">
        <v>144</v>
      </c>
      <c r="G187" s="15" t="s">
        <v>2030</v>
      </c>
      <c r="H187" s="12">
        <v>30.0</v>
      </c>
      <c r="I187" s="13" t="s">
        <v>41</v>
      </c>
      <c r="J187" s="14" t="s">
        <v>82</v>
      </c>
      <c r="K187" s="14">
        <v>10.0</v>
      </c>
      <c r="L187" s="14" t="str">
        <f t="array" ref="L187">INDEX('School Rep'!$A$2:$A$21, MATCH(J187, 'School Rep'!$B$2:$B$21, 0))</f>
        <v>Olga Bautista</v>
      </c>
      <c r="M187" s="12">
        <v>3.0</v>
      </c>
      <c r="N187" s="16" t="s">
        <v>653</v>
      </c>
      <c r="O187" s="8" t="str">
        <f t="shared" si="1"/>
        <v>1710 E 93rd St </v>
      </c>
      <c r="P187" s="12">
        <v>8.0</v>
      </c>
      <c r="Q187" s="13" t="s">
        <v>135</v>
      </c>
    </row>
    <row r="188">
      <c r="A188" s="7">
        <v>609897.0</v>
      </c>
      <c r="B188" s="8" t="s">
        <v>654</v>
      </c>
      <c r="C188" s="18" t="s">
        <v>655</v>
      </c>
      <c r="D188" s="19">
        <v>0.086</v>
      </c>
      <c r="E188" s="18" t="s">
        <v>80</v>
      </c>
      <c r="F188" s="18" t="s">
        <v>186</v>
      </c>
      <c r="G188" s="15" t="s">
        <v>2031</v>
      </c>
      <c r="H188" s="12">
        <v>85.0</v>
      </c>
      <c r="I188" s="13" t="s">
        <v>248</v>
      </c>
      <c r="J188" s="14" t="s">
        <v>187</v>
      </c>
      <c r="K188" s="14">
        <v>9.0</v>
      </c>
      <c r="L188" s="14" t="str">
        <f t="array" ref="L188">INDEX('School Rep'!$A$2:$A$21, MATCH(J188, 'School Rep'!$B$2:$B$21, 0))</f>
        <v>Frank Niles Thomas</v>
      </c>
      <c r="M188" s="15">
        <v>4.0</v>
      </c>
      <c r="N188" s="16" t="s">
        <v>656</v>
      </c>
      <c r="O188" s="8" t="str">
        <f t="shared" si="1"/>
        <v>2040 W 62Nd St </v>
      </c>
      <c r="P188" s="12">
        <v>16.0</v>
      </c>
      <c r="Q188" s="13" t="s">
        <v>193</v>
      </c>
    </row>
    <row r="189">
      <c r="A189" s="7">
        <v>609898.0</v>
      </c>
      <c r="B189" s="8" t="s">
        <v>657</v>
      </c>
      <c r="C189" s="18" t="s">
        <v>658</v>
      </c>
      <c r="D189" s="19">
        <v>0.087</v>
      </c>
      <c r="E189" s="18" t="s">
        <v>80</v>
      </c>
      <c r="F189" s="18" t="s">
        <v>138</v>
      </c>
      <c r="G189" s="15" t="s">
        <v>2029</v>
      </c>
      <c r="H189" s="15"/>
      <c r="I189" s="8"/>
      <c r="J189" s="14" t="s">
        <v>26</v>
      </c>
      <c r="K189" s="14">
        <v>8.0</v>
      </c>
      <c r="L189" s="14" t="str">
        <f t="array" ref="L189">INDEX('School Rep'!$A$2:$A$21, MATCH(J189, 'School Rep'!$B$2:$B$21, 0))</f>
        <v>Cydney Wallace</v>
      </c>
      <c r="M189" s="15">
        <v>3.3</v>
      </c>
      <c r="N189" s="16" t="s">
        <v>659</v>
      </c>
      <c r="O189" s="8" t="str">
        <f t="shared" si="1"/>
        <v>3400 W 65th Pl </v>
      </c>
      <c r="P189" s="12">
        <v>14.0</v>
      </c>
      <c r="Q189" s="13" t="s">
        <v>54</v>
      </c>
    </row>
    <row r="190">
      <c r="A190" s="7">
        <v>609899.0</v>
      </c>
      <c r="B190" s="13" t="s">
        <v>660</v>
      </c>
      <c r="C190" s="18" t="s">
        <v>661</v>
      </c>
      <c r="D190" s="19">
        <v>0.041</v>
      </c>
      <c r="E190" s="18" t="s">
        <v>80</v>
      </c>
      <c r="F190" s="18" t="s">
        <v>97</v>
      </c>
      <c r="G190" s="15" t="s">
        <v>2024</v>
      </c>
      <c r="H190" s="12">
        <v>42.0</v>
      </c>
      <c r="I190" s="13" t="s">
        <v>20</v>
      </c>
      <c r="J190" s="14" t="s">
        <v>199</v>
      </c>
      <c r="K190" s="14">
        <v>1.0</v>
      </c>
      <c r="L190" s="14" t="str">
        <f t="array" ref="L190">INDEX('School Rep'!$A$2:$A$21, MATCH(J190, 'School Rep'!$B$2:$B$21, 0))</f>
        <v>Ed Bannon</v>
      </c>
      <c r="M190" s="12">
        <v>1.7</v>
      </c>
      <c r="N190" s="16" t="s">
        <v>662</v>
      </c>
      <c r="O190" s="8" t="str">
        <f t="shared" si="1"/>
        <v>7350 W Pratt Ave </v>
      </c>
      <c r="P190" s="12">
        <v>41.0</v>
      </c>
      <c r="Q190" s="13" t="s">
        <v>201</v>
      </c>
    </row>
    <row r="191">
      <c r="A191" s="7">
        <v>609901.0</v>
      </c>
      <c r="B191" s="13" t="s">
        <v>663</v>
      </c>
      <c r="C191" s="18" t="s">
        <v>664</v>
      </c>
      <c r="D191" s="19">
        <v>0.0</v>
      </c>
      <c r="E191" s="18" t="s">
        <v>80</v>
      </c>
      <c r="F191" s="18" t="s">
        <v>97</v>
      </c>
      <c r="G191" s="15" t="s">
        <v>2024</v>
      </c>
      <c r="H191" s="12">
        <v>48.0</v>
      </c>
      <c r="I191" s="13" t="s">
        <v>20</v>
      </c>
      <c r="J191" s="14" t="s">
        <v>199</v>
      </c>
      <c r="K191" s="14">
        <v>1.0</v>
      </c>
      <c r="L191" s="14" t="str">
        <f t="array" ref="L191">INDEX('School Rep'!$A$2:$A$21, MATCH(J191, 'School Rep'!$B$2:$B$21, 0))</f>
        <v>Ed Bannon</v>
      </c>
      <c r="M191" s="12">
        <v>1.7</v>
      </c>
      <c r="N191" s="16" t="s">
        <v>665</v>
      </c>
      <c r="O191" s="8" t="str">
        <f t="shared" si="1"/>
        <v>6525 N Hiawatha Ave </v>
      </c>
      <c r="P191" s="12">
        <v>45.0</v>
      </c>
      <c r="Q191" s="13" t="s">
        <v>210</v>
      </c>
    </row>
    <row r="192">
      <c r="A192" s="7">
        <v>609794.0</v>
      </c>
      <c r="B192" s="13" t="s">
        <v>666</v>
      </c>
      <c r="C192" s="17" t="s">
        <v>667</v>
      </c>
      <c r="D192" s="10">
        <v>0.0</v>
      </c>
      <c r="E192" s="11" t="s">
        <v>80</v>
      </c>
      <c r="F192" s="11" t="s">
        <v>97</v>
      </c>
      <c r="G192" s="15" t="s">
        <v>2024</v>
      </c>
      <c r="H192" s="12">
        <v>71.0</v>
      </c>
      <c r="I192" s="13" t="s">
        <v>52</v>
      </c>
      <c r="J192" s="14" t="s">
        <v>87</v>
      </c>
      <c r="K192" s="14">
        <v>2.0</v>
      </c>
      <c r="L192" s="14" t="str">
        <f t="array" ref="L192">INDEX('School Rep'!$A$2:$A$21, MATCH(J192, 'School Rep'!$B$2:$B$21, 0))</f>
        <v>Debby Pope</v>
      </c>
      <c r="M192" s="12">
        <v>1.5</v>
      </c>
      <c r="N192" s="16" t="s">
        <v>98</v>
      </c>
      <c r="O192" s="8" t="str">
        <f t="shared" si="1"/>
        <v>4929 N Sawyer Ave </v>
      </c>
      <c r="P192" s="12">
        <v>33.0</v>
      </c>
      <c r="Q192" s="13" t="s">
        <v>99</v>
      </c>
    </row>
    <row r="193">
      <c r="A193" s="7">
        <v>610523.0</v>
      </c>
      <c r="B193" s="13" t="s">
        <v>668</v>
      </c>
      <c r="C193" s="9" t="s">
        <v>669</v>
      </c>
      <c r="D193" s="10">
        <v>0.027</v>
      </c>
      <c r="E193" s="11" t="s">
        <v>80</v>
      </c>
      <c r="F193" s="11" t="s">
        <v>97</v>
      </c>
      <c r="G193" s="15" t="s">
        <v>2024</v>
      </c>
      <c r="H193" s="12">
        <v>38.0</v>
      </c>
      <c r="I193" s="13" t="s">
        <v>41</v>
      </c>
      <c r="J193" s="14" t="s">
        <v>199</v>
      </c>
      <c r="K193" s="14">
        <v>1.0</v>
      </c>
      <c r="L193" s="14" t="str">
        <f t="array" ref="L193">INDEX('School Rep'!$A$2:$A$21, MATCH(J193, 'School Rep'!$B$2:$B$21, 0))</f>
        <v>Ed Bannon</v>
      </c>
      <c r="M193" s="12">
        <v>2.1</v>
      </c>
      <c r="N193" s="16" t="s">
        <v>670</v>
      </c>
      <c r="O193" s="8" t="str">
        <f t="shared" si="1"/>
        <v>6220 N Olcott Ave </v>
      </c>
      <c r="P193" s="12">
        <v>41.0</v>
      </c>
      <c r="Q193" s="13" t="s">
        <v>201</v>
      </c>
    </row>
    <row r="194">
      <c r="A194" s="7">
        <v>609903.0</v>
      </c>
      <c r="B194" s="8" t="s">
        <v>671</v>
      </c>
      <c r="C194" s="18" t="s">
        <v>672</v>
      </c>
      <c r="D194" s="19">
        <v>0.08</v>
      </c>
      <c r="E194" s="18" t="s">
        <v>80</v>
      </c>
      <c r="F194" s="18" t="s">
        <v>285</v>
      </c>
      <c r="G194" s="15" t="s">
        <v>2036</v>
      </c>
      <c r="H194" s="12">
        <v>52.0</v>
      </c>
      <c r="I194" s="13" t="s">
        <v>20</v>
      </c>
      <c r="J194" s="14" t="s">
        <v>21</v>
      </c>
      <c r="K194" s="14">
        <v>7.0</v>
      </c>
      <c r="L194" s="14" t="str">
        <f t="array" ref="L194">INDEX('School Rep'!$A$2:$A$21, MATCH(J194, 'School Rep'!$B$2:$B$21, 0))</f>
        <v>Yesenia Lopez</v>
      </c>
      <c r="M194" s="15">
        <v>3.3</v>
      </c>
      <c r="N194" s="16" t="s">
        <v>673</v>
      </c>
      <c r="O194" s="8" t="str">
        <f t="shared" si="1"/>
        <v>4815 S Karlov Ave </v>
      </c>
      <c r="P194" s="12">
        <v>14.0</v>
      </c>
      <c r="Q194" s="13" t="s">
        <v>54</v>
      </c>
    </row>
    <row r="195">
      <c r="A195" s="7">
        <v>609904.0</v>
      </c>
      <c r="B195" s="12" t="s">
        <v>674</v>
      </c>
      <c r="C195" s="18" t="s">
        <v>675</v>
      </c>
      <c r="D195" s="19">
        <v>0.236</v>
      </c>
      <c r="E195" s="18" t="s">
        <v>80</v>
      </c>
      <c r="F195" s="18" t="s">
        <v>231</v>
      </c>
      <c r="G195" s="15" t="s">
        <v>2033</v>
      </c>
      <c r="H195" s="12">
        <v>54.0</v>
      </c>
      <c r="I195" s="13" t="s">
        <v>20</v>
      </c>
      <c r="J195" s="14" t="s">
        <v>31</v>
      </c>
      <c r="K195" s="14">
        <v>5.0</v>
      </c>
      <c r="L195" s="14" t="str">
        <f t="array" ref="L195">INDEX('School Rep'!$A$2:$A$21, MATCH(J195, 'School Rep'!$B$2:$B$21, 0))</f>
        <v>Aaron "Jitu" Brown</v>
      </c>
      <c r="M195" s="12">
        <v>3.1</v>
      </c>
      <c r="N195" s="16" t="s">
        <v>676</v>
      </c>
      <c r="O195" s="8" t="str">
        <f t="shared" si="1"/>
        <v>243 N Parkside Ave </v>
      </c>
      <c r="P195" s="12">
        <v>29.0</v>
      </c>
      <c r="Q195" s="13" t="s">
        <v>33</v>
      </c>
    </row>
    <row r="196">
      <c r="A196" s="7">
        <v>610592.0</v>
      </c>
      <c r="B196" s="8" t="s">
        <v>677</v>
      </c>
      <c r="C196" s="18" t="s">
        <v>678</v>
      </c>
      <c r="D196" s="19">
        <v>0.251</v>
      </c>
      <c r="E196" s="18" t="s">
        <v>80</v>
      </c>
      <c r="F196" s="18" t="s">
        <v>92</v>
      </c>
      <c r="G196" s="15" t="s">
        <v>2023</v>
      </c>
      <c r="H196" s="12">
        <v>22.0</v>
      </c>
      <c r="I196" s="13" t="s">
        <v>41</v>
      </c>
      <c r="J196" s="14" t="s">
        <v>204</v>
      </c>
      <c r="K196" s="14">
        <v>6.0</v>
      </c>
      <c r="L196" s="14" t="str">
        <f t="array" ref="L196">INDEX('School Rep'!$A$2:$A$21, MATCH(J196, 'School Rep'!$B$2:$B$21, 0))</f>
        <v>Jessica Biggs</v>
      </c>
      <c r="M196" s="15">
        <v>3.9</v>
      </c>
      <c r="N196" s="16" t="s">
        <v>679</v>
      </c>
      <c r="O196" s="8" t="str">
        <f t="shared" si="1"/>
        <v>6835 S Normal </v>
      </c>
      <c r="P196" s="12">
        <v>6.0</v>
      </c>
      <c r="Q196" s="13" t="s">
        <v>306</v>
      </c>
    </row>
    <row r="197">
      <c r="A197" s="7">
        <v>400094.0</v>
      </c>
      <c r="B197" s="13" t="s">
        <v>680</v>
      </c>
      <c r="C197" s="9" t="s">
        <v>681</v>
      </c>
      <c r="D197" s="10">
        <v>0.099</v>
      </c>
      <c r="E197" s="11" t="s">
        <v>19</v>
      </c>
      <c r="F197" s="11" t="s">
        <v>19</v>
      </c>
      <c r="G197" s="15" t="e">
        <v>#N/A</v>
      </c>
      <c r="H197" s="12">
        <v>39.0</v>
      </c>
      <c r="I197" s="13" t="s">
        <v>41</v>
      </c>
      <c r="J197" s="14" t="s">
        <v>121</v>
      </c>
      <c r="K197" s="14">
        <v>10.0</v>
      </c>
      <c r="L197" s="14" t="str">
        <f t="array" ref="L197">INDEX('School Rep'!$A$2:$A$21, MATCH(J197, 'School Rep'!$B$2:$B$21, 0))</f>
        <v>Che "Rhymefest" Smith</v>
      </c>
      <c r="M197" s="12">
        <v>3.8</v>
      </c>
      <c r="N197" s="16" t="s">
        <v>682</v>
      </c>
      <c r="O197" s="8" t="str">
        <f t="shared" si="1"/>
        <v>8255 S Houston Ave </v>
      </c>
      <c r="P197" s="12">
        <v>7.0</v>
      </c>
      <c r="Q197" s="13" t="s">
        <v>260</v>
      </c>
    </row>
    <row r="198">
      <c r="A198" s="7">
        <v>609907.0</v>
      </c>
      <c r="B198" s="8" t="s">
        <v>683</v>
      </c>
      <c r="C198" s="18" t="s">
        <v>684</v>
      </c>
      <c r="D198" s="19">
        <v>0.11</v>
      </c>
      <c r="E198" s="18" t="s">
        <v>80</v>
      </c>
      <c r="F198" s="18" t="s">
        <v>216</v>
      </c>
      <c r="G198" s="15" t="s">
        <v>2032</v>
      </c>
      <c r="H198" s="12">
        <v>32.0</v>
      </c>
      <c r="I198" s="13" t="s">
        <v>41</v>
      </c>
      <c r="J198" s="14" t="s">
        <v>217</v>
      </c>
      <c r="K198" s="14">
        <v>5.0</v>
      </c>
      <c r="L198" s="14" t="str">
        <f t="array" ref="L198">INDEX('School Rep'!$A$2:$A$21, MATCH(J198, 'School Rep'!$B$2:$B$21, 0))</f>
        <v>Michilla Blaise</v>
      </c>
      <c r="M198" s="15">
        <v>3.3</v>
      </c>
      <c r="N198" s="16" t="s">
        <v>685</v>
      </c>
      <c r="O198" s="8" t="str">
        <f t="shared" si="1"/>
        <v>3600 W 5th Ave </v>
      </c>
      <c r="P198" s="12">
        <v>28.0</v>
      </c>
      <c r="Q198" s="13" t="s">
        <v>399</v>
      </c>
    </row>
    <row r="199">
      <c r="A199" s="7">
        <v>400039.0</v>
      </c>
      <c r="B199" s="12" t="s">
        <v>686</v>
      </c>
      <c r="C199" s="9" t="s">
        <v>687</v>
      </c>
      <c r="D199" s="10">
        <v>0.052</v>
      </c>
      <c r="E199" s="11" t="s">
        <v>19</v>
      </c>
      <c r="F199" s="11" t="s">
        <v>19</v>
      </c>
      <c r="G199" s="15" t="e">
        <v>#N/A</v>
      </c>
      <c r="H199" s="12">
        <v>36.0</v>
      </c>
      <c r="I199" s="13" t="s">
        <v>41</v>
      </c>
      <c r="J199" s="14" t="s">
        <v>232</v>
      </c>
      <c r="K199" s="14">
        <v>3.0</v>
      </c>
      <c r="L199" s="14" t="str">
        <f t="array" ref="L199">INDEX('School Rep'!$A$2:$A$21, MATCH(J199, 'School Rep'!$B$2:$B$21, 0))</f>
        <v>Carlos Rivas</v>
      </c>
      <c r="M199" s="12">
        <v>3.2</v>
      </c>
      <c r="N199" s="16" t="s">
        <v>688</v>
      </c>
      <c r="O199" s="8" t="str">
        <f t="shared" si="1"/>
        <v>1405 N Washtenaw Ave </v>
      </c>
      <c r="P199" s="12">
        <v>26.0</v>
      </c>
      <c r="Q199" s="13" t="s">
        <v>378</v>
      </c>
    </row>
    <row r="200">
      <c r="A200" s="7">
        <v>609908.0</v>
      </c>
      <c r="B200" s="8" t="s">
        <v>689</v>
      </c>
      <c r="C200" s="9" t="s">
        <v>690</v>
      </c>
      <c r="D200" s="10">
        <v>0.126</v>
      </c>
      <c r="E200" s="11" t="s">
        <v>80</v>
      </c>
      <c r="F200" s="11" t="s">
        <v>138</v>
      </c>
      <c r="G200" s="15" t="s">
        <v>2029</v>
      </c>
      <c r="H200" s="12">
        <v>50.0</v>
      </c>
      <c r="I200" s="13" t="s">
        <v>20</v>
      </c>
      <c r="J200" s="14" t="s">
        <v>178</v>
      </c>
      <c r="K200" s="14">
        <v>9.0</v>
      </c>
      <c r="L200" s="14" t="str">
        <f t="array" ref="L200">INDEX('School Rep'!$A$2:$A$21, MATCH(J200, 'School Rep'!$B$2:$B$21, 0))</f>
        <v>Therese Boyle</v>
      </c>
      <c r="M200" s="15">
        <v>3.4</v>
      </c>
      <c r="N200" s="16" t="s">
        <v>691</v>
      </c>
      <c r="O200" s="8" t="str">
        <f t="shared" si="1"/>
        <v>1865 W Montvale Ave </v>
      </c>
      <c r="P200" s="12">
        <v>19.0</v>
      </c>
      <c r="Q200" s="13" t="s">
        <v>180</v>
      </c>
    </row>
    <row r="201">
      <c r="A201" s="7">
        <v>609909.0</v>
      </c>
      <c r="B201" s="8" t="s">
        <v>692</v>
      </c>
      <c r="C201" s="9" t="s">
        <v>693</v>
      </c>
      <c r="D201" s="10">
        <v>0.158</v>
      </c>
      <c r="E201" s="11" t="s">
        <v>80</v>
      </c>
      <c r="F201" s="11" t="s">
        <v>126</v>
      </c>
      <c r="G201" s="15" t="e">
        <v>#N/A</v>
      </c>
      <c r="H201" s="12">
        <v>71.0</v>
      </c>
      <c r="I201" s="13" t="s">
        <v>52</v>
      </c>
      <c r="J201" s="14" t="s">
        <v>21</v>
      </c>
      <c r="K201" s="14">
        <v>7.0</v>
      </c>
      <c r="L201" s="14" t="str">
        <f t="array" ref="L201">INDEX('School Rep'!$A$2:$A$21, MATCH(J201, 'School Rep'!$B$2:$B$21, 0))</f>
        <v>Yesenia Lopez</v>
      </c>
      <c r="M201" s="15">
        <v>3.1</v>
      </c>
      <c r="N201" s="16" t="s">
        <v>694</v>
      </c>
      <c r="O201" s="8" t="str">
        <f t="shared" si="1"/>
        <v>3419 S Bell Ave </v>
      </c>
      <c r="P201" s="12">
        <v>12.0</v>
      </c>
      <c r="Q201" s="13" t="s">
        <v>23</v>
      </c>
    </row>
    <row r="202">
      <c r="A202" s="7">
        <v>610319.0</v>
      </c>
      <c r="B202" s="8" t="s">
        <v>695</v>
      </c>
      <c r="C202" s="18" t="s">
        <v>696</v>
      </c>
      <c r="D202" s="19">
        <v>0.076</v>
      </c>
      <c r="E202" s="18" t="s">
        <v>80</v>
      </c>
      <c r="F202" s="18" t="s">
        <v>285</v>
      </c>
      <c r="G202" s="15" t="s">
        <v>2036</v>
      </c>
      <c r="H202" s="12">
        <v>81.0</v>
      </c>
      <c r="I202" s="13" t="s">
        <v>248</v>
      </c>
      <c r="J202" s="14" t="s">
        <v>26</v>
      </c>
      <c r="K202" s="14">
        <v>8.0</v>
      </c>
      <c r="L202" s="14" t="str">
        <f t="array" ref="L202">INDEX('School Rep'!$A$2:$A$21, MATCH(J202, 'School Rep'!$B$2:$B$21, 0))</f>
        <v>Cydney Wallace</v>
      </c>
      <c r="M202" s="15">
        <v>3.1</v>
      </c>
      <c r="N202" s="16" t="s">
        <v>697</v>
      </c>
      <c r="O202" s="8" t="str">
        <f t="shared" si="1"/>
        <v>3537 S Paulina St </v>
      </c>
      <c r="P202" s="12">
        <v>11.0</v>
      </c>
      <c r="Q202" s="13" t="s">
        <v>94</v>
      </c>
    </row>
    <row r="203">
      <c r="A203" s="7">
        <v>610362.0</v>
      </c>
      <c r="B203" s="8" t="s">
        <v>698</v>
      </c>
      <c r="C203" s="18" t="s">
        <v>699</v>
      </c>
      <c r="D203" s="19">
        <v>0.146</v>
      </c>
      <c r="E203" s="18" t="s">
        <v>80</v>
      </c>
      <c r="F203" s="18" t="s">
        <v>186</v>
      </c>
      <c r="G203" s="15" t="s">
        <v>2031</v>
      </c>
      <c r="H203" s="12">
        <v>47.0</v>
      </c>
      <c r="I203" s="13" t="s">
        <v>20</v>
      </c>
      <c r="J203" s="14" t="s">
        <v>178</v>
      </c>
      <c r="K203" s="14">
        <v>9.0</v>
      </c>
      <c r="L203" s="14" t="str">
        <f t="array" ref="L203">INDEX('School Rep'!$A$2:$A$21, MATCH(J203, 'School Rep'!$B$2:$B$21, 0))</f>
        <v>Therese Boyle</v>
      </c>
      <c r="M203" s="15">
        <v>3.3</v>
      </c>
      <c r="N203" s="16" t="s">
        <v>700</v>
      </c>
      <c r="O203" s="8" t="str">
        <f t="shared" si="1"/>
        <v>9811 S Lowe Ave </v>
      </c>
      <c r="P203" s="12">
        <v>9.0</v>
      </c>
      <c r="Q203" s="13" t="s">
        <v>237</v>
      </c>
    </row>
    <row r="204">
      <c r="A204" s="7">
        <v>610565.0</v>
      </c>
      <c r="B204" s="8" t="s">
        <v>701</v>
      </c>
      <c r="C204" s="18" t="s">
        <v>702</v>
      </c>
      <c r="D204" s="19">
        <v>0.0</v>
      </c>
      <c r="E204" s="18" t="s">
        <v>411</v>
      </c>
      <c r="F204" s="18" t="s">
        <v>426</v>
      </c>
      <c r="G204" s="15" t="s">
        <v>2038</v>
      </c>
      <c r="H204" s="12">
        <v>50.0</v>
      </c>
      <c r="I204" s="13" t="s">
        <v>20</v>
      </c>
      <c r="J204" s="14"/>
      <c r="K204" s="14">
        <v>8.0</v>
      </c>
      <c r="L204" s="15" t="s">
        <v>384</v>
      </c>
      <c r="M204" s="15" t="s">
        <v>384</v>
      </c>
      <c r="N204" s="16" t="s">
        <v>703</v>
      </c>
      <c r="O204" s="8" t="str">
        <f t="shared" si="1"/>
        <v>7141 S Morgan </v>
      </c>
      <c r="P204" s="12">
        <v>17.0</v>
      </c>
      <c r="Q204" s="13" t="s">
        <v>189</v>
      </c>
    </row>
    <row r="205">
      <c r="A205" s="7">
        <v>400175.0</v>
      </c>
      <c r="B205" s="8" t="s">
        <v>704</v>
      </c>
      <c r="C205" s="18" t="s">
        <v>705</v>
      </c>
      <c r="D205" s="19">
        <v>0.0</v>
      </c>
      <c r="E205" s="18" t="s">
        <v>411</v>
      </c>
      <c r="F205" s="18" t="s">
        <v>426</v>
      </c>
      <c r="G205" s="15" t="s">
        <v>2038</v>
      </c>
      <c r="H205" s="12">
        <v>54.0</v>
      </c>
      <c r="I205" s="13" t="s">
        <v>20</v>
      </c>
      <c r="J205" s="14"/>
      <c r="K205" s="14">
        <v>3.0</v>
      </c>
      <c r="L205" s="15" t="s">
        <v>384</v>
      </c>
      <c r="M205" s="15" t="s">
        <v>384</v>
      </c>
      <c r="N205" s="16" t="s">
        <v>706</v>
      </c>
      <c r="O205" s="8" t="str">
        <f t="shared" si="1"/>
        <v>7530 S South Shore Dr </v>
      </c>
      <c r="P205" s="12">
        <v>7.0</v>
      </c>
      <c r="Q205" s="13" t="s">
        <v>260</v>
      </c>
    </row>
    <row r="206">
      <c r="A206" s="7">
        <v>400176.0</v>
      </c>
      <c r="B206" s="8" t="s">
        <v>707</v>
      </c>
      <c r="C206" s="18" t="s">
        <v>708</v>
      </c>
      <c r="D206" s="19">
        <v>0.0</v>
      </c>
      <c r="E206" s="18" t="s">
        <v>411</v>
      </c>
      <c r="F206" s="18" t="s">
        <v>426</v>
      </c>
      <c r="G206" s="15" t="s">
        <v>2038</v>
      </c>
      <c r="H206" s="15"/>
      <c r="I206" s="8"/>
      <c r="J206" s="14"/>
      <c r="K206" s="14">
        <v>5.0</v>
      </c>
      <c r="L206" s="15" t="s">
        <v>384</v>
      </c>
      <c r="M206" s="15" t="s">
        <v>384</v>
      </c>
      <c r="N206" s="16" t="s">
        <v>709</v>
      </c>
      <c r="O206" s="8" t="str">
        <f t="shared" si="1"/>
        <v>7050 S Washtenaw Ave </v>
      </c>
      <c r="P206" s="12">
        <v>17.0</v>
      </c>
      <c r="Q206" s="13" t="s">
        <v>189</v>
      </c>
    </row>
    <row r="207">
      <c r="A207" s="7">
        <v>610057.0</v>
      </c>
      <c r="B207" s="8" t="s">
        <v>710</v>
      </c>
      <c r="C207" s="18" t="s">
        <v>711</v>
      </c>
      <c r="D207" s="19">
        <v>0.111</v>
      </c>
      <c r="E207" s="18" t="s">
        <v>80</v>
      </c>
      <c r="F207" s="18" t="s">
        <v>138</v>
      </c>
      <c r="G207" s="15" t="s">
        <v>2029</v>
      </c>
      <c r="H207" s="12">
        <v>35.0</v>
      </c>
      <c r="I207" s="13" t="s">
        <v>41</v>
      </c>
      <c r="J207" s="14" t="s">
        <v>26</v>
      </c>
      <c r="K207" s="14">
        <v>8.0</v>
      </c>
      <c r="L207" s="14" t="str">
        <f t="array" ref="L207">INDEX('School Rep'!$A$2:$A$21, MATCH(J207, 'School Rep'!$B$2:$B$21, 0))</f>
        <v>Cydney Wallace</v>
      </c>
      <c r="M207" s="15">
        <v>3.4</v>
      </c>
      <c r="N207" s="16" t="s">
        <v>712</v>
      </c>
      <c r="O207" s="8" t="str">
        <f t="shared" si="1"/>
        <v>6201 S Fairfield Ave </v>
      </c>
      <c r="P207" s="12">
        <v>16.0</v>
      </c>
      <c r="Q207" s="13" t="s">
        <v>193</v>
      </c>
    </row>
    <row r="208">
      <c r="A208" s="7">
        <v>609910.0</v>
      </c>
      <c r="B208" s="12" t="s">
        <v>713</v>
      </c>
      <c r="C208" s="18" t="s">
        <v>714</v>
      </c>
      <c r="D208" s="19">
        <v>0.095</v>
      </c>
      <c r="E208" s="18" t="s">
        <v>80</v>
      </c>
      <c r="F208" s="18" t="s">
        <v>231</v>
      </c>
      <c r="G208" s="15" t="s">
        <v>2033</v>
      </c>
      <c r="H208" s="12">
        <v>65.0</v>
      </c>
      <c r="I208" s="13" t="s">
        <v>52</v>
      </c>
      <c r="J208" s="14" t="s">
        <v>47</v>
      </c>
      <c r="K208" s="14">
        <v>3.0</v>
      </c>
      <c r="L208" s="14" t="str">
        <f t="array" ref="L208">INDEX('School Rep'!$A$2:$A$21, MATCH(J208, 'School Rep'!$B$2:$B$21, 0))</f>
        <v>Norma Rios-Sierra</v>
      </c>
      <c r="M208" s="12">
        <v>3.0</v>
      </c>
      <c r="N208" s="16" t="s">
        <v>715</v>
      </c>
      <c r="O208" s="8" t="str">
        <f t="shared" si="1"/>
        <v>3020 N Lamon Ave </v>
      </c>
      <c r="P208" s="12">
        <v>31.0</v>
      </c>
      <c r="Q208" s="13" t="s">
        <v>152</v>
      </c>
    </row>
    <row r="209">
      <c r="A209" s="7">
        <v>610055.0</v>
      </c>
      <c r="B209" s="8" t="s">
        <v>716</v>
      </c>
      <c r="C209" s="9" t="s">
        <v>717</v>
      </c>
      <c r="D209" s="10">
        <v>0.269</v>
      </c>
      <c r="E209" s="11" t="s">
        <v>80</v>
      </c>
      <c r="F209" s="11" t="s">
        <v>216</v>
      </c>
      <c r="G209" s="15" t="s">
        <v>2032</v>
      </c>
      <c r="H209" s="12">
        <v>72.0</v>
      </c>
      <c r="I209" s="13" t="s">
        <v>52</v>
      </c>
      <c r="J209" s="14" t="s">
        <v>217</v>
      </c>
      <c r="K209" s="14">
        <v>5.0</v>
      </c>
      <c r="L209" s="14" t="str">
        <f t="array" ref="L209">INDEX('School Rep'!$A$2:$A$21, MATCH(J209, 'School Rep'!$B$2:$B$21, 0))</f>
        <v>Michilla Blaise</v>
      </c>
      <c r="M209" s="15">
        <v>3.7</v>
      </c>
      <c r="N209" s="16" t="s">
        <v>718</v>
      </c>
      <c r="O209" s="8" t="str">
        <f t="shared" si="1"/>
        <v>3250 W Monroe St </v>
      </c>
      <c r="P209" s="12">
        <v>28.0</v>
      </c>
      <c r="Q209" s="13" t="s">
        <v>399</v>
      </c>
    </row>
    <row r="210">
      <c r="A210" s="7">
        <v>609928.0</v>
      </c>
      <c r="B210" s="8" t="s">
        <v>719</v>
      </c>
      <c r="C210" s="20" t="s">
        <v>720</v>
      </c>
      <c r="D210" s="21">
        <v>0.147</v>
      </c>
      <c r="E210" s="20" t="s">
        <v>80</v>
      </c>
      <c r="F210" s="20" t="s">
        <v>120</v>
      </c>
      <c r="G210" s="15" t="s">
        <v>2028</v>
      </c>
      <c r="H210" s="12">
        <v>34.0</v>
      </c>
      <c r="I210" s="13" t="s">
        <v>41</v>
      </c>
      <c r="J210" s="15" t="s">
        <v>384</v>
      </c>
      <c r="K210" s="15" t="s">
        <v>384</v>
      </c>
      <c r="L210" s="15" t="s">
        <v>384</v>
      </c>
      <c r="M210" s="15" t="s">
        <v>384</v>
      </c>
      <c r="N210" s="16" t="s">
        <v>721</v>
      </c>
      <c r="O210" s="8" t="str">
        <f t="shared" si="1"/>
        <v>4214 S St Lawrence Ave </v>
      </c>
      <c r="P210" s="12">
        <v>4.0</v>
      </c>
      <c r="Q210" s="13" t="s">
        <v>123</v>
      </c>
    </row>
    <row r="211">
      <c r="A211" s="7">
        <v>609912.0</v>
      </c>
      <c r="B211" s="13" t="s">
        <v>722</v>
      </c>
      <c r="C211" s="11" t="s">
        <v>723</v>
      </c>
      <c r="D211" s="10">
        <v>0.079</v>
      </c>
      <c r="E211" s="11" t="s">
        <v>80</v>
      </c>
      <c r="F211" s="11" t="s">
        <v>97</v>
      </c>
      <c r="G211" s="15" t="s">
        <v>2024</v>
      </c>
      <c r="H211" s="15"/>
      <c r="I211" s="8"/>
      <c r="J211" s="14" t="s">
        <v>199</v>
      </c>
      <c r="K211" s="14">
        <v>1.0</v>
      </c>
      <c r="L211" s="14" t="str">
        <f t="array" ref="L211">INDEX('School Rep'!$A$2:$A$21, MATCH(J211, 'School Rep'!$B$2:$B$21, 0))</f>
        <v>Ed Bannon</v>
      </c>
      <c r="M211" s="12">
        <v>2.3</v>
      </c>
      <c r="N211" s="16" t="s">
        <v>724</v>
      </c>
      <c r="O211" s="8" t="str">
        <f t="shared" si="1"/>
        <v>5414 N Linder Ave </v>
      </c>
      <c r="P211" s="12">
        <v>45.0</v>
      </c>
      <c r="Q211" s="13" t="s">
        <v>210</v>
      </c>
    </row>
    <row r="212">
      <c r="A212" s="7">
        <v>609704.0</v>
      </c>
      <c r="B212" s="8" t="s">
        <v>725</v>
      </c>
      <c r="C212" s="9" t="s">
        <v>726</v>
      </c>
      <c r="D212" s="10">
        <v>0.191</v>
      </c>
      <c r="E212" s="11" t="s">
        <v>80</v>
      </c>
      <c r="F212" s="11" t="s">
        <v>92</v>
      </c>
      <c r="G212" s="15" t="s">
        <v>2023</v>
      </c>
      <c r="H212" s="12">
        <v>39.0</v>
      </c>
      <c r="I212" s="13" t="s">
        <v>41</v>
      </c>
      <c r="J212" s="14" t="s">
        <v>42</v>
      </c>
      <c r="K212" s="14">
        <v>7.0</v>
      </c>
      <c r="L212" s="14" t="str">
        <f t="array" ref="L212">INDEX('School Rep'!$A$2:$A$21, MATCH(J212, 'School Rep'!$B$2:$B$21, 0))</f>
        <v>Emma Lozano</v>
      </c>
      <c r="M212" s="15">
        <v>3.5</v>
      </c>
      <c r="N212" s="16" t="s">
        <v>727</v>
      </c>
      <c r="O212" s="8" t="str">
        <f t="shared" si="1"/>
        <v>2345 S Christiana Ave </v>
      </c>
      <c r="P212" s="12">
        <v>22.0</v>
      </c>
      <c r="Q212" s="13" t="s">
        <v>353</v>
      </c>
    </row>
    <row r="213">
      <c r="A213" s="7">
        <v>609705.0</v>
      </c>
      <c r="B213" s="8" t="s">
        <v>728</v>
      </c>
      <c r="C213" s="9" t="s">
        <v>729</v>
      </c>
      <c r="D213" s="10">
        <v>0.292</v>
      </c>
      <c r="E213" s="11" t="s">
        <v>80</v>
      </c>
      <c r="F213" s="11" t="s">
        <v>263</v>
      </c>
      <c r="G213" s="15" t="s">
        <v>2034</v>
      </c>
      <c r="H213" s="12">
        <v>36.0</v>
      </c>
      <c r="I213" s="13" t="s">
        <v>41</v>
      </c>
      <c r="J213" s="14" t="s">
        <v>178</v>
      </c>
      <c r="K213" s="14">
        <v>9.0</v>
      </c>
      <c r="L213" s="14" t="str">
        <f t="array" ref="L213">INDEX('School Rep'!$A$2:$A$21, MATCH(J213, 'School Rep'!$B$2:$B$21, 0))</f>
        <v>Therese Boyle</v>
      </c>
      <c r="M213" s="15">
        <v>4.0</v>
      </c>
      <c r="N213" s="16" t="s">
        <v>730</v>
      </c>
      <c r="O213" s="8" t="str">
        <f t="shared" si="1"/>
        <v>11220 S Wallace St </v>
      </c>
      <c r="P213" s="12">
        <v>21.0</v>
      </c>
      <c r="Q213" s="13" t="s">
        <v>428</v>
      </c>
    </row>
    <row r="214">
      <c r="A214" s="7">
        <v>609917.0</v>
      </c>
      <c r="B214" s="8" t="s">
        <v>731</v>
      </c>
      <c r="C214" s="18" t="s">
        <v>732</v>
      </c>
      <c r="D214" s="19">
        <v>0.094</v>
      </c>
      <c r="E214" s="18" t="s">
        <v>80</v>
      </c>
      <c r="F214" s="18" t="s">
        <v>81</v>
      </c>
      <c r="G214" s="15" t="s">
        <v>2022</v>
      </c>
      <c r="H214" s="12">
        <v>51.0</v>
      </c>
      <c r="I214" s="13" t="s">
        <v>20</v>
      </c>
      <c r="J214" s="14" t="s">
        <v>178</v>
      </c>
      <c r="K214" s="14">
        <v>9.0</v>
      </c>
      <c r="L214" s="14" t="str">
        <f t="array" ref="L214">INDEX('School Rep'!$A$2:$A$21, MATCH(J214, 'School Rep'!$B$2:$B$21, 0))</f>
        <v>Therese Boyle</v>
      </c>
      <c r="M214" s="15">
        <v>2.7</v>
      </c>
      <c r="N214" s="16" t="s">
        <v>733</v>
      </c>
      <c r="O214" s="8" t="str">
        <f t="shared" si="1"/>
        <v>10041 S Union Ave </v>
      </c>
      <c r="P214" s="12">
        <v>21.0</v>
      </c>
      <c r="Q214" s="13" t="s">
        <v>428</v>
      </c>
    </row>
    <row r="215">
      <c r="A215" s="7">
        <v>609918.0</v>
      </c>
      <c r="B215" s="13" t="s">
        <v>734</v>
      </c>
      <c r="C215" s="18" t="s">
        <v>735</v>
      </c>
      <c r="D215" s="19">
        <v>0.158</v>
      </c>
      <c r="E215" s="18" t="s">
        <v>80</v>
      </c>
      <c r="F215" s="18" t="s">
        <v>270</v>
      </c>
      <c r="G215" s="15" t="s">
        <v>2035</v>
      </c>
      <c r="H215" s="15"/>
      <c r="I215" s="8"/>
      <c r="J215" s="14" t="s">
        <v>36</v>
      </c>
      <c r="K215" s="14">
        <v>2.0</v>
      </c>
      <c r="L215" s="14" t="str">
        <f t="array" ref="L215">INDEX('School Rep'!$A$2:$A$21, MATCH(J215, 'School Rep'!$B$2:$B$21, 0))</f>
        <v>Ebony DeBerry</v>
      </c>
      <c r="M215" s="12">
        <v>3.2</v>
      </c>
      <c r="N215" s="16" t="s">
        <v>736</v>
      </c>
      <c r="O215" s="8" t="str">
        <f t="shared" si="1"/>
        <v>7019 N Ashland Ave </v>
      </c>
      <c r="P215" s="12">
        <v>49.0</v>
      </c>
      <c r="Q215" s="13" t="s">
        <v>38</v>
      </c>
    </row>
    <row r="216">
      <c r="A216" s="7">
        <v>609967.0</v>
      </c>
      <c r="B216" s="8" t="s">
        <v>737</v>
      </c>
      <c r="C216" s="18" t="s">
        <v>738</v>
      </c>
      <c r="D216" s="19">
        <v>0.197</v>
      </c>
      <c r="E216" s="18" t="s">
        <v>80</v>
      </c>
      <c r="F216" s="18" t="s">
        <v>529</v>
      </c>
      <c r="G216" s="15" t="s">
        <v>2039</v>
      </c>
      <c r="H216" s="12">
        <v>58.0</v>
      </c>
      <c r="I216" s="13" t="s">
        <v>20</v>
      </c>
      <c r="J216" s="14" t="s">
        <v>42</v>
      </c>
      <c r="K216" s="14">
        <v>7.0</v>
      </c>
      <c r="L216" s="14" t="str">
        <f t="array" ref="L216">INDEX('School Rep'!$A$2:$A$21, MATCH(J216, 'School Rep'!$B$2:$B$21, 0))</f>
        <v>Emma Lozano</v>
      </c>
      <c r="M216" s="15">
        <v>3.8</v>
      </c>
      <c r="N216" s="16" t="s">
        <v>739</v>
      </c>
      <c r="O216" s="8" t="str">
        <f t="shared" si="1"/>
        <v>2332 S Western Ave </v>
      </c>
      <c r="P216" s="12">
        <v>25.0</v>
      </c>
      <c r="Q216" s="13" t="s">
        <v>44</v>
      </c>
    </row>
    <row r="217">
      <c r="A217" s="7">
        <v>610595.0</v>
      </c>
      <c r="B217" s="8" t="s">
        <v>740</v>
      </c>
      <c r="C217" s="20" t="s">
        <v>741</v>
      </c>
      <c r="D217" s="21">
        <v>0.0</v>
      </c>
      <c r="E217" s="20" t="s">
        <v>80</v>
      </c>
      <c r="F217" s="20" t="s">
        <v>102</v>
      </c>
      <c r="G217" s="15" t="s">
        <v>2025</v>
      </c>
      <c r="H217" s="15"/>
      <c r="I217" s="8"/>
      <c r="J217" s="15" t="s">
        <v>384</v>
      </c>
      <c r="K217" s="15" t="s">
        <v>384</v>
      </c>
      <c r="L217" s="15" t="s">
        <v>384</v>
      </c>
      <c r="M217" s="15">
        <v>2.2</v>
      </c>
      <c r="N217" s="16" t="s">
        <v>742</v>
      </c>
      <c r="O217" s="8" t="str">
        <f t="shared" si="1"/>
        <v>1840 N Clark St </v>
      </c>
      <c r="P217" s="12">
        <v>43.0</v>
      </c>
      <c r="Q217" s="13" t="s">
        <v>105</v>
      </c>
    </row>
    <row r="218">
      <c r="A218" s="7">
        <v>609919.0</v>
      </c>
      <c r="B218" s="8" t="s">
        <v>743</v>
      </c>
      <c r="C218" s="18" t="s">
        <v>744</v>
      </c>
      <c r="D218" s="19">
        <v>0.203</v>
      </c>
      <c r="E218" s="18" t="s">
        <v>80</v>
      </c>
      <c r="F218" s="18" t="s">
        <v>120</v>
      </c>
      <c r="G218" s="15" t="s">
        <v>2028</v>
      </c>
      <c r="H218" s="12">
        <v>47.0</v>
      </c>
      <c r="I218" s="13" t="s">
        <v>20</v>
      </c>
      <c r="J218" s="14" t="s">
        <v>204</v>
      </c>
      <c r="K218" s="14">
        <v>6.0</v>
      </c>
      <c r="L218" s="14" t="str">
        <f t="array" ref="L218">INDEX('School Rep'!$A$2:$A$21, MATCH(J218, 'School Rep'!$B$2:$B$21, 0))</f>
        <v>Jessica Biggs</v>
      </c>
      <c r="M218" s="15">
        <v>2.8</v>
      </c>
      <c r="N218" s="16" t="s">
        <v>745</v>
      </c>
      <c r="O218" s="8" t="str">
        <f t="shared" si="1"/>
        <v>6020 S Langley Ave </v>
      </c>
      <c r="P218" s="12">
        <v>20.0</v>
      </c>
      <c r="Q218" s="13" t="s">
        <v>368</v>
      </c>
    </row>
    <row r="219">
      <c r="A219" s="7">
        <v>609708.0</v>
      </c>
      <c r="B219" s="13" t="s">
        <v>746</v>
      </c>
      <c r="C219" s="9" t="s">
        <v>747</v>
      </c>
      <c r="D219" s="10">
        <v>0.215</v>
      </c>
      <c r="E219" s="11" t="s">
        <v>80</v>
      </c>
      <c r="F219" s="11" t="s">
        <v>116</v>
      </c>
      <c r="G219" s="15" t="s">
        <v>2027</v>
      </c>
      <c r="H219" s="12">
        <v>23.0</v>
      </c>
      <c r="I219" s="13" t="s">
        <v>41</v>
      </c>
      <c r="J219" s="14" t="s">
        <v>222</v>
      </c>
      <c r="K219" s="14">
        <v>1.0</v>
      </c>
      <c r="L219" s="14" t="str">
        <f t="array" ref="L219">INDEX('School Rep'!$A$2:$A$21, MATCH(J219, 'School Rep'!$B$2:$B$21, 0))</f>
        <v>Jennifer Custer</v>
      </c>
      <c r="M219" s="12">
        <v>2.9</v>
      </c>
      <c r="N219" s="16" t="s">
        <v>748</v>
      </c>
      <c r="O219" s="8" t="str">
        <f t="shared" si="1"/>
        <v>3235 N Leclaire Ave </v>
      </c>
      <c r="P219" s="12">
        <v>31.0</v>
      </c>
      <c r="Q219" s="13" t="s">
        <v>152</v>
      </c>
    </row>
    <row r="220">
      <c r="A220" s="7">
        <v>609924.0</v>
      </c>
      <c r="B220" s="8" t="s">
        <v>749</v>
      </c>
      <c r="C220" s="17" t="s">
        <v>750</v>
      </c>
      <c r="D220" s="10">
        <v>0.137</v>
      </c>
      <c r="E220" s="11" t="s">
        <v>80</v>
      </c>
      <c r="F220" s="11" t="s">
        <v>186</v>
      </c>
      <c r="G220" s="15" t="s">
        <v>2031</v>
      </c>
      <c r="H220" s="12">
        <v>56.0</v>
      </c>
      <c r="I220" s="13" t="s">
        <v>20</v>
      </c>
      <c r="J220" s="14" t="s">
        <v>187</v>
      </c>
      <c r="K220" s="14">
        <v>9.0</v>
      </c>
      <c r="L220" s="14" t="str">
        <f t="array" ref="L220">INDEX('School Rep'!$A$2:$A$21, MATCH(J220, 'School Rep'!$B$2:$B$21, 0))</f>
        <v>Frank Niles Thomas</v>
      </c>
      <c r="M220" s="15">
        <v>3.0</v>
      </c>
      <c r="N220" s="16" t="s">
        <v>751</v>
      </c>
      <c r="O220" s="8" t="str">
        <f t="shared" si="1"/>
        <v>9025 S Throop St </v>
      </c>
      <c r="P220" s="12">
        <v>21.0</v>
      </c>
      <c r="Q220" s="13" t="s">
        <v>428</v>
      </c>
    </row>
    <row r="221">
      <c r="A221" s="7">
        <v>609927.0</v>
      </c>
      <c r="B221" s="8" t="s">
        <v>752</v>
      </c>
      <c r="C221" s="18" t="s">
        <v>753</v>
      </c>
      <c r="D221" s="19">
        <v>0.131</v>
      </c>
      <c r="E221" s="18" t="s">
        <v>80</v>
      </c>
      <c r="F221" s="18" t="s">
        <v>186</v>
      </c>
      <c r="G221" s="15" t="s">
        <v>2031</v>
      </c>
      <c r="H221" s="12">
        <v>49.0</v>
      </c>
      <c r="I221" s="13" t="s">
        <v>20</v>
      </c>
      <c r="J221" s="14" t="s">
        <v>187</v>
      </c>
      <c r="K221" s="14">
        <v>9.0</v>
      </c>
      <c r="L221" s="14" t="str">
        <f t="array" ref="L221">INDEX('School Rep'!$A$2:$A$21, MATCH(J221, 'School Rep'!$B$2:$B$21, 0))</f>
        <v>Frank Niles Thomas</v>
      </c>
      <c r="M221" s="15">
        <v>3.4</v>
      </c>
      <c r="N221" s="16" t="s">
        <v>754</v>
      </c>
      <c r="O221" s="8" t="str">
        <f t="shared" si="1"/>
        <v>8530 S Wood St </v>
      </c>
      <c r="P221" s="12">
        <v>18.0</v>
      </c>
      <c r="Q221" s="13" t="s">
        <v>141</v>
      </c>
    </row>
    <row r="222">
      <c r="A222" s="7">
        <v>609926.0</v>
      </c>
      <c r="B222" s="8" t="s">
        <v>755</v>
      </c>
      <c r="C222" s="18" t="s">
        <v>756</v>
      </c>
      <c r="D222" s="19">
        <v>0.0</v>
      </c>
      <c r="E222" s="18" t="s">
        <v>80</v>
      </c>
      <c r="F222" s="18" t="s">
        <v>102</v>
      </c>
      <c r="G222" s="15" t="s">
        <v>2025</v>
      </c>
      <c r="H222" s="12">
        <v>40.0</v>
      </c>
      <c r="I222" s="13" t="s">
        <v>20</v>
      </c>
      <c r="J222" s="14" t="s">
        <v>462</v>
      </c>
      <c r="K222" s="14">
        <v>6.0</v>
      </c>
      <c r="L222" s="14" t="str">
        <f t="array" ref="L222">INDEX('School Rep'!$A$2:$A$21, MATCH(J222, 'School Rep'!$B$2:$B$21, 0))</f>
        <v>Anusha Thotakura</v>
      </c>
      <c r="M222" s="15">
        <v>2.3</v>
      </c>
      <c r="N222" s="16" t="s">
        <v>757</v>
      </c>
      <c r="O222" s="8" t="str">
        <f t="shared" si="1"/>
        <v>225 W Evergreen Ave </v>
      </c>
      <c r="P222" s="12">
        <v>2.0</v>
      </c>
      <c r="Q222" s="13" t="s">
        <v>758</v>
      </c>
    </row>
    <row r="223">
      <c r="A223" s="7">
        <v>610503.0</v>
      </c>
      <c r="B223" s="12" t="s">
        <v>759</v>
      </c>
      <c r="C223" s="18" t="s">
        <v>760</v>
      </c>
      <c r="D223" s="19">
        <v>0.096</v>
      </c>
      <c r="E223" s="18" t="s">
        <v>80</v>
      </c>
      <c r="F223" s="18" t="s">
        <v>126</v>
      </c>
      <c r="G223" s="15" t="e">
        <v>#N/A</v>
      </c>
      <c r="H223" s="12">
        <v>41.0</v>
      </c>
      <c r="I223" s="13" t="s">
        <v>20</v>
      </c>
      <c r="J223" s="14" t="s">
        <v>217</v>
      </c>
      <c r="K223" s="14">
        <v>5.0</v>
      </c>
      <c r="L223" s="14" t="str">
        <f t="array" ref="L223">INDEX('School Rep'!$A$2:$A$21, MATCH(J223, 'School Rep'!$B$2:$B$21, 0))</f>
        <v>Michilla Blaise</v>
      </c>
      <c r="M223" s="12">
        <v>3.9</v>
      </c>
      <c r="N223" s="16" t="s">
        <v>761</v>
      </c>
      <c r="O223" s="8" t="str">
        <f t="shared" si="1"/>
        <v>4027 W Grenshaw St </v>
      </c>
      <c r="P223" s="12">
        <v>24.0</v>
      </c>
      <c r="Q223" s="13" t="s">
        <v>517</v>
      </c>
    </row>
    <row r="224">
      <c r="A224" s="7">
        <v>609929.0</v>
      </c>
      <c r="B224" s="8" t="s">
        <v>762</v>
      </c>
      <c r="C224" s="18" t="s">
        <v>763</v>
      </c>
      <c r="D224" s="19">
        <v>0.274</v>
      </c>
      <c r="E224" s="18" t="s">
        <v>80</v>
      </c>
      <c r="F224" s="18" t="s">
        <v>285</v>
      </c>
      <c r="G224" s="15" t="s">
        <v>2036</v>
      </c>
      <c r="H224" s="12">
        <v>29.0</v>
      </c>
      <c r="I224" s="13" t="s">
        <v>41</v>
      </c>
      <c r="J224" s="14" t="s">
        <v>187</v>
      </c>
      <c r="K224" s="14">
        <v>9.0</v>
      </c>
      <c r="L224" s="14" t="str">
        <f t="array" ref="L224">INDEX('School Rep'!$A$2:$A$21, MATCH(J224, 'School Rep'!$B$2:$B$21, 0))</f>
        <v>Frank Niles Thomas</v>
      </c>
      <c r="M224" s="15">
        <v>3.6</v>
      </c>
      <c r="N224" s="16" t="s">
        <v>764</v>
      </c>
      <c r="O224" s="8" t="str">
        <f t="shared" si="1"/>
        <v>5300 S Hermitage Ave </v>
      </c>
      <c r="P224" s="12">
        <v>16.0</v>
      </c>
      <c r="Q224" s="13" t="s">
        <v>193</v>
      </c>
    </row>
    <row r="225">
      <c r="A225" s="7">
        <v>609930.0</v>
      </c>
      <c r="B225" s="12" t="s">
        <v>765</v>
      </c>
      <c r="C225" s="18" t="s">
        <v>766</v>
      </c>
      <c r="D225" s="19">
        <v>0.103</v>
      </c>
      <c r="E225" s="18" t="s">
        <v>80</v>
      </c>
      <c r="F225" s="18" t="s">
        <v>102</v>
      </c>
      <c r="G225" s="15" t="s">
        <v>2025</v>
      </c>
      <c r="H225" s="12">
        <v>47.0</v>
      </c>
      <c r="I225" s="13" t="s">
        <v>20</v>
      </c>
      <c r="J225" s="14" t="s">
        <v>232</v>
      </c>
      <c r="K225" s="14">
        <v>3.0</v>
      </c>
      <c r="L225" s="14" t="str">
        <f t="array" ref="L225">INDEX('School Rep'!$A$2:$A$21, MATCH(J225, 'School Rep'!$B$2:$B$21, 0))</f>
        <v>Carlos Rivas</v>
      </c>
      <c r="M225" s="12">
        <v>3.5</v>
      </c>
      <c r="N225" s="16" t="s">
        <v>767</v>
      </c>
      <c r="O225" s="8" t="str">
        <f t="shared" si="1"/>
        <v>2010 N Central Park Ave </v>
      </c>
      <c r="P225" s="12">
        <v>26.0</v>
      </c>
      <c r="Q225" s="13" t="s">
        <v>378</v>
      </c>
    </row>
    <row r="226">
      <c r="A226" s="7">
        <v>609709.0</v>
      </c>
      <c r="B226" s="8" t="s">
        <v>768</v>
      </c>
      <c r="C226" s="9" t="s">
        <v>769</v>
      </c>
      <c r="D226" s="10">
        <v>0.279</v>
      </c>
      <c r="E226" s="11" t="s">
        <v>80</v>
      </c>
      <c r="F226" s="11" t="s">
        <v>92</v>
      </c>
      <c r="G226" s="15" t="s">
        <v>2023</v>
      </c>
      <c r="H226" s="12">
        <v>45.0</v>
      </c>
      <c r="I226" s="13" t="s">
        <v>20</v>
      </c>
      <c r="J226" s="14" t="s">
        <v>26</v>
      </c>
      <c r="K226" s="14">
        <v>8.0</v>
      </c>
      <c r="L226" s="14" t="str">
        <f t="array" ref="L226">INDEX('School Rep'!$A$2:$A$21, MATCH(J226, 'School Rep'!$B$2:$B$21, 0))</f>
        <v>Cydney Wallace</v>
      </c>
      <c r="M226" s="15">
        <v>3.8</v>
      </c>
      <c r="N226" s="16" t="s">
        <v>770</v>
      </c>
      <c r="O226" s="8" t="str">
        <f t="shared" si="1"/>
        <v>5630 S Rockwell St </v>
      </c>
      <c r="P226" s="12">
        <v>15.0</v>
      </c>
      <c r="Q226" s="13" t="s">
        <v>364</v>
      </c>
    </row>
    <row r="227">
      <c r="A227" s="7">
        <v>609933.0</v>
      </c>
      <c r="B227" s="13" t="s">
        <v>771</v>
      </c>
      <c r="C227" s="18" t="s">
        <v>772</v>
      </c>
      <c r="D227" s="19">
        <v>0.311</v>
      </c>
      <c r="E227" s="18" t="s">
        <v>80</v>
      </c>
      <c r="F227" s="18" t="s">
        <v>270</v>
      </c>
      <c r="G227" s="15" t="s">
        <v>2035</v>
      </c>
      <c r="H227" s="12">
        <v>34.0</v>
      </c>
      <c r="I227" s="13" t="s">
        <v>41</v>
      </c>
      <c r="J227" s="14" t="s">
        <v>36</v>
      </c>
      <c r="K227" s="14">
        <v>2.0</v>
      </c>
      <c r="L227" s="14" t="str">
        <f t="array" ref="L227">INDEX('School Rep'!$A$2:$A$21, MATCH(J227, 'School Rep'!$B$2:$B$21, 0))</f>
        <v>Ebony DeBerry</v>
      </c>
      <c r="M227" s="12">
        <v>2.9</v>
      </c>
      <c r="N227" s="16" t="s">
        <v>773</v>
      </c>
      <c r="O227" s="8" t="str">
        <f t="shared" si="1"/>
        <v>1631 W Jonquil Ter </v>
      </c>
      <c r="P227" s="12">
        <v>49.0</v>
      </c>
      <c r="Q227" s="13" t="s">
        <v>38</v>
      </c>
    </row>
    <row r="228">
      <c r="A228" s="7">
        <v>610009.0</v>
      </c>
      <c r="B228" s="8" t="s">
        <v>774</v>
      </c>
      <c r="C228" s="18" t="s">
        <v>775</v>
      </c>
      <c r="D228" s="19">
        <v>0.022</v>
      </c>
      <c r="E228" s="18" t="s">
        <v>80</v>
      </c>
      <c r="F228" s="18" t="s">
        <v>301</v>
      </c>
      <c r="G228" s="15" t="s">
        <v>2037</v>
      </c>
      <c r="H228" s="12">
        <v>69.0</v>
      </c>
      <c r="I228" s="13" t="s">
        <v>52</v>
      </c>
      <c r="J228" s="14" t="s">
        <v>42</v>
      </c>
      <c r="K228" s="14">
        <v>7.0</v>
      </c>
      <c r="L228" s="14" t="str">
        <f t="array" ref="L228">INDEX('School Rep'!$A$2:$A$21, MATCH(J228, 'School Rep'!$B$2:$B$21, 0))</f>
        <v>Emma Lozano</v>
      </c>
      <c r="M228" s="15">
        <v>2.4</v>
      </c>
      <c r="N228" s="16" t="s">
        <v>776</v>
      </c>
      <c r="O228" s="8" t="str">
        <f t="shared" si="1"/>
        <v>820 S Carpenter St </v>
      </c>
      <c r="P228" s="12">
        <v>34.0</v>
      </c>
      <c r="Q228" s="13" t="s">
        <v>444</v>
      </c>
    </row>
    <row r="229">
      <c r="A229" s="7">
        <v>609935.0</v>
      </c>
      <c r="B229" s="13" t="s">
        <v>777</v>
      </c>
      <c r="C229" s="18" t="s">
        <v>778</v>
      </c>
      <c r="D229" s="19">
        <v>0.083</v>
      </c>
      <c r="E229" s="18" t="s">
        <v>80</v>
      </c>
      <c r="F229" s="18" t="s">
        <v>81</v>
      </c>
      <c r="G229" s="15" t="s">
        <v>2022</v>
      </c>
      <c r="H229" s="12">
        <v>62.0</v>
      </c>
      <c r="I229" s="13" t="s">
        <v>52</v>
      </c>
      <c r="J229" s="14" t="s">
        <v>82</v>
      </c>
      <c r="K229" s="14">
        <v>10.0</v>
      </c>
      <c r="L229" s="14" t="str">
        <f t="array" ref="L229">INDEX('School Rep'!$A$2:$A$21, MATCH(J229, 'School Rep'!$B$2:$B$21, 0))</f>
        <v>Olga Bautista</v>
      </c>
      <c r="M229" s="12">
        <v>2.6</v>
      </c>
      <c r="N229" s="16" t="s">
        <v>779</v>
      </c>
      <c r="O229" s="8" t="str">
        <f t="shared" si="1"/>
        <v>10347 S Ewing Ave </v>
      </c>
      <c r="P229" s="12">
        <v>10.0</v>
      </c>
      <c r="Q229" s="13" t="s">
        <v>84</v>
      </c>
    </row>
    <row r="230">
      <c r="A230" s="7">
        <v>610128.0</v>
      </c>
      <c r="B230" s="8" t="s">
        <v>780</v>
      </c>
      <c r="C230" s="18" t="s">
        <v>781</v>
      </c>
      <c r="D230" s="19">
        <v>0.128</v>
      </c>
      <c r="E230" s="18" t="s">
        <v>80</v>
      </c>
      <c r="F230" s="18" t="s">
        <v>81</v>
      </c>
      <c r="G230" s="15" t="s">
        <v>2022</v>
      </c>
      <c r="H230" s="12">
        <v>60.0</v>
      </c>
      <c r="I230" s="13" t="s">
        <v>52</v>
      </c>
      <c r="J230" s="14" t="s">
        <v>178</v>
      </c>
      <c r="K230" s="14">
        <v>9.0</v>
      </c>
      <c r="L230" s="14" t="str">
        <f t="array" ref="L230">INDEX('School Rep'!$A$2:$A$21, MATCH(J230, 'School Rep'!$B$2:$B$21, 0))</f>
        <v>Therese Boyle</v>
      </c>
      <c r="M230" s="15">
        <v>2.4</v>
      </c>
      <c r="N230" s="16" t="s">
        <v>782</v>
      </c>
      <c r="O230" s="8" t="str">
        <f t="shared" si="1"/>
        <v>10309 S Morgan St </v>
      </c>
      <c r="P230" s="12">
        <v>21.0</v>
      </c>
      <c r="Q230" s="13" t="s">
        <v>428</v>
      </c>
    </row>
    <row r="231">
      <c r="A231" s="7">
        <v>609937.0</v>
      </c>
      <c r="B231" s="13" t="s">
        <v>783</v>
      </c>
      <c r="C231" s="18" t="s">
        <v>784</v>
      </c>
      <c r="D231" s="19">
        <v>0.038</v>
      </c>
      <c r="E231" s="18" t="s">
        <v>80</v>
      </c>
      <c r="F231" s="18" t="s">
        <v>97</v>
      </c>
      <c r="G231" s="15" t="s">
        <v>2024</v>
      </c>
      <c r="H231" s="12">
        <v>64.0</v>
      </c>
      <c r="I231" s="13" t="s">
        <v>52</v>
      </c>
      <c r="J231" s="14" t="s">
        <v>199</v>
      </c>
      <c r="K231" s="14">
        <v>1.0</v>
      </c>
      <c r="L231" s="14" t="str">
        <f t="array" ref="L231">INDEX('School Rep'!$A$2:$A$21, MATCH(J231, 'School Rep'!$B$2:$B$21, 0))</f>
        <v>Ed Bannon</v>
      </c>
      <c r="M231" s="12">
        <v>1.6</v>
      </c>
      <c r="N231" s="16" t="s">
        <v>785</v>
      </c>
      <c r="O231" s="8" t="str">
        <f t="shared" si="1"/>
        <v>5225 N Oak Park Ave </v>
      </c>
      <c r="P231" s="12">
        <v>41.0</v>
      </c>
      <c r="Q231" s="13" t="s">
        <v>201</v>
      </c>
    </row>
    <row r="232">
      <c r="A232" s="7">
        <v>609938.0</v>
      </c>
      <c r="B232" s="8" t="s">
        <v>786</v>
      </c>
      <c r="C232" s="18" t="s">
        <v>787</v>
      </c>
      <c r="D232" s="19">
        <v>0.056</v>
      </c>
      <c r="E232" s="18" t="s">
        <v>80</v>
      </c>
      <c r="F232" s="18" t="s">
        <v>529</v>
      </c>
      <c r="G232" s="15" t="s">
        <v>2039</v>
      </c>
      <c r="H232" s="12">
        <v>43.0</v>
      </c>
      <c r="I232" s="13" t="s">
        <v>20</v>
      </c>
      <c r="J232" s="14" t="s">
        <v>42</v>
      </c>
      <c r="K232" s="14">
        <v>7.0</v>
      </c>
      <c r="L232" s="14" t="str">
        <f t="array" ref="L232">INDEX('School Rep'!$A$2:$A$21, MATCH(J232, 'School Rep'!$B$2:$B$21, 0))</f>
        <v>Emma Lozano</v>
      </c>
      <c r="M232" s="15">
        <v>3.4</v>
      </c>
      <c r="N232" s="16" t="s">
        <v>788</v>
      </c>
      <c r="O232" s="8" t="str">
        <f t="shared" si="1"/>
        <v>3740 W 31st St </v>
      </c>
      <c r="P232" s="12">
        <v>22.0</v>
      </c>
      <c r="Q232" s="13" t="s">
        <v>353</v>
      </c>
    </row>
    <row r="233">
      <c r="A233" s="7">
        <v>609939.0</v>
      </c>
      <c r="B233" s="8" t="s">
        <v>789</v>
      </c>
      <c r="C233" s="18" t="s">
        <v>790</v>
      </c>
      <c r="D233" s="19">
        <v>0.231</v>
      </c>
      <c r="E233" s="18" t="s">
        <v>80</v>
      </c>
      <c r="F233" s="18" t="s">
        <v>144</v>
      </c>
      <c r="G233" s="15" t="s">
        <v>2030</v>
      </c>
      <c r="H233" s="12">
        <v>36.0</v>
      </c>
      <c r="I233" s="13" t="s">
        <v>41</v>
      </c>
      <c r="J233" s="14" t="s">
        <v>178</v>
      </c>
      <c r="K233" s="14">
        <v>9.0</v>
      </c>
      <c r="L233" s="14" t="str">
        <f t="array" ref="L233">INDEX('School Rep'!$A$2:$A$21, MATCH(J233, 'School Rep'!$B$2:$B$21, 0))</f>
        <v>Therese Boyle</v>
      </c>
      <c r="M233" s="15">
        <v>3.5</v>
      </c>
      <c r="N233" s="16" t="s">
        <v>791</v>
      </c>
      <c r="O233" s="8" t="str">
        <f t="shared" si="1"/>
        <v>9301 S State St </v>
      </c>
      <c r="P233" s="12">
        <v>6.0</v>
      </c>
      <c r="Q233" s="13" t="s">
        <v>306</v>
      </c>
    </row>
    <row r="234">
      <c r="A234" s="7">
        <v>609863.0</v>
      </c>
      <c r="B234" s="8" t="s">
        <v>792</v>
      </c>
      <c r="C234" s="20" t="s">
        <v>793</v>
      </c>
      <c r="D234" s="21">
        <v>0.139</v>
      </c>
      <c r="E234" s="20" t="s">
        <v>80</v>
      </c>
      <c r="F234" s="20" t="s">
        <v>126</v>
      </c>
      <c r="G234" s="15" t="e">
        <v>#N/A</v>
      </c>
      <c r="H234" s="12">
        <v>30.0</v>
      </c>
      <c r="I234" s="13" t="s">
        <v>41</v>
      </c>
      <c r="J234" s="15" t="s">
        <v>384</v>
      </c>
      <c r="K234" s="15" t="s">
        <v>384</v>
      </c>
      <c r="L234" s="15" t="s">
        <v>384</v>
      </c>
      <c r="M234" s="15" t="s">
        <v>384</v>
      </c>
      <c r="N234" s="16" t="s">
        <v>794</v>
      </c>
      <c r="O234" s="8" t="str">
        <f t="shared" si="1"/>
        <v>1003 N Leavitt St </v>
      </c>
      <c r="P234" s="12">
        <v>1.0</v>
      </c>
      <c r="Q234" s="13" t="s">
        <v>275</v>
      </c>
    </row>
    <row r="235">
      <c r="A235" s="7">
        <v>400009.0</v>
      </c>
      <c r="B235" s="8" t="s">
        <v>795</v>
      </c>
      <c r="C235" s="9" t="s">
        <v>796</v>
      </c>
      <c r="D235" s="10">
        <v>0.0</v>
      </c>
      <c r="E235" s="11" t="s">
        <v>19</v>
      </c>
      <c r="F235" s="11" t="s">
        <v>19</v>
      </c>
      <c r="G235" s="15" t="e">
        <v>#N/A</v>
      </c>
      <c r="H235" s="12">
        <v>61.0</v>
      </c>
      <c r="I235" s="13" t="s">
        <v>52</v>
      </c>
      <c r="J235" s="14" t="s">
        <v>42</v>
      </c>
      <c r="K235" s="14">
        <v>7.0</v>
      </c>
      <c r="L235" s="14" t="str">
        <f t="array" ref="L235">INDEX('School Rep'!$A$2:$A$21, MATCH(J235, 'School Rep'!$B$2:$B$21, 0))</f>
        <v>Emma Lozano</v>
      </c>
      <c r="M235" s="15">
        <v>3.0</v>
      </c>
      <c r="N235" s="16" t="s">
        <v>797</v>
      </c>
      <c r="O235" s="8" t="str">
        <f t="shared" si="1"/>
        <v>4647 W 47th St </v>
      </c>
      <c r="P235" s="12">
        <v>22.0</v>
      </c>
      <c r="Q235" s="13" t="s">
        <v>353</v>
      </c>
    </row>
    <row r="236">
      <c r="A236" s="7">
        <v>609942.0</v>
      </c>
      <c r="B236" s="12" t="s">
        <v>798</v>
      </c>
      <c r="C236" s="18" t="s">
        <v>799</v>
      </c>
      <c r="D236" s="19">
        <v>0.047</v>
      </c>
      <c r="E236" s="18" t="s">
        <v>80</v>
      </c>
      <c r="F236" s="18" t="s">
        <v>102</v>
      </c>
      <c r="G236" s="15" t="s">
        <v>2025</v>
      </c>
      <c r="H236" s="12">
        <v>49.0</v>
      </c>
      <c r="I236" s="13" t="s">
        <v>20</v>
      </c>
      <c r="J236" s="14" t="s">
        <v>232</v>
      </c>
      <c r="K236" s="14">
        <v>3.0</v>
      </c>
      <c r="L236" s="14" t="str">
        <f t="array" ref="L236">INDEX('School Rep'!$A$2:$A$21, MATCH(J236, 'School Rep'!$B$2:$B$21, 0))</f>
        <v>Carlos Rivas</v>
      </c>
      <c r="M236" s="12">
        <v>2.4</v>
      </c>
      <c r="N236" s="16" t="s">
        <v>800</v>
      </c>
      <c r="O236" s="8" t="str">
        <f t="shared" si="1"/>
        <v>2236 N Rockwell St </v>
      </c>
      <c r="P236" s="12">
        <v>1.0</v>
      </c>
      <c r="Q236" s="13" t="s">
        <v>275</v>
      </c>
    </row>
    <row r="237">
      <c r="A237" s="7">
        <v>610558.0</v>
      </c>
      <c r="B237" s="8" t="s">
        <v>801</v>
      </c>
      <c r="C237" s="17" t="s">
        <v>802</v>
      </c>
      <c r="D237" s="10">
        <v>0.047</v>
      </c>
      <c r="E237" s="11" t="s">
        <v>80</v>
      </c>
      <c r="F237" s="11" t="s">
        <v>92</v>
      </c>
      <c r="G237" s="15" t="s">
        <v>2023</v>
      </c>
      <c r="H237" s="12">
        <v>52.0</v>
      </c>
      <c r="I237" s="13" t="s">
        <v>20</v>
      </c>
      <c r="J237" s="14" t="s">
        <v>139</v>
      </c>
      <c r="K237" s="14">
        <v>8.0</v>
      </c>
      <c r="L237" s="14" t="str">
        <f t="array" ref="L237">INDEX('School Rep'!$A$2:$A$21, MATCH(J237, 'School Rep'!$B$2:$B$21, 0))</f>
        <v>Angel Gutierrez</v>
      </c>
      <c r="M237" s="15">
        <v>3.0</v>
      </c>
      <c r="N237" s="16" t="s">
        <v>803</v>
      </c>
      <c r="O237" s="8" t="str">
        <f t="shared" si="1"/>
        <v>7651 S Homan Ave </v>
      </c>
      <c r="P237" s="12">
        <v>18.0</v>
      </c>
      <c r="Q237" s="13" t="s">
        <v>141</v>
      </c>
    </row>
    <row r="238">
      <c r="A238" s="7">
        <v>609945.0</v>
      </c>
      <c r="B238" s="12" t="s">
        <v>804</v>
      </c>
      <c r="C238" s="18" t="s">
        <v>805</v>
      </c>
      <c r="D238" s="19">
        <v>0.118</v>
      </c>
      <c r="E238" s="18" t="s">
        <v>80</v>
      </c>
      <c r="F238" s="18" t="s">
        <v>270</v>
      </c>
      <c r="G238" s="15" t="s">
        <v>2035</v>
      </c>
      <c r="H238" s="12">
        <v>70.0</v>
      </c>
      <c r="I238" s="13" t="s">
        <v>52</v>
      </c>
      <c r="J238" s="14" t="s">
        <v>243</v>
      </c>
      <c r="K238" s="14">
        <v>4.0</v>
      </c>
      <c r="L238" s="14" t="str">
        <f t="array" ref="L238">INDEX('School Rep'!$A$2:$A$21, MATCH(J238, 'School Rep'!$B$2:$B$21, 0))</f>
        <v>Karen Zaccor</v>
      </c>
      <c r="M238" s="12">
        <v>2.7</v>
      </c>
      <c r="N238" s="16" t="s">
        <v>806</v>
      </c>
      <c r="O238" s="8" t="str">
        <f t="shared" si="1"/>
        <v>5120 N Winthrop Ave </v>
      </c>
      <c r="P238" s="12">
        <v>48.0</v>
      </c>
      <c r="Q238" s="13" t="s">
        <v>807</v>
      </c>
    </row>
    <row r="239">
      <c r="A239" s="7">
        <v>609947.0</v>
      </c>
      <c r="B239" s="8" t="s">
        <v>808</v>
      </c>
      <c r="C239" s="18" t="s">
        <v>809</v>
      </c>
      <c r="D239" s="19">
        <v>0.121</v>
      </c>
      <c r="E239" s="18" t="s">
        <v>80</v>
      </c>
      <c r="F239" s="18" t="s">
        <v>301</v>
      </c>
      <c r="G239" s="15" t="s">
        <v>2037</v>
      </c>
      <c r="H239" s="12">
        <v>51.0</v>
      </c>
      <c r="I239" s="13" t="s">
        <v>20</v>
      </c>
      <c r="J239" s="14" t="s">
        <v>187</v>
      </c>
      <c r="K239" s="14">
        <v>9.0</v>
      </c>
      <c r="L239" s="14" t="str">
        <f t="array" ref="L239">INDEX('School Rep'!$A$2:$A$21, MATCH(J239, 'School Rep'!$B$2:$B$21, 0))</f>
        <v>Frank Niles Thomas</v>
      </c>
      <c r="M239" s="15">
        <v>3.3</v>
      </c>
      <c r="N239" s="16" t="s">
        <v>810</v>
      </c>
      <c r="O239" s="8" t="str">
        <f t="shared" si="1"/>
        <v>4436 S Union Ave </v>
      </c>
      <c r="P239" s="12">
        <v>15.0</v>
      </c>
      <c r="Q239" s="13" t="s">
        <v>364</v>
      </c>
    </row>
    <row r="240">
      <c r="A240" s="7">
        <v>609769.0</v>
      </c>
      <c r="B240" s="8" t="s">
        <v>811</v>
      </c>
      <c r="C240" s="9" t="s">
        <v>812</v>
      </c>
      <c r="D240" s="10">
        <v>0.0</v>
      </c>
      <c r="E240" s="11" t="s">
        <v>80</v>
      </c>
      <c r="F240" s="11" t="s">
        <v>116</v>
      </c>
      <c r="G240" s="15" t="s">
        <v>2027</v>
      </c>
      <c r="H240" s="12">
        <v>65.0</v>
      </c>
      <c r="I240" s="13" t="s">
        <v>52</v>
      </c>
      <c r="J240" s="15" t="s">
        <v>384</v>
      </c>
      <c r="K240" s="15" t="s">
        <v>384</v>
      </c>
      <c r="L240" s="15" t="s">
        <v>384</v>
      </c>
      <c r="M240" s="15" t="s">
        <v>384</v>
      </c>
      <c r="N240" s="16" t="s">
        <v>813</v>
      </c>
      <c r="O240" s="8" t="str">
        <f t="shared" si="1"/>
        <v>2347 S Wabash Ave </v>
      </c>
      <c r="P240" s="12">
        <v>3.0</v>
      </c>
      <c r="Q240" s="13" t="s">
        <v>206</v>
      </c>
    </row>
    <row r="241">
      <c r="A241" s="7">
        <v>609949.0</v>
      </c>
      <c r="B241" s="13" t="s">
        <v>814</v>
      </c>
      <c r="C241" s="18" t="s">
        <v>815</v>
      </c>
      <c r="D241" s="19">
        <v>0.093</v>
      </c>
      <c r="E241" s="18" t="s">
        <v>80</v>
      </c>
      <c r="F241" s="18" t="s">
        <v>97</v>
      </c>
      <c r="G241" s="15" t="s">
        <v>2024</v>
      </c>
      <c r="H241" s="12">
        <v>81.0</v>
      </c>
      <c r="I241" s="13" t="s">
        <v>248</v>
      </c>
      <c r="J241" s="14" t="s">
        <v>222</v>
      </c>
      <c r="K241" s="14">
        <v>1.0</v>
      </c>
      <c r="L241" s="14" t="str">
        <f t="array" ref="L241">INDEX('School Rep'!$A$2:$A$21, MATCH(J241, 'School Rep'!$B$2:$B$21, 0))</f>
        <v>Jennifer Custer</v>
      </c>
      <c r="M241" s="12">
        <v>2.4</v>
      </c>
      <c r="N241" s="16" t="s">
        <v>816</v>
      </c>
      <c r="O241" s="8" t="str">
        <f t="shared" si="1"/>
        <v>3730 N Laramie Ave </v>
      </c>
      <c r="P241" s="12">
        <v>30.0</v>
      </c>
      <c r="Q241" s="13" t="s">
        <v>346</v>
      </c>
    </row>
    <row r="242">
      <c r="A242" s="7">
        <v>400168.0</v>
      </c>
      <c r="B242" s="13" t="s">
        <v>817</v>
      </c>
      <c r="C242" s="17" t="s">
        <v>818</v>
      </c>
      <c r="D242" s="10">
        <v>0.064</v>
      </c>
      <c r="E242" s="11" t="s">
        <v>19</v>
      </c>
      <c r="F242" s="11" t="s">
        <v>19</v>
      </c>
      <c r="G242" s="15" t="e">
        <v>#N/A</v>
      </c>
      <c r="H242" s="12">
        <v>35.0</v>
      </c>
      <c r="I242" s="13" t="s">
        <v>41</v>
      </c>
      <c r="J242" s="14" t="s">
        <v>82</v>
      </c>
      <c r="K242" s="14">
        <v>10.0</v>
      </c>
      <c r="L242" s="14" t="str">
        <f t="array" ref="L242">INDEX('School Rep'!$A$2:$A$21, MATCH(J242, 'School Rep'!$B$2:$B$21, 0))</f>
        <v>Olga Bautista</v>
      </c>
      <c r="M242" s="12">
        <v>3.3</v>
      </c>
      <c r="N242" s="16" t="s">
        <v>819</v>
      </c>
      <c r="O242" s="8" t="str">
        <f t="shared" si="1"/>
        <v>8401 S Saginaw Ave </v>
      </c>
      <c r="P242" s="12">
        <v>7.0</v>
      </c>
      <c r="Q242" s="13" t="s">
        <v>260</v>
      </c>
    </row>
    <row r="243">
      <c r="A243" s="7">
        <v>609850.0</v>
      </c>
      <c r="B243" s="12" t="s">
        <v>820</v>
      </c>
      <c r="C243" s="18" t="s">
        <v>821</v>
      </c>
      <c r="D243" s="19">
        <v>0.077</v>
      </c>
      <c r="E243" s="18" t="s">
        <v>80</v>
      </c>
      <c r="F243" s="18" t="s">
        <v>102</v>
      </c>
      <c r="G243" s="15" t="s">
        <v>2025</v>
      </c>
      <c r="H243" s="12">
        <v>62.0</v>
      </c>
      <c r="I243" s="13" t="s">
        <v>52</v>
      </c>
      <c r="J243" s="14" t="s">
        <v>243</v>
      </c>
      <c r="K243" s="14">
        <v>4.0</v>
      </c>
      <c r="L243" s="14" t="str">
        <f t="array" ref="L243">INDEX('School Rep'!$A$2:$A$21, MATCH(J243, 'School Rep'!$B$2:$B$21, 0))</f>
        <v>Karen Zaccor</v>
      </c>
      <c r="M243" s="12">
        <v>2.4</v>
      </c>
      <c r="N243" s="16" t="s">
        <v>822</v>
      </c>
      <c r="O243" s="8" t="str">
        <f t="shared" si="1"/>
        <v>832 W Sheridan Rd </v>
      </c>
      <c r="P243" s="12">
        <v>46.0</v>
      </c>
      <c r="Q243" s="13" t="s">
        <v>245</v>
      </c>
    </row>
    <row r="244">
      <c r="A244" s="7">
        <v>610032.0</v>
      </c>
      <c r="B244" s="8" t="s">
        <v>823</v>
      </c>
      <c r="C244" s="18" t="s">
        <v>824</v>
      </c>
      <c r="D244" s="19">
        <v>0.085</v>
      </c>
      <c r="E244" s="18" t="s">
        <v>80</v>
      </c>
      <c r="F244" s="18" t="s">
        <v>186</v>
      </c>
      <c r="G244" s="15" t="s">
        <v>2031</v>
      </c>
      <c r="H244" s="12">
        <v>60.0</v>
      </c>
      <c r="I244" s="13" t="s">
        <v>52</v>
      </c>
      <c r="J244" s="14" t="s">
        <v>178</v>
      </c>
      <c r="K244" s="14">
        <v>9.0</v>
      </c>
      <c r="L244" s="14" t="str">
        <f t="array" ref="L244">INDEX('School Rep'!$A$2:$A$21, MATCH(J244, 'School Rep'!$B$2:$B$21, 0))</f>
        <v>Therese Boyle</v>
      </c>
      <c r="M244" s="15">
        <v>3.4</v>
      </c>
      <c r="N244" s="16" t="s">
        <v>825</v>
      </c>
      <c r="O244" s="8" t="str">
        <f t="shared" si="1"/>
        <v>1150 W 96th St </v>
      </c>
      <c r="P244" s="12">
        <v>21.0</v>
      </c>
      <c r="Q244" s="13" t="s">
        <v>428</v>
      </c>
    </row>
    <row r="245">
      <c r="A245" s="7">
        <v>609952.0</v>
      </c>
      <c r="B245" s="8" t="s">
        <v>826</v>
      </c>
      <c r="C245" s="18" t="s">
        <v>827</v>
      </c>
      <c r="D245" s="19">
        <v>0.065</v>
      </c>
      <c r="E245" s="18" t="s">
        <v>80</v>
      </c>
      <c r="F245" s="18" t="s">
        <v>285</v>
      </c>
      <c r="G245" s="15" t="s">
        <v>2036</v>
      </c>
      <c r="H245" s="12">
        <v>76.0</v>
      </c>
      <c r="I245" s="13" t="s">
        <v>52</v>
      </c>
      <c r="J245" s="14" t="s">
        <v>26</v>
      </c>
      <c r="K245" s="14">
        <v>8.0</v>
      </c>
      <c r="L245" s="14" t="str">
        <f t="array" ref="L245">INDEX('School Rep'!$A$2:$A$21, MATCH(J245, 'School Rep'!$B$2:$B$21, 0))</f>
        <v>Cydney Wallace</v>
      </c>
      <c r="M245" s="15">
        <v>2.8</v>
      </c>
      <c r="N245" s="16" t="s">
        <v>828</v>
      </c>
      <c r="O245" s="8" t="str">
        <f t="shared" si="1"/>
        <v>3525 S Honore St </v>
      </c>
      <c r="P245" s="12">
        <v>12.0</v>
      </c>
      <c r="Q245" s="13" t="s">
        <v>23</v>
      </c>
    </row>
    <row r="246">
      <c r="A246" s="7">
        <v>609954.0</v>
      </c>
      <c r="B246" s="8" t="s">
        <v>829</v>
      </c>
      <c r="C246" s="18" t="s">
        <v>830</v>
      </c>
      <c r="D246" s="19">
        <v>0.249</v>
      </c>
      <c r="E246" s="18" t="s">
        <v>80</v>
      </c>
      <c r="F246" s="18" t="s">
        <v>216</v>
      </c>
      <c r="G246" s="15" t="s">
        <v>2032</v>
      </c>
      <c r="H246" s="12">
        <v>57.0</v>
      </c>
      <c r="I246" s="13" t="s">
        <v>20</v>
      </c>
      <c r="J246" s="14" t="s">
        <v>217</v>
      </c>
      <c r="K246" s="14">
        <v>5.0</v>
      </c>
      <c r="L246" s="14" t="str">
        <f t="array" ref="L246">INDEX('School Rep'!$A$2:$A$21, MATCH(J246, 'School Rep'!$B$2:$B$21, 0))</f>
        <v>Michilla Blaise</v>
      </c>
      <c r="M246" s="15">
        <v>3.5</v>
      </c>
      <c r="N246" s="16" t="s">
        <v>831</v>
      </c>
      <c r="O246" s="8" t="str">
        <f t="shared" si="1"/>
        <v>3715 W Polk St </v>
      </c>
      <c r="P246" s="12">
        <v>24.0</v>
      </c>
      <c r="Q246" s="13" t="s">
        <v>517</v>
      </c>
    </row>
    <row r="247">
      <c r="A247" s="7">
        <v>609955.0</v>
      </c>
      <c r="B247" s="8" t="s">
        <v>832</v>
      </c>
      <c r="C247" s="9" t="s">
        <v>833</v>
      </c>
      <c r="D247" s="10">
        <v>0.173</v>
      </c>
      <c r="E247" s="11" t="s">
        <v>80</v>
      </c>
      <c r="F247" s="11" t="s">
        <v>186</v>
      </c>
      <c r="G247" s="15" t="s">
        <v>2031</v>
      </c>
      <c r="H247" s="12">
        <v>66.0</v>
      </c>
      <c r="I247" s="13" t="s">
        <v>52</v>
      </c>
      <c r="J247" s="14" t="s">
        <v>187</v>
      </c>
      <c r="K247" s="14">
        <v>9.0</v>
      </c>
      <c r="L247" s="14" t="str">
        <f t="array" ref="L247">INDEX('School Rep'!$A$2:$A$21, MATCH(J247, 'School Rep'!$B$2:$B$21, 0))</f>
        <v>Frank Niles Thomas</v>
      </c>
      <c r="M247" s="15">
        <v>3.6</v>
      </c>
      <c r="N247" s="16" t="s">
        <v>834</v>
      </c>
      <c r="O247" s="8" t="str">
        <f t="shared" si="1"/>
        <v>8524 S Green St </v>
      </c>
      <c r="P247" s="12">
        <v>17.0</v>
      </c>
      <c r="Q247" s="13" t="s">
        <v>189</v>
      </c>
    </row>
    <row r="248">
      <c r="A248" s="7">
        <v>609956.0</v>
      </c>
      <c r="B248" s="8" t="s">
        <v>835</v>
      </c>
      <c r="C248" s="18" t="s">
        <v>836</v>
      </c>
      <c r="D248" s="19">
        <v>0.073</v>
      </c>
      <c r="E248" s="18" t="s">
        <v>80</v>
      </c>
      <c r="F248" s="18" t="s">
        <v>138</v>
      </c>
      <c r="G248" s="15" t="s">
        <v>2029</v>
      </c>
      <c r="H248" s="12">
        <v>57.0</v>
      </c>
      <c r="I248" s="13" t="s">
        <v>20</v>
      </c>
      <c r="J248" s="14" t="s">
        <v>139</v>
      </c>
      <c r="K248" s="14">
        <v>8.0</v>
      </c>
      <c r="L248" s="14" t="str">
        <f t="array" ref="L248">INDEX('School Rep'!$A$2:$A$21, MATCH(J248, 'School Rep'!$B$2:$B$21, 0))</f>
        <v>Angel Gutierrez</v>
      </c>
      <c r="M248" s="15">
        <v>2.8</v>
      </c>
      <c r="N248" s="16" t="s">
        <v>837</v>
      </c>
      <c r="O248" s="8" t="str">
        <f t="shared" si="1"/>
        <v>5450 W 64th Pl </v>
      </c>
      <c r="P248" s="12">
        <v>13.0</v>
      </c>
      <c r="Q248" s="13" t="s">
        <v>250</v>
      </c>
    </row>
    <row r="249">
      <c r="A249" s="7">
        <v>609944.0</v>
      </c>
      <c r="B249" s="13" t="s">
        <v>838</v>
      </c>
      <c r="C249" s="18" t="s">
        <v>839</v>
      </c>
      <c r="D249" s="19">
        <v>0.1</v>
      </c>
      <c r="E249" s="18" t="s">
        <v>80</v>
      </c>
      <c r="F249" s="18" t="s">
        <v>81</v>
      </c>
      <c r="G249" s="15" t="s">
        <v>2022</v>
      </c>
      <c r="H249" s="12">
        <v>53.0</v>
      </c>
      <c r="I249" s="13" t="s">
        <v>20</v>
      </c>
      <c r="J249" s="14" t="s">
        <v>82</v>
      </c>
      <c r="K249" s="14">
        <v>10.0</v>
      </c>
      <c r="L249" s="14" t="str">
        <f t="array" ref="L249">INDEX('School Rep'!$A$2:$A$21, MATCH(J249, 'School Rep'!$B$2:$B$21, 0))</f>
        <v>Olga Bautista</v>
      </c>
      <c r="M249" s="12">
        <v>2.4</v>
      </c>
      <c r="N249" s="16" t="s">
        <v>840</v>
      </c>
      <c r="O249" s="8" t="str">
        <f t="shared" si="1"/>
        <v>12810 S Escanaba Ave </v>
      </c>
      <c r="P249" s="12">
        <v>10.0</v>
      </c>
      <c r="Q249" s="13" t="s">
        <v>84</v>
      </c>
    </row>
    <row r="250">
      <c r="A250" s="7">
        <v>609958.0</v>
      </c>
      <c r="B250" s="8" t="s">
        <v>841</v>
      </c>
      <c r="C250" s="18" t="s">
        <v>842</v>
      </c>
      <c r="D250" s="19">
        <v>0.019</v>
      </c>
      <c r="E250" s="18" t="s">
        <v>80</v>
      </c>
      <c r="F250" s="18" t="s">
        <v>285</v>
      </c>
      <c r="G250" s="15" t="s">
        <v>2036</v>
      </c>
      <c r="H250" s="12">
        <v>44.0</v>
      </c>
      <c r="I250" s="13" t="s">
        <v>20</v>
      </c>
      <c r="J250" s="14" t="s">
        <v>21</v>
      </c>
      <c r="K250" s="14">
        <v>7.0</v>
      </c>
      <c r="L250" s="14" t="str">
        <f t="array" ref="L250">INDEX('School Rep'!$A$2:$A$21, MATCH(J250, 'School Rep'!$B$2:$B$21, 0))</f>
        <v>Yesenia Lopez</v>
      </c>
      <c r="M250" s="15">
        <v>3.0</v>
      </c>
      <c r="N250" s="16" t="s">
        <v>843</v>
      </c>
      <c r="O250" s="8" t="str">
        <f t="shared" si="1"/>
        <v>4420 S Sacramento Ave </v>
      </c>
      <c r="P250" s="12">
        <v>12.0</v>
      </c>
      <c r="Q250" s="13" t="s">
        <v>23</v>
      </c>
    </row>
    <row r="251">
      <c r="A251" s="7">
        <v>609959.0</v>
      </c>
      <c r="B251" s="8" t="s">
        <v>844</v>
      </c>
      <c r="C251" s="18" t="s">
        <v>845</v>
      </c>
      <c r="D251" s="19">
        <v>0.042</v>
      </c>
      <c r="E251" s="18" t="s">
        <v>80</v>
      </c>
      <c r="F251" s="18" t="s">
        <v>301</v>
      </c>
      <c r="G251" s="15" t="s">
        <v>2037</v>
      </c>
      <c r="H251" s="12">
        <v>60.0</v>
      </c>
      <c r="I251" s="13" t="s">
        <v>52</v>
      </c>
      <c r="J251" s="14" t="s">
        <v>21</v>
      </c>
      <c r="K251" s="14">
        <v>7.0</v>
      </c>
      <c r="L251" s="14" t="str">
        <f t="array" ref="L251">INDEX('School Rep'!$A$2:$A$21, MATCH(J251, 'School Rep'!$B$2:$B$21, 0))</f>
        <v>Yesenia Lopez</v>
      </c>
      <c r="M251" s="15">
        <v>2.3</v>
      </c>
      <c r="N251" s="16" t="s">
        <v>846</v>
      </c>
      <c r="O251" s="8" t="str">
        <f t="shared" si="1"/>
        <v>247 W 23rd Pl </v>
      </c>
      <c r="P251" s="12">
        <v>11.0</v>
      </c>
      <c r="Q251" s="13" t="s">
        <v>94</v>
      </c>
    </row>
    <row r="252">
      <c r="A252" s="7">
        <v>609960.0</v>
      </c>
      <c r="B252" s="8" t="s">
        <v>847</v>
      </c>
      <c r="C252" s="18" t="s">
        <v>848</v>
      </c>
      <c r="D252" s="19">
        <v>0.066</v>
      </c>
      <c r="E252" s="18" t="s">
        <v>80</v>
      </c>
      <c r="F252" s="18" t="s">
        <v>138</v>
      </c>
      <c r="G252" s="15" t="s">
        <v>2029</v>
      </c>
      <c r="H252" s="12">
        <v>62.0</v>
      </c>
      <c r="I252" s="13" t="s">
        <v>52</v>
      </c>
      <c r="J252" s="14" t="s">
        <v>139</v>
      </c>
      <c r="K252" s="14">
        <v>8.0</v>
      </c>
      <c r="L252" s="14" t="str">
        <f t="array" ref="L252">INDEX('School Rep'!$A$2:$A$21, MATCH(J252, 'School Rep'!$B$2:$B$21, 0))</f>
        <v>Angel Gutierrez</v>
      </c>
      <c r="M252" s="15">
        <v>2.2</v>
      </c>
      <c r="N252" s="16" t="s">
        <v>849</v>
      </c>
      <c r="O252" s="8" t="str">
        <f t="shared" si="1"/>
        <v>6140 S Melvina Ave </v>
      </c>
      <c r="P252" s="12">
        <v>13.0</v>
      </c>
      <c r="Q252" s="13" t="s">
        <v>250</v>
      </c>
    </row>
    <row r="253">
      <c r="A253" s="7">
        <v>609808.0</v>
      </c>
      <c r="B253" s="8" t="s">
        <v>850</v>
      </c>
      <c r="C253" s="18" t="s">
        <v>851</v>
      </c>
      <c r="D253" s="19">
        <v>0.175</v>
      </c>
      <c r="E253" s="18" t="s">
        <v>80</v>
      </c>
      <c r="F253" s="18" t="s">
        <v>81</v>
      </c>
      <c r="G253" s="15" t="s">
        <v>2022</v>
      </c>
      <c r="H253" s="12">
        <v>63.0</v>
      </c>
      <c r="I253" s="13" t="s">
        <v>52</v>
      </c>
      <c r="J253" s="14" t="s">
        <v>178</v>
      </c>
      <c r="K253" s="14">
        <v>9.0</v>
      </c>
      <c r="L253" s="14" t="str">
        <f t="array" ref="L253">INDEX('School Rep'!$A$2:$A$21, MATCH(J253, 'School Rep'!$B$2:$B$21, 0))</f>
        <v>Therese Boyle</v>
      </c>
      <c r="M253" s="15">
        <v>3.2</v>
      </c>
      <c r="N253" s="16" t="s">
        <v>852</v>
      </c>
      <c r="O253" s="8" t="str">
        <f t="shared" si="1"/>
        <v>11411 S Eggleston Ave </v>
      </c>
      <c r="P253" s="12">
        <v>21.0</v>
      </c>
      <c r="Q253" s="13" t="s">
        <v>428</v>
      </c>
    </row>
    <row r="254">
      <c r="A254" s="7">
        <v>609963.0</v>
      </c>
      <c r="B254" s="12" t="s">
        <v>853</v>
      </c>
      <c r="C254" s="18" t="s">
        <v>854</v>
      </c>
      <c r="D254" s="19">
        <v>0.039</v>
      </c>
      <c r="E254" s="18" t="s">
        <v>80</v>
      </c>
      <c r="F254" s="18" t="s">
        <v>102</v>
      </c>
      <c r="G254" s="15" t="s">
        <v>2025</v>
      </c>
      <c r="H254" s="12">
        <v>49.0</v>
      </c>
      <c r="I254" s="13" t="s">
        <v>20</v>
      </c>
      <c r="J254" s="14" t="s">
        <v>243</v>
      </c>
      <c r="K254" s="14">
        <v>4.0</v>
      </c>
      <c r="L254" s="14" t="str">
        <f t="array" ref="L254">INDEX('School Rep'!$A$2:$A$21, MATCH(J254, 'School Rep'!$B$2:$B$21, 0))</f>
        <v>Karen Zaccor</v>
      </c>
      <c r="M254" s="12">
        <v>1.8</v>
      </c>
      <c r="N254" s="16" t="s">
        <v>855</v>
      </c>
      <c r="O254" s="8" t="str">
        <f t="shared" si="1"/>
        <v>1650 W Cornelia Ave </v>
      </c>
      <c r="P254" s="12">
        <v>47.0</v>
      </c>
      <c r="Q254" s="13" t="s">
        <v>228</v>
      </c>
    </row>
    <row r="255">
      <c r="A255" s="7">
        <v>609964.0</v>
      </c>
      <c r="B255" s="8" t="s">
        <v>856</v>
      </c>
      <c r="C255" s="17" t="s">
        <v>857</v>
      </c>
      <c r="D255" s="10">
        <v>0.089</v>
      </c>
      <c r="E255" s="11" t="s">
        <v>80</v>
      </c>
      <c r="F255" s="11" t="s">
        <v>285</v>
      </c>
      <c r="G255" s="15" t="s">
        <v>2036</v>
      </c>
      <c r="H255" s="12">
        <v>56.0</v>
      </c>
      <c r="I255" s="13" t="s">
        <v>20</v>
      </c>
      <c r="J255" s="14" t="s">
        <v>26</v>
      </c>
      <c r="K255" s="14">
        <v>8.0</v>
      </c>
      <c r="L255" s="14" t="str">
        <f t="array" ref="L255">INDEX('School Rep'!$A$2:$A$21, MATCH(J255, 'School Rep'!$B$2:$B$21, 0))</f>
        <v>Cydney Wallace</v>
      </c>
      <c r="M255" s="15">
        <v>4.3</v>
      </c>
      <c r="N255" s="16" t="s">
        <v>858</v>
      </c>
      <c r="O255" s="8" t="str">
        <f t="shared" si="1"/>
        <v>4747 S Bishop St </v>
      </c>
      <c r="P255" s="12">
        <v>20.0</v>
      </c>
      <c r="Q255" s="13" t="s">
        <v>368</v>
      </c>
    </row>
    <row r="256">
      <c r="A256" s="7">
        <v>609966.0</v>
      </c>
      <c r="B256" s="8" t="s">
        <v>859</v>
      </c>
      <c r="C256" s="18" t="s">
        <v>860</v>
      </c>
      <c r="D256" s="19">
        <v>0.136</v>
      </c>
      <c r="E256" s="18" t="s">
        <v>80</v>
      </c>
      <c r="F256" s="18" t="s">
        <v>529</v>
      </c>
      <c r="G256" s="15" t="s">
        <v>2039</v>
      </c>
      <c r="H256" s="12">
        <v>61.0</v>
      </c>
      <c r="I256" s="13" t="s">
        <v>52</v>
      </c>
      <c r="J256" s="14" t="s">
        <v>42</v>
      </c>
      <c r="K256" s="14">
        <v>7.0</v>
      </c>
      <c r="L256" s="14" t="str">
        <f t="array" ref="L256">INDEX('School Rep'!$A$2:$A$21, MATCH(J256, 'School Rep'!$B$2:$B$21, 0))</f>
        <v>Emma Lozano</v>
      </c>
      <c r="M256" s="15">
        <v>3.6</v>
      </c>
      <c r="N256" s="16" t="s">
        <v>861</v>
      </c>
      <c r="O256" s="8" t="str">
        <f t="shared" si="1"/>
        <v>2819 W 21st Pl </v>
      </c>
      <c r="P256" s="12">
        <v>25.0</v>
      </c>
      <c r="Q256" s="13" t="s">
        <v>44</v>
      </c>
    </row>
    <row r="257">
      <c r="A257" s="7">
        <v>609807.0</v>
      </c>
      <c r="B257" s="8" t="s">
        <v>862</v>
      </c>
      <c r="C257" s="18" t="s">
        <v>863</v>
      </c>
      <c r="D257" s="19">
        <v>0.104</v>
      </c>
      <c r="E257" s="18" t="s">
        <v>80</v>
      </c>
      <c r="F257" s="18" t="s">
        <v>138</v>
      </c>
      <c r="G257" s="15" t="s">
        <v>2029</v>
      </c>
      <c r="H257" s="15"/>
      <c r="I257" s="8"/>
      <c r="J257" s="14" t="s">
        <v>139</v>
      </c>
      <c r="K257" s="14">
        <v>8.0</v>
      </c>
      <c r="L257" s="14" t="str">
        <f t="array" ref="L257">INDEX('School Rep'!$A$2:$A$21, MATCH(J257, 'School Rep'!$B$2:$B$21, 0))</f>
        <v>Angel Gutierrez</v>
      </c>
      <c r="M257" s="15">
        <v>3.5</v>
      </c>
      <c r="N257" s="16" t="s">
        <v>864</v>
      </c>
      <c r="O257" s="8" t="str">
        <f t="shared" si="1"/>
        <v>3434 W 77th St </v>
      </c>
      <c r="P257" s="12">
        <v>18.0</v>
      </c>
      <c r="Q257" s="13" t="s">
        <v>141</v>
      </c>
    </row>
    <row r="258">
      <c r="A258" s="7">
        <v>609694.0</v>
      </c>
      <c r="B258" s="8" t="s">
        <v>865</v>
      </c>
      <c r="C258" s="18" t="s">
        <v>866</v>
      </c>
      <c r="D258" s="19">
        <v>0.0</v>
      </c>
      <c r="E258" s="18" t="s">
        <v>80</v>
      </c>
      <c r="F258" s="18" t="s">
        <v>108</v>
      </c>
      <c r="G258" s="15" t="s">
        <v>2026</v>
      </c>
      <c r="H258" s="15"/>
      <c r="I258" s="8"/>
      <c r="J258" s="14" t="s">
        <v>139</v>
      </c>
      <c r="K258" s="14">
        <v>8.0</v>
      </c>
      <c r="L258" s="14" t="str">
        <f t="array" ref="L258">INDEX('School Rep'!$A$2:$A$21, MATCH(J258, 'School Rep'!$B$2:$B$21, 0))</f>
        <v>Angel Gutierrez</v>
      </c>
      <c r="M258" s="15">
        <v>2.3</v>
      </c>
      <c r="N258" s="16" t="s">
        <v>867</v>
      </c>
      <c r="O258" s="8" t="str">
        <f t="shared" si="1"/>
        <v>5437 W 64th Pl </v>
      </c>
      <c r="P258" s="12">
        <v>13.0</v>
      </c>
      <c r="Q258" s="13" t="s">
        <v>250</v>
      </c>
    </row>
    <row r="259">
      <c r="A259" s="7">
        <v>610068.0</v>
      </c>
      <c r="B259" s="12" t="s">
        <v>868</v>
      </c>
      <c r="C259" s="18" t="s">
        <v>869</v>
      </c>
      <c r="D259" s="19">
        <v>0.107</v>
      </c>
      <c r="E259" s="18" t="s">
        <v>80</v>
      </c>
      <c r="F259" s="18" t="s">
        <v>231</v>
      </c>
      <c r="G259" s="15" t="s">
        <v>2033</v>
      </c>
      <c r="H259" s="12">
        <v>52.0</v>
      </c>
      <c r="I259" s="13" t="s">
        <v>20</v>
      </c>
      <c r="J259" s="14" t="s">
        <v>232</v>
      </c>
      <c r="K259" s="14">
        <v>3.0</v>
      </c>
      <c r="L259" s="14" t="str">
        <f t="array" ref="L259">INDEX('School Rep'!$A$2:$A$21, MATCH(J259, 'School Rep'!$B$2:$B$21, 0))</f>
        <v>Carlos Rivas</v>
      </c>
      <c r="M259" s="12">
        <v>3.7</v>
      </c>
      <c r="N259" s="16" t="s">
        <v>870</v>
      </c>
      <c r="O259" s="8" t="str">
        <f t="shared" si="1"/>
        <v>5411 W Fullerton Ave </v>
      </c>
      <c r="P259" s="12">
        <v>36.0</v>
      </c>
      <c r="Q259" s="13" t="s">
        <v>67</v>
      </c>
    </row>
    <row r="260">
      <c r="A260" s="7">
        <v>609710.0</v>
      </c>
      <c r="B260" s="8" t="s">
        <v>871</v>
      </c>
      <c r="C260" s="17" t="s">
        <v>872</v>
      </c>
      <c r="D260" s="10">
        <v>0.328</v>
      </c>
      <c r="E260" s="11" t="s">
        <v>80</v>
      </c>
      <c r="F260" s="11" t="s">
        <v>263</v>
      </c>
      <c r="G260" s="15" t="s">
        <v>2034</v>
      </c>
      <c r="H260" s="12">
        <v>24.0</v>
      </c>
      <c r="I260" s="13" t="s">
        <v>41</v>
      </c>
      <c r="J260" s="14" t="s">
        <v>178</v>
      </c>
      <c r="K260" s="14">
        <v>9.0</v>
      </c>
      <c r="L260" s="14" t="str">
        <f t="array" ref="L260">INDEX('School Rep'!$A$2:$A$21, MATCH(J260, 'School Rep'!$B$2:$B$21, 0))</f>
        <v>Therese Boyle</v>
      </c>
      <c r="M260" s="15">
        <v>3.7</v>
      </c>
      <c r="N260" s="16" t="s">
        <v>873</v>
      </c>
      <c r="O260" s="8" t="str">
        <f t="shared" si="1"/>
        <v>9652 S Michigan Ave </v>
      </c>
      <c r="P260" s="12">
        <v>9.0</v>
      </c>
      <c r="Q260" s="13" t="s">
        <v>237</v>
      </c>
    </row>
    <row r="261">
      <c r="A261" s="7">
        <v>609969.0</v>
      </c>
      <c r="B261" s="13" t="s">
        <v>874</v>
      </c>
      <c r="C261" s="9" t="s">
        <v>875</v>
      </c>
      <c r="D261" s="10">
        <v>0.061</v>
      </c>
      <c r="E261" s="11" t="s">
        <v>80</v>
      </c>
      <c r="F261" s="11" t="s">
        <v>120</v>
      </c>
      <c r="G261" s="15" t="s">
        <v>2028</v>
      </c>
      <c r="H261" s="12">
        <v>49.0</v>
      </c>
      <c r="I261" s="13" t="s">
        <v>20</v>
      </c>
      <c r="J261" s="14" t="s">
        <v>121</v>
      </c>
      <c r="K261" s="14">
        <v>10.0</v>
      </c>
      <c r="L261" s="14" t="str">
        <f t="array" ref="L261">INDEX('School Rep'!$A$2:$A$21, MATCH(J261, 'School Rep'!$B$2:$B$21, 0))</f>
        <v>Che "Rhymefest" Smith</v>
      </c>
      <c r="M261" s="12">
        <v>2.7</v>
      </c>
      <c r="N261" s="16" t="s">
        <v>876</v>
      </c>
      <c r="O261" s="8" t="str">
        <f t="shared" si="1"/>
        <v>1556 E 56th St </v>
      </c>
      <c r="P261" s="12">
        <v>5.0</v>
      </c>
      <c r="Q261" s="13" t="s">
        <v>357</v>
      </c>
    </row>
    <row r="262">
      <c r="A262" s="7">
        <v>609971.0</v>
      </c>
      <c r="B262" s="8" t="s">
        <v>877</v>
      </c>
      <c r="C262" s="17" t="s">
        <v>878</v>
      </c>
      <c r="D262" s="10">
        <v>0.266</v>
      </c>
      <c r="E262" s="11" t="s">
        <v>80</v>
      </c>
      <c r="F262" s="11" t="s">
        <v>186</v>
      </c>
      <c r="G262" s="15" t="s">
        <v>2031</v>
      </c>
      <c r="H262" s="12">
        <v>57.0</v>
      </c>
      <c r="I262" s="13" t="s">
        <v>20</v>
      </c>
      <c r="J262" s="14" t="s">
        <v>187</v>
      </c>
      <c r="K262" s="14">
        <v>9.0</v>
      </c>
      <c r="L262" s="14" t="str">
        <f t="array" ref="L262">INDEX('School Rep'!$A$2:$A$21, MATCH(J262, 'School Rep'!$B$2:$B$21, 0))</f>
        <v>Frank Niles Thomas</v>
      </c>
      <c r="M262" s="15">
        <v>3.8</v>
      </c>
      <c r="N262" s="16" t="s">
        <v>879</v>
      </c>
      <c r="O262" s="8" t="str">
        <f t="shared" si="1"/>
        <v>7525 S Harvard </v>
      </c>
      <c r="P262" s="12">
        <v>6.0</v>
      </c>
      <c r="Q262" s="13" t="s">
        <v>306</v>
      </c>
    </row>
    <row r="263">
      <c r="A263" s="7">
        <v>609972.0</v>
      </c>
      <c r="B263" s="12" t="s">
        <v>880</v>
      </c>
      <c r="C263" s="18" t="s">
        <v>881</v>
      </c>
      <c r="D263" s="19">
        <v>0.137</v>
      </c>
      <c r="E263" s="18" t="s">
        <v>80</v>
      </c>
      <c r="F263" s="18" t="s">
        <v>126</v>
      </c>
      <c r="G263" s="15" t="e">
        <v>#N/A</v>
      </c>
      <c r="H263" s="12">
        <v>44.0</v>
      </c>
      <c r="I263" s="13" t="s">
        <v>20</v>
      </c>
      <c r="J263" s="14" t="s">
        <v>47</v>
      </c>
      <c r="K263" s="14">
        <v>3.0</v>
      </c>
      <c r="L263" s="14" t="str">
        <f t="array" ref="L263">INDEX('School Rep'!$A$2:$A$21, MATCH(J263, 'School Rep'!$B$2:$B$21, 0))</f>
        <v>Norma Rios-Sierra</v>
      </c>
      <c r="M263" s="12">
        <v>3.0</v>
      </c>
      <c r="N263" s="16" t="s">
        <v>882</v>
      </c>
      <c r="O263" s="8" t="str">
        <f t="shared" si="1"/>
        <v>4540 N Hamlin Ave </v>
      </c>
      <c r="P263" s="12">
        <v>33.0</v>
      </c>
      <c r="Q263" s="13" t="s">
        <v>99</v>
      </c>
    </row>
    <row r="264">
      <c r="A264" s="7">
        <v>609974.0</v>
      </c>
      <c r="B264" s="12" t="s">
        <v>883</v>
      </c>
      <c r="C264" s="18" t="s">
        <v>884</v>
      </c>
      <c r="D264" s="19">
        <v>0.0</v>
      </c>
      <c r="E264" s="18" t="s">
        <v>80</v>
      </c>
      <c r="F264" s="18" t="s">
        <v>102</v>
      </c>
      <c r="G264" s="15" t="s">
        <v>2025</v>
      </c>
      <c r="H264" s="12">
        <v>80.0</v>
      </c>
      <c r="I264" s="13" t="s">
        <v>248</v>
      </c>
      <c r="J264" s="14" t="s">
        <v>243</v>
      </c>
      <c r="K264" s="14">
        <v>4.0</v>
      </c>
      <c r="L264" s="14" t="str">
        <f t="array" ref="L264">INDEX('School Rep'!$A$2:$A$21, MATCH(J264, 'School Rep'!$B$2:$B$21, 0))</f>
        <v>Karen Zaccor</v>
      </c>
      <c r="M264" s="12">
        <v>1.8</v>
      </c>
      <c r="N264" s="16" t="s">
        <v>885</v>
      </c>
      <c r="O264" s="8" t="str">
        <f t="shared" si="1"/>
        <v>3319 N Clifton Ave </v>
      </c>
      <c r="P264" s="12">
        <v>44.0</v>
      </c>
      <c r="Q264" s="13" t="s">
        <v>886</v>
      </c>
    </row>
    <row r="265">
      <c r="A265" s="7">
        <v>609975.0</v>
      </c>
      <c r="B265" s="12" t="s">
        <v>887</v>
      </c>
      <c r="C265" s="18" t="s">
        <v>888</v>
      </c>
      <c r="D265" s="19">
        <v>0.136</v>
      </c>
      <c r="E265" s="18" t="s">
        <v>80</v>
      </c>
      <c r="F265" s="18" t="s">
        <v>231</v>
      </c>
      <c r="G265" s="15" t="s">
        <v>2033</v>
      </c>
      <c r="H265" s="12">
        <v>61.0</v>
      </c>
      <c r="I265" s="13" t="s">
        <v>52</v>
      </c>
      <c r="J265" s="14" t="s">
        <v>31</v>
      </c>
      <c r="K265" s="14">
        <v>5.0</v>
      </c>
      <c r="L265" s="14" t="str">
        <f t="array" ref="L265">INDEX('School Rep'!$A$2:$A$21, MATCH(J265, 'School Rep'!$B$2:$B$21, 0))</f>
        <v>Aaron "Jitu" Brown</v>
      </c>
      <c r="M265" s="12">
        <v>3.3</v>
      </c>
      <c r="N265" s="16" t="s">
        <v>889</v>
      </c>
      <c r="O265" s="8" t="str">
        <f t="shared" si="1"/>
        <v>1018 N Laramie Ave </v>
      </c>
      <c r="P265" s="12">
        <v>37.0</v>
      </c>
      <c r="Q265" s="13" t="s">
        <v>162</v>
      </c>
    </row>
    <row r="266">
      <c r="A266" s="7">
        <v>609976.0</v>
      </c>
      <c r="B266" s="13" t="s">
        <v>890</v>
      </c>
      <c r="C266" s="18" t="s">
        <v>891</v>
      </c>
      <c r="D266" s="19">
        <v>0.139</v>
      </c>
      <c r="E266" s="18" t="s">
        <v>80</v>
      </c>
      <c r="F266" s="18" t="s">
        <v>270</v>
      </c>
      <c r="G266" s="15" t="s">
        <v>2035</v>
      </c>
      <c r="H266" s="12">
        <v>51.0</v>
      </c>
      <c r="I266" s="13" t="s">
        <v>20</v>
      </c>
      <c r="J266" s="14" t="s">
        <v>87</v>
      </c>
      <c r="K266" s="14">
        <v>2.0</v>
      </c>
      <c r="L266" s="14" t="str">
        <f t="array" ref="L266">INDEX('School Rep'!$A$2:$A$21, MATCH(J266, 'School Rep'!$B$2:$B$21, 0))</f>
        <v>Debby Pope</v>
      </c>
      <c r="M266" s="12">
        <v>2.8</v>
      </c>
      <c r="N266" s="16" t="s">
        <v>892</v>
      </c>
      <c r="O266" s="8" t="str">
        <f t="shared" si="1"/>
        <v>1518 W Granville Ave </v>
      </c>
      <c r="P266" s="12">
        <v>48.0</v>
      </c>
      <c r="Q266" s="13" t="s">
        <v>807</v>
      </c>
    </row>
    <row r="267">
      <c r="A267" s="7">
        <v>609979.0</v>
      </c>
      <c r="B267" s="8" t="s">
        <v>893</v>
      </c>
      <c r="C267" s="11" t="s">
        <v>894</v>
      </c>
      <c r="D267" s="10">
        <v>0.041</v>
      </c>
      <c r="E267" s="11" t="s">
        <v>80</v>
      </c>
      <c r="F267" s="11" t="s">
        <v>301</v>
      </c>
      <c r="G267" s="15" t="s">
        <v>2037</v>
      </c>
      <c r="H267" s="12">
        <v>54.0</v>
      </c>
      <c r="I267" s="13" t="s">
        <v>20</v>
      </c>
      <c r="J267" s="14" t="s">
        <v>21</v>
      </c>
      <c r="K267" s="14">
        <v>7.0</v>
      </c>
      <c r="L267" s="14" t="str">
        <f t="array" ref="L267">INDEX('School Rep'!$A$2:$A$21, MATCH(J267, 'School Rep'!$B$2:$B$21, 0))</f>
        <v>Yesenia Lopez</v>
      </c>
      <c r="M267" s="15">
        <v>1.9</v>
      </c>
      <c r="N267" s="16" t="s">
        <v>895</v>
      </c>
      <c r="O267" s="8" t="str">
        <f t="shared" si="1"/>
        <v>3010 S Parnell Ave </v>
      </c>
      <c r="P267" s="12">
        <v>11.0</v>
      </c>
      <c r="Q267" s="13" t="s">
        <v>94</v>
      </c>
    </row>
    <row r="268">
      <c r="A268" s="7">
        <v>609981.0</v>
      </c>
      <c r="B268" s="8" t="s">
        <v>896</v>
      </c>
      <c r="C268" s="18" t="s">
        <v>897</v>
      </c>
      <c r="D268" s="19">
        <v>0.116</v>
      </c>
      <c r="E268" s="18" t="s">
        <v>80</v>
      </c>
      <c r="F268" s="18" t="s">
        <v>138</v>
      </c>
      <c r="G268" s="15" t="s">
        <v>2029</v>
      </c>
      <c r="H268" s="12">
        <v>27.0</v>
      </c>
      <c r="I268" s="13" t="s">
        <v>41</v>
      </c>
      <c r="J268" s="14" t="s">
        <v>42</v>
      </c>
      <c r="K268" s="14">
        <v>7.0</v>
      </c>
      <c r="L268" s="14" t="str">
        <f t="array" ref="L268">INDEX('School Rep'!$A$2:$A$21, MATCH(J268, 'School Rep'!$B$2:$B$21, 0))</f>
        <v>Emma Lozano</v>
      </c>
      <c r="M268" s="15">
        <v>2.6</v>
      </c>
      <c r="N268" s="16" t="s">
        <v>898</v>
      </c>
      <c r="O268" s="8" t="str">
        <f t="shared" si="1"/>
        <v>4640 S Lamon Ave </v>
      </c>
      <c r="P268" s="12">
        <v>22.0</v>
      </c>
      <c r="Q268" s="13" t="s">
        <v>353</v>
      </c>
    </row>
    <row r="269">
      <c r="A269" s="7">
        <v>609983.0</v>
      </c>
      <c r="B269" s="8" t="s">
        <v>899</v>
      </c>
      <c r="C269" s="18" t="s">
        <v>900</v>
      </c>
      <c r="D269" s="19">
        <v>0.151</v>
      </c>
      <c r="E269" s="18" t="s">
        <v>80</v>
      </c>
      <c r="F269" s="18" t="s">
        <v>285</v>
      </c>
      <c r="G269" s="15" t="s">
        <v>2036</v>
      </c>
      <c r="H269" s="12">
        <v>42.0</v>
      </c>
      <c r="I269" s="13" t="s">
        <v>20</v>
      </c>
      <c r="J269" s="14" t="s">
        <v>26</v>
      </c>
      <c r="K269" s="14">
        <v>8.0</v>
      </c>
      <c r="L269" s="14" t="str">
        <f t="array" ref="L269">INDEX('School Rep'!$A$2:$A$21, MATCH(J269, 'School Rep'!$B$2:$B$21, 0))</f>
        <v>Cydney Wallace</v>
      </c>
      <c r="M269" s="15">
        <v>3.9</v>
      </c>
      <c r="N269" s="16" t="s">
        <v>901</v>
      </c>
      <c r="O269" s="8" t="str">
        <f t="shared" si="1"/>
        <v>4747 S Winchester Ave </v>
      </c>
      <c r="P269" s="12">
        <v>15.0</v>
      </c>
      <c r="Q269" s="13" t="s">
        <v>364</v>
      </c>
    </row>
    <row r="270">
      <c r="A270" s="7">
        <v>609985.0</v>
      </c>
      <c r="B270" s="8" t="s">
        <v>902</v>
      </c>
      <c r="C270" s="18" t="s">
        <v>903</v>
      </c>
      <c r="D270" s="19">
        <v>0.266</v>
      </c>
      <c r="E270" s="18" t="s">
        <v>80</v>
      </c>
      <c r="F270" s="18" t="s">
        <v>216</v>
      </c>
      <c r="G270" s="15" t="s">
        <v>2032</v>
      </c>
      <c r="H270" s="12">
        <v>44.0</v>
      </c>
      <c r="I270" s="13" t="s">
        <v>20</v>
      </c>
      <c r="J270" s="14" t="s">
        <v>217</v>
      </c>
      <c r="K270" s="14">
        <v>5.0</v>
      </c>
      <c r="L270" s="14" t="str">
        <f t="array" ref="L270">INDEX('School Rep'!$A$2:$A$21, MATCH(J270, 'School Rep'!$B$2:$B$21, 0))</f>
        <v>Michilla Blaise</v>
      </c>
      <c r="M270" s="15">
        <v>3.6</v>
      </c>
      <c r="N270" s="16" t="s">
        <v>904</v>
      </c>
      <c r="O270" s="8" t="str">
        <f t="shared" si="1"/>
        <v>4409 W Wilcox St </v>
      </c>
      <c r="P270" s="12">
        <v>28.0</v>
      </c>
      <c r="Q270" s="13" t="s">
        <v>399</v>
      </c>
    </row>
    <row r="271">
      <c r="A271" s="7">
        <v>609986.0</v>
      </c>
      <c r="B271" s="8" t="s">
        <v>905</v>
      </c>
      <c r="C271" s="18" t="s">
        <v>906</v>
      </c>
      <c r="D271" s="19">
        <v>0.217</v>
      </c>
      <c r="E271" s="18" t="s">
        <v>80</v>
      </c>
      <c r="F271" s="18" t="s">
        <v>285</v>
      </c>
      <c r="G271" s="15" t="s">
        <v>2036</v>
      </c>
      <c r="H271" s="12">
        <v>49.0</v>
      </c>
      <c r="I271" s="13" t="s">
        <v>20</v>
      </c>
      <c r="J271" s="14" t="s">
        <v>187</v>
      </c>
      <c r="K271" s="14">
        <v>9.0</v>
      </c>
      <c r="L271" s="14" t="str">
        <f t="array" ref="L271">INDEX('School Rep'!$A$2:$A$21, MATCH(J271, 'School Rep'!$B$2:$B$21, 0))</f>
        <v>Frank Niles Thomas</v>
      </c>
      <c r="M271" s="15">
        <v>3.8</v>
      </c>
      <c r="N271" s="16" t="s">
        <v>907</v>
      </c>
      <c r="O271" s="8" t="str">
        <f t="shared" si="1"/>
        <v>5650 S Wolcott Ave </v>
      </c>
      <c r="P271" s="12">
        <v>15.0</v>
      </c>
      <c r="Q271" s="13" t="s">
        <v>364</v>
      </c>
    </row>
    <row r="272">
      <c r="A272" s="7">
        <v>609987.0</v>
      </c>
      <c r="B272" s="8" t="s">
        <v>908</v>
      </c>
      <c r="C272" s="18" t="s">
        <v>909</v>
      </c>
      <c r="D272" s="19">
        <v>0.089</v>
      </c>
      <c r="E272" s="18" t="s">
        <v>80</v>
      </c>
      <c r="F272" s="18" t="s">
        <v>120</v>
      </c>
      <c r="G272" s="15" t="s">
        <v>2028</v>
      </c>
      <c r="H272" s="12">
        <v>53.0</v>
      </c>
      <c r="I272" s="13" t="s">
        <v>20</v>
      </c>
      <c r="J272" s="14" t="s">
        <v>204</v>
      </c>
      <c r="K272" s="14">
        <v>6.0</v>
      </c>
      <c r="L272" s="14" t="str">
        <f t="array" ref="L272">INDEX('School Rep'!$A$2:$A$21, MATCH(J272, 'School Rep'!$B$2:$B$21, 0))</f>
        <v>Jessica Biggs</v>
      </c>
      <c r="M272" s="15">
        <v>3.9</v>
      </c>
      <c r="N272" s="16" t="s">
        <v>910</v>
      </c>
      <c r="O272" s="8" t="str">
        <f t="shared" si="1"/>
        <v>4316 S Princeton Ave </v>
      </c>
      <c r="P272" s="12">
        <v>20.0</v>
      </c>
      <c r="Q272" s="13" t="s">
        <v>368</v>
      </c>
    </row>
    <row r="273">
      <c r="A273" s="7">
        <v>609988.0</v>
      </c>
      <c r="B273" s="12" t="s">
        <v>911</v>
      </c>
      <c r="C273" s="18" t="s">
        <v>912</v>
      </c>
      <c r="D273" s="19">
        <v>0.124</v>
      </c>
      <c r="E273" s="18" t="s">
        <v>80</v>
      </c>
      <c r="F273" s="18" t="s">
        <v>97</v>
      </c>
      <c r="G273" s="15" t="s">
        <v>2024</v>
      </c>
      <c r="H273" s="12">
        <v>50.0</v>
      </c>
      <c r="I273" s="13" t="s">
        <v>20</v>
      </c>
      <c r="J273" s="14" t="s">
        <v>47</v>
      </c>
      <c r="K273" s="14">
        <v>3.0</v>
      </c>
      <c r="L273" s="14" t="str">
        <f t="array" ref="L273">INDEX('School Rep'!$A$2:$A$21, MATCH(J273, 'School Rep'!$B$2:$B$21, 0))</f>
        <v>Norma Rios-Sierra</v>
      </c>
      <c r="M273" s="12">
        <v>2.3</v>
      </c>
      <c r="N273" s="16" t="s">
        <v>913</v>
      </c>
      <c r="O273" s="8" t="str">
        <f t="shared" si="1"/>
        <v>4250 N Saint Louis Ave </v>
      </c>
      <c r="P273" s="12">
        <v>33.0</v>
      </c>
      <c r="Q273" s="13" t="s">
        <v>99</v>
      </c>
    </row>
    <row r="274">
      <c r="A274" s="7">
        <v>610532.0</v>
      </c>
      <c r="B274" s="8" t="s">
        <v>914</v>
      </c>
      <c r="C274" s="18" t="s">
        <v>915</v>
      </c>
      <c r="D274" s="19">
        <v>0.076</v>
      </c>
      <c r="E274" s="18" t="s">
        <v>80</v>
      </c>
      <c r="F274" s="18" t="s">
        <v>126</v>
      </c>
      <c r="G274" s="15" t="e">
        <v>#N/A</v>
      </c>
      <c r="H274" s="12">
        <v>64.0</v>
      </c>
      <c r="I274" s="13" t="s">
        <v>52</v>
      </c>
      <c r="J274" s="14" t="s">
        <v>21</v>
      </c>
      <c r="K274" s="14">
        <v>7.0</v>
      </c>
      <c r="L274" s="14" t="str">
        <f t="array" ref="L274">INDEX('School Rep'!$A$2:$A$21, MATCH(J274, 'School Rep'!$B$2:$B$21, 0))</f>
        <v>Yesenia Lopez</v>
      </c>
      <c r="M274" s="15">
        <v>3.2</v>
      </c>
      <c r="N274" s="16" t="s">
        <v>916</v>
      </c>
      <c r="O274" s="8" t="str">
        <f t="shared" si="1"/>
        <v>3510 W 55th St </v>
      </c>
      <c r="P274" s="12">
        <v>14.0</v>
      </c>
      <c r="Q274" s="13" t="s">
        <v>54</v>
      </c>
    </row>
    <row r="275">
      <c r="A275" s="7">
        <v>609991.0</v>
      </c>
      <c r="B275" s="8" t="s">
        <v>917</v>
      </c>
      <c r="C275" s="18" t="s">
        <v>918</v>
      </c>
      <c r="D275" s="19">
        <v>0.166</v>
      </c>
      <c r="E275" s="18" t="s">
        <v>80</v>
      </c>
      <c r="F275" s="18" t="s">
        <v>529</v>
      </c>
      <c r="G275" s="15" t="s">
        <v>2039</v>
      </c>
      <c r="H275" s="12">
        <v>47.0</v>
      </c>
      <c r="I275" s="13" t="s">
        <v>20</v>
      </c>
      <c r="J275" s="14" t="s">
        <v>217</v>
      </c>
      <c r="K275" s="14">
        <v>5.0</v>
      </c>
      <c r="L275" s="14" t="str">
        <f t="array" ref="L275">INDEX('School Rep'!$A$2:$A$21, MATCH(J275, 'School Rep'!$B$2:$B$21, 0))</f>
        <v>Michilla Blaise</v>
      </c>
      <c r="M275" s="15">
        <v>3.8</v>
      </c>
      <c r="N275" s="16" t="s">
        <v>919</v>
      </c>
      <c r="O275" s="8" t="str">
        <f t="shared" si="1"/>
        <v>3711 W Douglas Blvd </v>
      </c>
      <c r="P275" s="12">
        <v>24.0</v>
      </c>
      <c r="Q275" s="13" t="s">
        <v>517</v>
      </c>
    </row>
    <row r="276">
      <c r="A276" s="7">
        <v>609994.0</v>
      </c>
      <c r="B276" s="13" t="s">
        <v>920</v>
      </c>
      <c r="C276" s="18" t="s">
        <v>921</v>
      </c>
      <c r="D276" s="19">
        <v>0.101</v>
      </c>
      <c r="E276" s="18" t="s">
        <v>80</v>
      </c>
      <c r="F276" s="18" t="s">
        <v>97</v>
      </c>
      <c r="G276" s="15" t="s">
        <v>2024</v>
      </c>
      <c r="H276" s="12">
        <v>29.0</v>
      </c>
      <c r="I276" s="13" t="s">
        <v>41</v>
      </c>
      <c r="J276" s="14" t="s">
        <v>87</v>
      </c>
      <c r="K276" s="14">
        <v>2.0</v>
      </c>
      <c r="L276" s="14" t="str">
        <f t="array" ref="L276">INDEX('School Rep'!$A$2:$A$21, MATCH(J276, 'School Rep'!$B$2:$B$21, 0))</f>
        <v>Debby Pope</v>
      </c>
      <c r="M276" s="12">
        <v>2.7</v>
      </c>
      <c r="N276" s="16" t="s">
        <v>922</v>
      </c>
      <c r="O276" s="8" t="str">
        <f t="shared" si="1"/>
        <v>3244 W Ainslie St </v>
      </c>
      <c r="P276" s="12">
        <v>33.0</v>
      </c>
      <c r="Q276" s="13" t="s">
        <v>99</v>
      </c>
    </row>
    <row r="277">
      <c r="A277" s="7">
        <v>610295.0</v>
      </c>
      <c r="B277" s="8" t="s">
        <v>923</v>
      </c>
      <c r="C277" s="18" t="s">
        <v>924</v>
      </c>
      <c r="D277" s="19">
        <v>0.171</v>
      </c>
      <c r="E277" s="18" t="s">
        <v>80</v>
      </c>
      <c r="F277" s="18" t="s">
        <v>81</v>
      </c>
      <c r="G277" s="15" t="s">
        <v>2022</v>
      </c>
      <c r="H277" s="12">
        <v>60.0</v>
      </c>
      <c r="I277" s="13" t="s">
        <v>52</v>
      </c>
      <c r="J277" s="14" t="s">
        <v>178</v>
      </c>
      <c r="K277" s="14">
        <v>9.0</v>
      </c>
      <c r="L277" s="14" t="str">
        <f t="array" ref="L277">INDEX('School Rep'!$A$2:$A$21, MATCH(J277, 'School Rep'!$B$2:$B$21, 0))</f>
        <v>Therese Boyle</v>
      </c>
      <c r="M277" s="15">
        <v>3.3</v>
      </c>
      <c r="N277" s="16" t="s">
        <v>925</v>
      </c>
      <c r="O277" s="8" t="str">
        <f t="shared" si="1"/>
        <v>11710 S Morgan St </v>
      </c>
      <c r="P277" s="12">
        <v>21.0</v>
      </c>
      <c r="Q277" s="13" t="s">
        <v>428</v>
      </c>
    </row>
    <row r="278">
      <c r="A278" s="7">
        <v>609712.0</v>
      </c>
      <c r="B278" s="13" t="s">
        <v>926</v>
      </c>
      <c r="C278" s="9" t="s">
        <v>927</v>
      </c>
      <c r="D278" s="10">
        <v>0.405</v>
      </c>
      <c r="E278" s="11" t="s">
        <v>80</v>
      </c>
      <c r="F278" s="11" t="s">
        <v>263</v>
      </c>
      <c r="G278" s="15" t="s">
        <v>2034</v>
      </c>
      <c r="H278" s="12">
        <v>44.0</v>
      </c>
      <c r="I278" s="13" t="s">
        <v>20</v>
      </c>
      <c r="J278" s="14" t="s">
        <v>82</v>
      </c>
      <c r="K278" s="14">
        <v>10.0</v>
      </c>
      <c r="L278" s="14" t="str">
        <f t="array" ref="L278">INDEX('School Rep'!$A$2:$A$21, MATCH(J278, 'School Rep'!$B$2:$B$21, 0))</f>
        <v>Olga Bautista</v>
      </c>
      <c r="M278" s="12">
        <v>3.7</v>
      </c>
      <c r="N278" s="16" t="s">
        <v>928</v>
      </c>
      <c r="O278" s="8" t="str">
        <f t="shared" si="1"/>
        <v>7740 S Ingleside Ave </v>
      </c>
      <c r="P278" s="12">
        <v>8.0</v>
      </c>
      <c r="Q278" s="13" t="s">
        <v>135</v>
      </c>
    </row>
    <row r="279">
      <c r="A279" s="7">
        <v>609995.0</v>
      </c>
      <c r="B279" s="13" t="s">
        <v>929</v>
      </c>
      <c r="C279" s="18" t="s">
        <v>930</v>
      </c>
      <c r="D279" s="19">
        <v>0.075</v>
      </c>
      <c r="E279" s="18" t="s">
        <v>80</v>
      </c>
      <c r="F279" s="18" t="s">
        <v>97</v>
      </c>
      <c r="G279" s="15" t="s">
        <v>2024</v>
      </c>
      <c r="H279" s="12">
        <v>39.0</v>
      </c>
      <c r="I279" s="13" t="s">
        <v>41</v>
      </c>
      <c r="J279" s="14" t="s">
        <v>199</v>
      </c>
      <c r="K279" s="14">
        <v>1.0</v>
      </c>
      <c r="L279" s="14" t="str">
        <f t="array" ref="L279">INDEX('School Rep'!$A$2:$A$21, MATCH(J279, 'School Rep'!$B$2:$B$21, 0))</f>
        <v>Ed Bannon</v>
      </c>
      <c r="M279" s="12">
        <v>1.7</v>
      </c>
      <c r="N279" s="16" t="s">
        <v>931</v>
      </c>
      <c r="O279" s="8" t="str">
        <f t="shared" si="1"/>
        <v>5625 N Mcvicker Ave </v>
      </c>
      <c r="P279" s="12">
        <v>45.0</v>
      </c>
      <c r="Q279" s="13" t="s">
        <v>210</v>
      </c>
    </row>
    <row r="280">
      <c r="A280" s="7">
        <v>609996.0</v>
      </c>
      <c r="B280" s="8" t="s">
        <v>932</v>
      </c>
      <c r="C280" s="18" t="s">
        <v>933</v>
      </c>
      <c r="D280" s="19">
        <v>0.094</v>
      </c>
      <c r="E280" s="18" t="s">
        <v>80</v>
      </c>
      <c r="F280" s="18" t="s">
        <v>126</v>
      </c>
      <c r="G280" s="15" t="e">
        <v>#N/A</v>
      </c>
      <c r="H280" s="12">
        <v>57.0</v>
      </c>
      <c r="I280" s="13" t="s">
        <v>20</v>
      </c>
      <c r="J280" s="14" t="s">
        <v>21</v>
      </c>
      <c r="K280" s="14">
        <v>7.0</v>
      </c>
      <c r="L280" s="14" t="str">
        <f t="array" ref="L280">INDEX('School Rep'!$A$2:$A$21, MATCH(J280, 'School Rep'!$B$2:$B$21, 0))</f>
        <v>Yesenia Lopez</v>
      </c>
      <c r="M280" s="15">
        <v>2.7</v>
      </c>
      <c r="N280" s="16" t="s">
        <v>934</v>
      </c>
      <c r="O280" s="8" t="str">
        <f t="shared" si="1"/>
        <v>1104 W 31st St </v>
      </c>
      <c r="P280" s="12">
        <v>11.0</v>
      </c>
      <c r="Q280" s="13" t="s">
        <v>94</v>
      </c>
    </row>
    <row r="281">
      <c r="A281" s="7">
        <v>609997.0</v>
      </c>
      <c r="B281" s="8" t="s">
        <v>935</v>
      </c>
      <c r="C281" s="18" t="s">
        <v>936</v>
      </c>
      <c r="D281" s="19">
        <v>0.313</v>
      </c>
      <c r="E281" s="18" t="s">
        <v>80</v>
      </c>
      <c r="F281" s="18" t="s">
        <v>285</v>
      </c>
      <c r="G281" s="15" t="s">
        <v>2036</v>
      </c>
      <c r="H281" s="12">
        <v>25.0</v>
      </c>
      <c r="I281" s="13" t="s">
        <v>41</v>
      </c>
      <c r="J281" s="14" t="s">
        <v>187</v>
      </c>
      <c r="K281" s="14">
        <v>9.0</v>
      </c>
      <c r="L281" s="14" t="str">
        <f t="array" ref="L281">INDEX('School Rep'!$A$2:$A$21, MATCH(J281, 'School Rep'!$B$2:$B$21, 0))</f>
        <v>Frank Niles Thomas</v>
      </c>
      <c r="M281" s="15">
        <v>3.5</v>
      </c>
      <c r="N281" s="16" t="s">
        <v>937</v>
      </c>
      <c r="O281" s="8" t="str">
        <f t="shared" si="1"/>
        <v>955 W Garfield Blvd </v>
      </c>
      <c r="P281" s="12">
        <v>16.0</v>
      </c>
      <c r="Q281" s="13" t="s">
        <v>193</v>
      </c>
    </row>
    <row r="282">
      <c r="A282" s="7">
        <v>400167.0</v>
      </c>
      <c r="B282" s="8" t="s">
        <v>938</v>
      </c>
      <c r="C282" s="18" t="s">
        <v>939</v>
      </c>
      <c r="D282" s="19">
        <v>0.063</v>
      </c>
      <c r="E282" s="18" t="s">
        <v>19</v>
      </c>
      <c r="F282" s="18" t="s">
        <v>19</v>
      </c>
      <c r="G282" s="15" t="e">
        <v>#N/A</v>
      </c>
      <c r="H282" s="12">
        <v>36.0</v>
      </c>
      <c r="I282" s="13" t="s">
        <v>41</v>
      </c>
      <c r="J282" s="14" t="s">
        <v>26</v>
      </c>
      <c r="K282" s="14">
        <v>8.0</v>
      </c>
      <c r="L282" s="14" t="str">
        <f t="array" ref="L282">INDEX('School Rep'!$A$2:$A$21, MATCH(J282, 'School Rep'!$B$2:$B$21, 0))</f>
        <v>Cydney Wallace</v>
      </c>
      <c r="M282" s="15">
        <v>3.3</v>
      </c>
      <c r="N282" s="16" t="s">
        <v>940</v>
      </c>
      <c r="O282" s="8" t="str">
        <f t="shared" si="1"/>
        <v>5401 S Western Ave </v>
      </c>
      <c r="P282" s="12">
        <v>15.0</v>
      </c>
      <c r="Q282" s="13" t="s">
        <v>364</v>
      </c>
    </row>
    <row r="283">
      <c r="A283" s="7">
        <v>610000.0</v>
      </c>
      <c r="B283" s="12" t="s">
        <v>941</v>
      </c>
      <c r="C283" s="18" t="s">
        <v>942</v>
      </c>
      <c r="D283" s="19">
        <v>0.168</v>
      </c>
      <c r="E283" s="18" t="s">
        <v>80</v>
      </c>
      <c r="F283" s="18" t="s">
        <v>231</v>
      </c>
      <c r="G283" s="15" t="s">
        <v>2033</v>
      </c>
      <c r="H283" s="12">
        <v>41.0</v>
      </c>
      <c r="I283" s="13" t="s">
        <v>20</v>
      </c>
      <c r="J283" s="14" t="s">
        <v>31</v>
      </c>
      <c r="K283" s="14">
        <v>5.0</v>
      </c>
      <c r="L283" s="14" t="str">
        <f t="array" ref="L283">INDEX('School Rep'!$A$2:$A$21, MATCH(J283, 'School Rep'!$B$2:$B$21, 0))</f>
        <v>Aaron "Jitu" Brown</v>
      </c>
      <c r="M283" s="12">
        <v>3.7</v>
      </c>
      <c r="N283" s="16" t="s">
        <v>943</v>
      </c>
      <c r="O283" s="8" t="str">
        <f t="shared" si="1"/>
        <v>720 N Lorel Ave </v>
      </c>
      <c r="P283" s="12">
        <v>37.0</v>
      </c>
      <c r="Q283" s="13" t="s">
        <v>162</v>
      </c>
    </row>
    <row r="284">
      <c r="A284" s="7">
        <v>610002.0</v>
      </c>
      <c r="B284" s="13" t="s">
        <v>944</v>
      </c>
      <c r="C284" s="18" t="s">
        <v>945</v>
      </c>
      <c r="D284" s="19">
        <v>0.145</v>
      </c>
      <c r="E284" s="18" t="s">
        <v>80</v>
      </c>
      <c r="F284" s="18" t="s">
        <v>144</v>
      </c>
      <c r="G284" s="15" t="s">
        <v>2030</v>
      </c>
      <c r="H284" s="12">
        <v>40.0</v>
      </c>
      <c r="I284" s="13" t="s">
        <v>20</v>
      </c>
      <c r="J284" s="14" t="s">
        <v>82</v>
      </c>
      <c r="K284" s="14">
        <v>10.0</v>
      </c>
      <c r="L284" s="14" t="str">
        <f t="array" ref="L284">INDEX('School Rep'!$A$2:$A$21, MATCH(J284, 'School Rep'!$B$2:$B$21, 0))</f>
        <v>Olga Bautista</v>
      </c>
      <c r="M284" s="12">
        <v>2.8</v>
      </c>
      <c r="N284" s="16" t="s">
        <v>946</v>
      </c>
      <c r="O284" s="8" t="str">
        <f t="shared" si="1"/>
        <v>8905 S Crandon Ave </v>
      </c>
      <c r="P284" s="12">
        <v>7.0</v>
      </c>
      <c r="Q284" s="13" t="s">
        <v>260</v>
      </c>
    </row>
    <row r="285">
      <c r="A285" s="7">
        <v>609741.0</v>
      </c>
      <c r="B285" s="8" t="s">
        <v>947</v>
      </c>
      <c r="C285" s="9" t="s">
        <v>948</v>
      </c>
      <c r="D285" s="10">
        <v>0.118</v>
      </c>
      <c r="E285" s="11" t="s">
        <v>80</v>
      </c>
      <c r="F285" s="11" t="s">
        <v>92</v>
      </c>
      <c r="G285" s="15" t="s">
        <v>2023</v>
      </c>
      <c r="H285" s="12">
        <v>55.0</v>
      </c>
      <c r="I285" s="13" t="s">
        <v>20</v>
      </c>
      <c r="J285" s="14" t="s">
        <v>26</v>
      </c>
      <c r="K285" s="14">
        <v>8.0</v>
      </c>
      <c r="L285" s="14" t="str">
        <f t="array" ref="L285">INDEX('School Rep'!$A$2:$A$21, MATCH(J285, 'School Rep'!$B$2:$B$21, 0))</f>
        <v>Cydney Wallace</v>
      </c>
      <c r="M285" s="15">
        <v>3.3</v>
      </c>
      <c r="N285" s="16" t="s">
        <v>949</v>
      </c>
      <c r="O285" s="8" t="str">
        <f t="shared" si="1"/>
        <v>6200 S Hamlin Ave </v>
      </c>
      <c r="P285" s="12">
        <v>23.0</v>
      </c>
      <c r="Q285" s="13" t="s">
        <v>172</v>
      </c>
    </row>
    <row r="286">
      <c r="A286" s="7">
        <v>610005.0</v>
      </c>
      <c r="B286" s="8" t="s">
        <v>950</v>
      </c>
      <c r="C286" s="18" t="s">
        <v>951</v>
      </c>
      <c r="D286" s="19">
        <v>0.234</v>
      </c>
      <c r="E286" s="18" t="s">
        <v>80</v>
      </c>
      <c r="F286" s="18" t="s">
        <v>529</v>
      </c>
      <c r="G286" s="15" t="s">
        <v>2039</v>
      </c>
      <c r="H286" s="12">
        <v>41.0</v>
      </c>
      <c r="I286" s="13" t="s">
        <v>20</v>
      </c>
      <c r="J286" s="14" t="s">
        <v>217</v>
      </c>
      <c r="K286" s="14">
        <v>5.0</v>
      </c>
      <c r="L286" s="14" t="str">
        <f t="array" ref="L286">INDEX('School Rep'!$A$2:$A$21, MATCH(J286, 'School Rep'!$B$2:$B$21, 0))</f>
        <v>Michilla Blaise</v>
      </c>
      <c r="M286" s="15">
        <v>3.6</v>
      </c>
      <c r="N286" s="16" t="s">
        <v>952</v>
      </c>
      <c r="O286" s="8" t="str">
        <f t="shared" si="1"/>
        <v>4247 W 15th St </v>
      </c>
      <c r="P286" s="12">
        <v>24.0</v>
      </c>
      <c r="Q286" s="13" t="s">
        <v>517</v>
      </c>
    </row>
    <row r="287">
      <c r="A287" s="7">
        <v>610368.0</v>
      </c>
      <c r="B287" s="8" t="s">
        <v>953</v>
      </c>
      <c r="C287" s="9" t="s">
        <v>954</v>
      </c>
      <c r="D287" s="10">
        <v>0.201</v>
      </c>
      <c r="E287" s="11" t="s">
        <v>80</v>
      </c>
      <c r="F287" s="11" t="s">
        <v>81</v>
      </c>
      <c r="G287" s="15" t="s">
        <v>2022</v>
      </c>
      <c r="H287" s="15"/>
      <c r="I287" s="8"/>
      <c r="J287" s="14" t="s">
        <v>178</v>
      </c>
      <c r="K287" s="14">
        <v>9.0</v>
      </c>
      <c r="L287" s="14" t="str">
        <f t="array" ref="L287">INDEX('School Rep'!$A$2:$A$21, MATCH(J287, 'School Rep'!$B$2:$B$21, 0))</f>
        <v>Therese Boyle</v>
      </c>
      <c r="M287" s="15">
        <v>3.6</v>
      </c>
      <c r="N287" s="16" t="s">
        <v>955</v>
      </c>
      <c r="O287" s="8" t="str">
        <f t="shared" si="1"/>
        <v>240 W 104th St </v>
      </c>
      <c r="P287" s="12">
        <v>21.0</v>
      </c>
      <c r="Q287" s="13" t="s">
        <v>428</v>
      </c>
    </row>
    <row r="288">
      <c r="A288" s="7">
        <v>610006.0</v>
      </c>
      <c r="B288" s="8" t="s">
        <v>956</v>
      </c>
      <c r="C288" s="18" t="s">
        <v>957</v>
      </c>
      <c r="D288" s="19">
        <v>0.046</v>
      </c>
      <c r="E288" s="18" t="s">
        <v>80</v>
      </c>
      <c r="F288" s="18" t="s">
        <v>138</v>
      </c>
      <c r="G288" s="15" t="s">
        <v>2029</v>
      </c>
      <c r="H288" s="12">
        <v>55.0</v>
      </c>
      <c r="I288" s="13" t="s">
        <v>20</v>
      </c>
      <c r="J288" s="14" t="s">
        <v>139</v>
      </c>
      <c r="K288" s="14">
        <v>8.0</v>
      </c>
      <c r="L288" s="14" t="str">
        <f t="array" ref="L288">INDEX('School Rep'!$A$2:$A$21, MATCH(J288, 'School Rep'!$B$2:$B$21, 0))</f>
        <v>Angel Gutierrez</v>
      </c>
      <c r="M288" s="15">
        <v>3.3</v>
      </c>
      <c r="N288" s="16" t="s">
        <v>958</v>
      </c>
      <c r="O288" s="8" t="str">
        <f t="shared" si="1"/>
        <v>3849 W 69th Pl </v>
      </c>
      <c r="P288" s="12">
        <v>23.0</v>
      </c>
      <c r="Q288" s="13" t="s">
        <v>172</v>
      </c>
    </row>
    <row r="289">
      <c r="A289" s="7">
        <v>609713.0</v>
      </c>
      <c r="B289" s="13" t="s">
        <v>959</v>
      </c>
      <c r="C289" s="18" t="s">
        <v>960</v>
      </c>
      <c r="D289" s="19">
        <v>0.118</v>
      </c>
      <c r="E289" s="18" t="s">
        <v>80</v>
      </c>
      <c r="F289" s="18" t="s">
        <v>263</v>
      </c>
      <c r="G289" s="15" t="s">
        <v>2034</v>
      </c>
      <c r="H289" s="12">
        <v>33.0</v>
      </c>
      <c r="I289" s="13" t="s">
        <v>41</v>
      </c>
      <c r="J289" s="14" t="s">
        <v>121</v>
      </c>
      <c r="K289" s="14">
        <v>10.0</v>
      </c>
      <c r="L289" s="14" t="str">
        <f t="array" ref="L289">INDEX('School Rep'!$A$2:$A$21, MATCH(J289, 'School Rep'!$B$2:$B$21, 0))</f>
        <v>Che "Rhymefest" Smith</v>
      </c>
      <c r="M289" s="12">
        <v>3.4</v>
      </c>
      <c r="N289" s="16" t="s">
        <v>961</v>
      </c>
      <c r="O289" s="8" t="str">
        <f t="shared" si="1"/>
        <v>6220 S Stony Island Ave </v>
      </c>
      <c r="P289" s="12">
        <v>5.0</v>
      </c>
      <c r="Q289" s="13" t="s">
        <v>357</v>
      </c>
    </row>
    <row r="290">
      <c r="A290" s="7">
        <v>610384.0</v>
      </c>
      <c r="B290" s="8" t="s">
        <v>962</v>
      </c>
      <c r="C290" s="9" t="s">
        <v>963</v>
      </c>
      <c r="D290" s="10">
        <v>0.0</v>
      </c>
      <c r="E290" s="11" t="s">
        <v>80</v>
      </c>
      <c r="F290" s="11" t="s">
        <v>108</v>
      </c>
      <c r="G290" s="15" t="s">
        <v>2026</v>
      </c>
      <c r="H290" s="12">
        <v>25.0</v>
      </c>
      <c r="I290" s="13" t="s">
        <v>41</v>
      </c>
      <c r="J290" s="14" t="s">
        <v>42</v>
      </c>
      <c r="K290" s="14">
        <v>7.0</v>
      </c>
      <c r="L290" s="14" t="str">
        <f t="array" ref="L290">INDEX('School Rep'!$A$2:$A$21, MATCH(J290, 'School Rep'!$B$2:$B$21, 0))</f>
        <v>Emma Lozano</v>
      </c>
      <c r="M290" s="15">
        <v>3.1</v>
      </c>
      <c r="N290" s="16" t="s">
        <v>964</v>
      </c>
      <c r="O290" s="8" t="str">
        <f t="shared" si="1"/>
        <v>3120 S Kostner Ave </v>
      </c>
      <c r="P290" s="12">
        <v>22.0</v>
      </c>
      <c r="Q290" s="13" t="s">
        <v>353</v>
      </c>
    </row>
    <row r="291">
      <c r="A291" s="7">
        <v>400104.0</v>
      </c>
      <c r="B291" s="8" t="s">
        <v>965</v>
      </c>
      <c r="C291" s="9" t="s">
        <v>966</v>
      </c>
      <c r="D291" s="10">
        <v>0.19</v>
      </c>
      <c r="E291" s="11" t="s">
        <v>19</v>
      </c>
      <c r="F291" s="11" t="s">
        <v>19</v>
      </c>
      <c r="G291" s="15" t="e">
        <v>#N/A</v>
      </c>
      <c r="H291" s="12">
        <v>11.0</v>
      </c>
      <c r="I291" s="13" t="s">
        <v>30</v>
      </c>
      <c r="J291" s="15" t="s">
        <v>384</v>
      </c>
      <c r="K291" s="15" t="s">
        <v>384</v>
      </c>
      <c r="L291" s="15" t="s">
        <v>384</v>
      </c>
      <c r="M291" s="15">
        <v>3.2</v>
      </c>
      <c r="N291" s="16" t="s">
        <v>967</v>
      </c>
      <c r="O291" s="8" t="str">
        <f t="shared" si="1"/>
        <v>2520 S Western Ave </v>
      </c>
      <c r="P291" s="12">
        <v>25.0</v>
      </c>
      <c r="Q291" s="13" t="s">
        <v>44</v>
      </c>
    </row>
    <row r="292">
      <c r="A292" s="7">
        <v>400164.0</v>
      </c>
      <c r="B292" s="8" t="s">
        <v>968</v>
      </c>
      <c r="C292" s="18" t="s">
        <v>969</v>
      </c>
      <c r="D292" s="19">
        <v>0.786</v>
      </c>
      <c r="E292" s="18" t="s">
        <v>19</v>
      </c>
      <c r="F292" s="18" t="s">
        <v>426</v>
      </c>
      <c r="G292" s="15" t="s">
        <v>2038</v>
      </c>
      <c r="H292" s="15"/>
      <c r="I292" s="8"/>
      <c r="J292" s="15" t="s">
        <v>384</v>
      </c>
      <c r="K292" s="15" t="s">
        <v>384</v>
      </c>
      <c r="L292" s="15" t="s">
        <v>384</v>
      </c>
      <c r="M292" s="15" t="s">
        <v>384</v>
      </c>
      <c r="N292" s="16" t="s">
        <v>970</v>
      </c>
      <c r="O292" s="8" t="str">
        <f t="shared" si="1"/>
        <v>2570 S Blue Island Ave </v>
      </c>
      <c r="P292" s="12">
        <v>25.0</v>
      </c>
      <c r="Q292" s="13" t="s">
        <v>44</v>
      </c>
    </row>
    <row r="293">
      <c r="A293" s="7">
        <v>610078.0</v>
      </c>
      <c r="B293" s="12" t="s">
        <v>971</v>
      </c>
      <c r="C293" s="18" t="s">
        <v>972</v>
      </c>
      <c r="D293" s="19">
        <v>0.037</v>
      </c>
      <c r="E293" s="18" t="s">
        <v>80</v>
      </c>
      <c r="F293" s="18" t="s">
        <v>102</v>
      </c>
      <c r="G293" s="15" t="s">
        <v>2025</v>
      </c>
      <c r="H293" s="12">
        <v>41.0</v>
      </c>
      <c r="I293" s="13" t="s">
        <v>20</v>
      </c>
      <c r="J293" s="14" t="s">
        <v>243</v>
      </c>
      <c r="K293" s="14">
        <v>4.0</v>
      </c>
      <c r="L293" s="14" t="str">
        <f t="array" ref="L293">INDEX('School Rep'!$A$2:$A$21, MATCH(J293, 'School Rep'!$B$2:$B$21, 0))</f>
        <v>Karen Zaccor</v>
      </c>
      <c r="M293" s="12">
        <v>2.2</v>
      </c>
      <c r="N293" s="16" t="s">
        <v>973</v>
      </c>
      <c r="O293" s="8" t="str">
        <f t="shared" si="1"/>
        <v>851 W Waveland Ave </v>
      </c>
      <c r="P293" s="12">
        <v>44.0</v>
      </c>
      <c r="Q293" s="13" t="s">
        <v>886</v>
      </c>
    </row>
    <row r="294">
      <c r="A294" s="7">
        <v>400162.0</v>
      </c>
      <c r="B294" s="13" t="s">
        <v>974</v>
      </c>
      <c r="C294" s="18" t="s">
        <v>975</v>
      </c>
      <c r="D294" s="19">
        <v>0.023</v>
      </c>
      <c r="E294" s="18" t="s">
        <v>19</v>
      </c>
      <c r="F294" s="18" t="s">
        <v>19</v>
      </c>
      <c r="G294" s="15" t="e">
        <v>#N/A</v>
      </c>
      <c r="H294" s="12">
        <v>53.0</v>
      </c>
      <c r="I294" s="13" t="s">
        <v>20</v>
      </c>
      <c r="J294" s="14" t="s">
        <v>47</v>
      </c>
      <c r="K294" s="14">
        <v>3.0</v>
      </c>
      <c r="L294" s="14" t="str">
        <f t="array" ref="L294">INDEX('School Rep'!$A$2:$A$21, MATCH(J294, 'School Rep'!$B$2:$B$21, 0))</f>
        <v>Norma Rios-Sierra</v>
      </c>
      <c r="M294" s="12">
        <v>2.5</v>
      </c>
      <c r="N294" s="16" t="s">
        <v>976</v>
      </c>
      <c r="O294" s="8" t="str">
        <f t="shared" si="1"/>
        <v>4540 W Belmont Ave </v>
      </c>
      <c r="P294" s="12">
        <v>30.0</v>
      </c>
      <c r="Q294" s="13" t="s">
        <v>346</v>
      </c>
    </row>
    <row r="295">
      <c r="A295" s="7">
        <v>610121.0</v>
      </c>
      <c r="B295" s="8" t="s">
        <v>977</v>
      </c>
      <c r="C295" s="18" t="s">
        <v>978</v>
      </c>
      <c r="D295" s="19">
        <v>0.068</v>
      </c>
      <c r="E295" s="18" t="s">
        <v>80</v>
      </c>
      <c r="F295" s="18" t="s">
        <v>301</v>
      </c>
      <c r="G295" s="15" t="s">
        <v>2037</v>
      </c>
      <c r="H295" s="12">
        <v>36.0</v>
      </c>
      <c r="I295" s="13" t="s">
        <v>41</v>
      </c>
      <c r="J295" s="14" t="s">
        <v>217</v>
      </c>
      <c r="K295" s="14">
        <v>5.0</v>
      </c>
      <c r="L295" s="14" t="str">
        <f t="array" ref="L295">INDEX('School Rep'!$A$2:$A$21, MATCH(J295, 'School Rep'!$B$2:$B$21, 0))</f>
        <v>Michilla Blaise</v>
      </c>
      <c r="M295" s="15">
        <v>2.9</v>
      </c>
      <c r="N295" s="16" t="s">
        <v>979</v>
      </c>
      <c r="O295" s="8" t="str">
        <f t="shared" si="1"/>
        <v>749 S Oakley Blvd </v>
      </c>
      <c r="P295" s="12">
        <v>28.0</v>
      </c>
      <c r="Q295" s="13" t="s">
        <v>399</v>
      </c>
    </row>
    <row r="296">
      <c r="A296" s="7">
        <v>610369.0</v>
      </c>
      <c r="B296" s="8" t="s">
        <v>980</v>
      </c>
      <c r="C296" s="18" t="s">
        <v>981</v>
      </c>
      <c r="D296" s="19">
        <v>0.135</v>
      </c>
      <c r="E296" s="18" t="s">
        <v>80</v>
      </c>
      <c r="F296" s="18" t="s">
        <v>186</v>
      </c>
      <c r="G296" s="15" t="s">
        <v>2031</v>
      </c>
      <c r="H296" s="12">
        <v>42.0</v>
      </c>
      <c r="I296" s="13" t="s">
        <v>20</v>
      </c>
      <c r="J296" s="14" t="s">
        <v>187</v>
      </c>
      <c r="K296" s="14">
        <v>9.0</v>
      </c>
      <c r="L296" s="14" t="str">
        <f t="array" ref="L296">INDEX('School Rep'!$A$2:$A$21, MATCH(J296, 'School Rep'!$B$2:$B$21, 0))</f>
        <v>Frank Niles Thomas</v>
      </c>
      <c r="M296" s="15">
        <v>3.7</v>
      </c>
      <c r="N296" s="16" t="s">
        <v>982</v>
      </c>
      <c r="O296" s="8" t="str">
        <f t="shared" si="1"/>
        <v>917 W 88th St </v>
      </c>
      <c r="P296" s="12">
        <v>21.0</v>
      </c>
      <c r="Q296" s="13" t="s">
        <v>428</v>
      </c>
    </row>
    <row r="297">
      <c r="A297" s="7">
        <v>610010.0</v>
      </c>
      <c r="B297" s="12" t="s">
        <v>983</v>
      </c>
      <c r="C297" s="17" t="s">
        <v>984</v>
      </c>
      <c r="D297" s="10">
        <v>0.081</v>
      </c>
      <c r="E297" s="11" t="s">
        <v>80</v>
      </c>
      <c r="F297" s="11" t="s">
        <v>102</v>
      </c>
      <c r="G297" s="15" t="s">
        <v>2025</v>
      </c>
      <c r="H297" s="12">
        <v>22.0</v>
      </c>
      <c r="I297" s="13" t="s">
        <v>41</v>
      </c>
      <c r="J297" s="14" t="s">
        <v>103</v>
      </c>
      <c r="K297" s="14">
        <v>4.0</v>
      </c>
      <c r="L297" s="14" t="str">
        <f t="array" ref="L297">INDEX('School Rep'!$A$2:$A$21, MATCH(J297, 'School Rep'!$B$2:$B$21, 0))</f>
        <v>Ellen Rosenfeld</v>
      </c>
      <c r="M297" s="12">
        <v>2.2</v>
      </c>
      <c r="N297" s="16" t="s">
        <v>985</v>
      </c>
      <c r="O297" s="8" t="str">
        <f t="shared" si="1"/>
        <v>3149 N Wolcott Ave </v>
      </c>
      <c r="P297" s="12">
        <v>32.0</v>
      </c>
      <c r="Q297" s="13" t="s">
        <v>110</v>
      </c>
    </row>
    <row r="298">
      <c r="A298" s="7">
        <v>610011.0</v>
      </c>
      <c r="B298" s="13" t="s">
        <v>986</v>
      </c>
      <c r="C298" s="18" t="s">
        <v>987</v>
      </c>
      <c r="D298" s="19">
        <v>0.101</v>
      </c>
      <c r="E298" s="18" t="s">
        <v>80</v>
      </c>
      <c r="F298" s="18" t="s">
        <v>270</v>
      </c>
      <c r="G298" s="15" t="s">
        <v>2035</v>
      </c>
      <c r="H298" s="12">
        <v>58.0</v>
      </c>
      <c r="I298" s="13" t="s">
        <v>20</v>
      </c>
      <c r="J298" s="14" t="s">
        <v>36</v>
      </c>
      <c r="K298" s="14">
        <v>2.0</v>
      </c>
      <c r="L298" s="14" t="str">
        <f t="array" ref="L298">INDEX('School Rep'!$A$2:$A$21, MATCH(J298, 'School Rep'!$B$2:$B$21, 0))</f>
        <v>Ebony DeBerry</v>
      </c>
      <c r="M298" s="12">
        <v>2.5</v>
      </c>
      <c r="N298" s="16" t="s">
        <v>988</v>
      </c>
      <c r="O298" s="8" t="str">
        <f t="shared" si="1"/>
        <v>5650 N Mozart St </v>
      </c>
      <c r="P298" s="12">
        <v>50.0</v>
      </c>
      <c r="Q298" s="13" t="s">
        <v>131</v>
      </c>
    </row>
    <row r="299">
      <c r="A299" s="7">
        <v>609783.0</v>
      </c>
      <c r="B299" s="8" t="s">
        <v>989</v>
      </c>
      <c r="C299" s="18" t="s">
        <v>990</v>
      </c>
      <c r="D299" s="19">
        <v>0.0</v>
      </c>
      <c r="E299" s="18" t="s">
        <v>80</v>
      </c>
      <c r="F299" s="18" t="s">
        <v>426</v>
      </c>
      <c r="G299" s="15" t="s">
        <v>2038</v>
      </c>
      <c r="H299" s="12">
        <v>62.0</v>
      </c>
      <c r="I299" s="13" t="s">
        <v>52</v>
      </c>
      <c r="J299" s="15" t="s">
        <v>384</v>
      </c>
      <c r="K299" s="15" t="s">
        <v>384</v>
      </c>
      <c r="L299" s="15" t="s">
        <v>384</v>
      </c>
      <c r="M299" s="15" t="s">
        <v>384</v>
      </c>
      <c r="N299" s="16" t="s">
        <v>991</v>
      </c>
      <c r="O299" s="8" t="str">
        <f t="shared" si="1"/>
        <v>1100 S Hamilton Ave </v>
      </c>
      <c r="P299" s="12">
        <v>27.0</v>
      </c>
      <c r="Q299" s="13" t="s">
        <v>219</v>
      </c>
    </row>
    <row r="300">
      <c r="A300" s="7">
        <v>610271.0</v>
      </c>
      <c r="B300" s="8" t="s">
        <v>992</v>
      </c>
      <c r="C300" s="18" t="s">
        <v>993</v>
      </c>
      <c r="D300" s="19">
        <v>0.242</v>
      </c>
      <c r="E300" s="18" t="s">
        <v>80</v>
      </c>
      <c r="F300" s="18" t="s">
        <v>216</v>
      </c>
      <c r="G300" s="15" t="s">
        <v>2032</v>
      </c>
      <c r="H300" s="12">
        <v>56.0</v>
      </c>
      <c r="I300" s="13" t="s">
        <v>20</v>
      </c>
      <c r="J300" s="14" t="s">
        <v>217</v>
      </c>
      <c r="K300" s="14">
        <v>5.0</v>
      </c>
      <c r="L300" s="14" t="str">
        <f t="array" ref="L300">INDEX('School Rep'!$A$2:$A$21, MATCH(J300, 'School Rep'!$B$2:$B$21, 0))</f>
        <v>Michilla Blaise</v>
      </c>
      <c r="M300" s="15">
        <v>2.9</v>
      </c>
      <c r="N300" s="16" t="s">
        <v>994</v>
      </c>
      <c r="O300" s="8" t="str">
        <f t="shared" si="1"/>
        <v>3030 W Harrison St </v>
      </c>
      <c r="P300" s="12">
        <v>28.0</v>
      </c>
      <c r="Q300" s="13" t="s">
        <v>399</v>
      </c>
    </row>
    <row r="301">
      <c r="A301" s="7">
        <v>610274.0</v>
      </c>
      <c r="B301" s="8" t="s">
        <v>995</v>
      </c>
      <c r="C301" s="18" t="s">
        <v>996</v>
      </c>
      <c r="D301" s="19">
        <v>0.25</v>
      </c>
      <c r="E301" s="18" t="s">
        <v>80</v>
      </c>
      <c r="F301" s="18" t="s">
        <v>216</v>
      </c>
      <c r="G301" s="15" t="s">
        <v>2032</v>
      </c>
      <c r="H301" s="12">
        <v>30.0</v>
      </c>
      <c r="I301" s="13" t="s">
        <v>41</v>
      </c>
      <c r="J301" s="14" t="s">
        <v>217</v>
      </c>
      <c r="K301" s="14">
        <v>5.0</v>
      </c>
      <c r="L301" s="14" t="str">
        <f t="array" ref="L301">INDEX('School Rep'!$A$2:$A$21, MATCH(J301, 'School Rep'!$B$2:$B$21, 0))</f>
        <v>Michilla Blaise</v>
      </c>
      <c r="M301" s="15">
        <v>3.6</v>
      </c>
      <c r="N301" s="16" t="s">
        <v>997</v>
      </c>
      <c r="O301" s="8" t="str">
        <f t="shared" si="1"/>
        <v>1420 S Albany Ave </v>
      </c>
      <c r="P301" s="12">
        <v>24.0</v>
      </c>
      <c r="Q301" s="13" t="s">
        <v>517</v>
      </c>
    </row>
    <row r="302">
      <c r="A302" s="7">
        <v>609678.0</v>
      </c>
      <c r="B302" s="8" t="s">
        <v>998</v>
      </c>
      <c r="C302" s="18" t="s">
        <v>999</v>
      </c>
      <c r="D302" s="19">
        <v>0.014</v>
      </c>
      <c r="E302" s="18" t="s">
        <v>80</v>
      </c>
      <c r="F302" s="18" t="s">
        <v>108</v>
      </c>
      <c r="G302" s="15" t="s">
        <v>2026</v>
      </c>
      <c r="H302" s="12">
        <v>24.0</v>
      </c>
      <c r="I302" s="13" t="s">
        <v>41</v>
      </c>
      <c r="J302" s="14" t="s">
        <v>26</v>
      </c>
      <c r="K302" s="14">
        <v>8.0</v>
      </c>
      <c r="L302" s="14" t="str">
        <f t="array" ref="L302">INDEX('School Rep'!$A$2:$A$21, MATCH(J302, 'School Rep'!$B$2:$B$21, 0))</f>
        <v>Cydney Wallace</v>
      </c>
      <c r="M302" s="15">
        <v>1.4</v>
      </c>
      <c r="N302" s="16" t="s">
        <v>1000</v>
      </c>
      <c r="O302" s="8" t="str">
        <f t="shared" si="1"/>
        <v>700 S State St </v>
      </c>
      <c r="P302" s="12">
        <v>4.0</v>
      </c>
      <c r="Q302" s="13" t="s">
        <v>123</v>
      </c>
    </row>
    <row r="303">
      <c r="A303" s="7">
        <v>609805.0</v>
      </c>
      <c r="B303" s="8" t="s">
        <v>1001</v>
      </c>
      <c r="C303" s="18" t="s">
        <v>1002</v>
      </c>
      <c r="D303" s="19">
        <v>0.214</v>
      </c>
      <c r="E303" s="18" t="s">
        <v>80</v>
      </c>
      <c r="F303" s="18" t="s">
        <v>186</v>
      </c>
      <c r="G303" s="15" t="s">
        <v>2031</v>
      </c>
      <c r="H303" s="12">
        <v>47.0</v>
      </c>
      <c r="I303" s="13" t="s">
        <v>20</v>
      </c>
      <c r="J303" s="14" t="s">
        <v>187</v>
      </c>
      <c r="K303" s="14">
        <v>9.0</v>
      </c>
      <c r="L303" s="14" t="str">
        <f t="array" ref="L303">INDEX('School Rep'!$A$2:$A$21, MATCH(J303, 'School Rep'!$B$2:$B$21, 0))</f>
        <v>Frank Niles Thomas</v>
      </c>
      <c r="M303" s="15">
        <v>3.9</v>
      </c>
      <c r="N303" s="16" t="s">
        <v>1003</v>
      </c>
      <c r="O303" s="8" t="str">
        <f t="shared" si="1"/>
        <v>7931 S Honore St </v>
      </c>
      <c r="P303" s="12">
        <v>17.0</v>
      </c>
      <c r="Q303" s="13" t="s">
        <v>189</v>
      </c>
    </row>
    <row r="304">
      <c r="A304" s="7">
        <v>609865.0</v>
      </c>
      <c r="B304" s="12" t="s">
        <v>1004</v>
      </c>
      <c r="C304" s="18" t="s">
        <v>1005</v>
      </c>
      <c r="D304" s="19">
        <v>0.129</v>
      </c>
      <c r="E304" s="18" t="s">
        <v>80</v>
      </c>
      <c r="F304" s="18" t="s">
        <v>270</v>
      </c>
      <c r="G304" s="15" t="s">
        <v>2035</v>
      </c>
      <c r="H304" s="12">
        <v>61.0</v>
      </c>
      <c r="I304" s="13" t="s">
        <v>52</v>
      </c>
      <c r="J304" s="14" t="s">
        <v>36</v>
      </c>
      <c r="K304" s="14">
        <v>2.0</v>
      </c>
      <c r="L304" s="14" t="str">
        <f t="array" ref="L304">INDEX('School Rep'!$A$2:$A$21, MATCH(J304, 'School Rep'!$B$2:$B$21, 0))</f>
        <v>Ebony DeBerry</v>
      </c>
      <c r="M304" s="12">
        <v>3.0</v>
      </c>
      <c r="N304" s="16" t="s">
        <v>1006</v>
      </c>
      <c r="O304" s="8" t="str">
        <f t="shared" si="1"/>
        <v>7414 N Wolcott Ave </v>
      </c>
      <c r="P304" s="12">
        <v>49.0</v>
      </c>
      <c r="Q304" s="13" t="s">
        <v>38</v>
      </c>
    </row>
    <row r="305">
      <c r="A305" s="7">
        <v>609764.0</v>
      </c>
      <c r="B305" s="8" t="s">
        <v>1007</v>
      </c>
      <c r="C305" s="18" t="s">
        <v>1008</v>
      </c>
      <c r="D305" s="19">
        <v>0.058</v>
      </c>
      <c r="E305" s="18" t="s">
        <v>80</v>
      </c>
      <c r="F305" s="18" t="s">
        <v>108</v>
      </c>
      <c r="G305" s="15" t="s">
        <v>2026</v>
      </c>
      <c r="H305" s="12">
        <v>52.0</v>
      </c>
      <c r="I305" s="13" t="s">
        <v>20</v>
      </c>
      <c r="J305" s="14" t="s">
        <v>42</v>
      </c>
      <c r="K305" s="14">
        <v>7.0</v>
      </c>
      <c r="L305" s="14" t="str">
        <f t="array" ref="L305">INDEX('School Rep'!$A$2:$A$21, MATCH(J305, 'School Rep'!$B$2:$B$21, 0))</f>
        <v>Emma Lozano</v>
      </c>
      <c r="M305" s="15">
        <v>3.1</v>
      </c>
      <c r="N305" s="16" t="s">
        <v>1009</v>
      </c>
      <c r="O305" s="8" t="str">
        <f t="shared" si="1"/>
        <v>1450 W Cermak Rd </v>
      </c>
      <c r="P305" s="12">
        <v>25.0</v>
      </c>
      <c r="Q305" s="13" t="s">
        <v>44</v>
      </c>
    </row>
    <row r="306">
      <c r="A306" s="7">
        <v>609762.0</v>
      </c>
      <c r="B306" s="8" t="s">
        <v>1010</v>
      </c>
      <c r="C306" s="9" t="s">
        <v>1011</v>
      </c>
      <c r="D306" s="10">
        <v>0.138</v>
      </c>
      <c r="E306" s="11" t="s">
        <v>80</v>
      </c>
      <c r="F306" s="11" t="s">
        <v>92</v>
      </c>
      <c r="G306" s="15" t="s">
        <v>2023</v>
      </c>
      <c r="H306" s="12">
        <v>63.0</v>
      </c>
      <c r="I306" s="13" t="s">
        <v>52</v>
      </c>
      <c r="J306" s="14" t="s">
        <v>178</v>
      </c>
      <c r="K306" s="14">
        <v>9.0</v>
      </c>
      <c r="L306" s="14" t="str">
        <f t="array" ref="L306">INDEX('School Rep'!$A$2:$A$21, MATCH(J306, 'School Rep'!$B$2:$B$21, 0))</f>
        <v>Therese Boyle</v>
      </c>
      <c r="M306" s="15">
        <v>3.3</v>
      </c>
      <c r="N306" s="16" t="s">
        <v>1012</v>
      </c>
      <c r="O306" s="8" t="str">
        <f t="shared" si="1"/>
        <v>10330 S Elizabeth St </v>
      </c>
      <c r="P306" s="12">
        <v>21.0</v>
      </c>
      <c r="Q306" s="13" t="s">
        <v>428</v>
      </c>
    </row>
    <row r="307">
      <c r="A307" s="7">
        <v>610015.0</v>
      </c>
      <c r="B307" s="8" t="s">
        <v>1013</v>
      </c>
      <c r="C307" s="18" t="s">
        <v>1014</v>
      </c>
      <c r="D307" s="19">
        <v>0.108</v>
      </c>
      <c r="E307" s="18" t="s">
        <v>80</v>
      </c>
      <c r="F307" s="18" t="s">
        <v>126</v>
      </c>
      <c r="G307" s="15" t="e">
        <v>#N/A</v>
      </c>
      <c r="H307" s="12">
        <v>51.0</v>
      </c>
      <c r="I307" s="13" t="s">
        <v>20</v>
      </c>
      <c r="J307" s="14" t="s">
        <v>42</v>
      </c>
      <c r="K307" s="14">
        <v>7.0</v>
      </c>
      <c r="L307" s="14" t="str">
        <f t="array" ref="L307">INDEX('School Rep'!$A$2:$A$21, MATCH(J307, 'School Rep'!$B$2:$B$21, 0))</f>
        <v>Emma Lozano</v>
      </c>
      <c r="M307" s="15">
        <v>3.1</v>
      </c>
      <c r="N307" s="16" t="s">
        <v>1015</v>
      </c>
      <c r="O307" s="8" t="str">
        <f t="shared" si="1"/>
        <v>1746 S Miller St </v>
      </c>
      <c r="P307" s="12">
        <v>25.0</v>
      </c>
      <c r="Q307" s="13" t="s">
        <v>44</v>
      </c>
    </row>
    <row r="308">
      <c r="A308" s="7">
        <v>609920.0</v>
      </c>
      <c r="B308" s="8" t="s">
        <v>1016</v>
      </c>
      <c r="C308" s="18" t="s">
        <v>1017</v>
      </c>
      <c r="D308" s="19">
        <v>0.087</v>
      </c>
      <c r="E308" s="18" t="s">
        <v>80</v>
      </c>
      <c r="F308" s="18" t="s">
        <v>529</v>
      </c>
      <c r="G308" s="15" t="s">
        <v>2039</v>
      </c>
      <c r="H308" s="12">
        <v>64.0</v>
      </c>
      <c r="I308" s="13" t="s">
        <v>52</v>
      </c>
      <c r="J308" s="14" t="s">
        <v>42</v>
      </c>
      <c r="K308" s="14">
        <v>7.0</v>
      </c>
      <c r="L308" s="14" t="str">
        <f t="array" ref="L308">INDEX('School Rep'!$A$2:$A$21, MATCH(J308, 'School Rep'!$B$2:$B$21, 0))</f>
        <v>Emma Lozano</v>
      </c>
      <c r="M308" s="15">
        <v>3.3</v>
      </c>
      <c r="N308" s="16" t="s">
        <v>1018</v>
      </c>
      <c r="O308" s="8" t="str">
        <f t="shared" si="1"/>
        <v>2233 S Kedzie Ave </v>
      </c>
      <c r="P308" s="12">
        <v>24.0</v>
      </c>
      <c r="Q308" s="13" t="s">
        <v>517</v>
      </c>
    </row>
    <row r="309">
      <c r="A309" s="7">
        <v>610084.0</v>
      </c>
      <c r="B309" s="8" t="s">
        <v>1019</v>
      </c>
      <c r="C309" s="18" t="s">
        <v>1020</v>
      </c>
      <c r="D309" s="19">
        <v>0.0</v>
      </c>
      <c r="E309" s="18" t="s">
        <v>80</v>
      </c>
      <c r="F309" s="18" t="s">
        <v>138</v>
      </c>
      <c r="G309" s="15" t="s">
        <v>2029</v>
      </c>
      <c r="H309" s="12">
        <v>93.0</v>
      </c>
      <c r="I309" s="13" t="s">
        <v>248</v>
      </c>
      <c r="J309" s="14" t="s">
        <v>178</v>
      </c>
      <c r="K309" s="14">
        <v>9.0</v>
      </c>
      <c r="L309" s="14" t="str">
        <f t="array" ref="L309">INDEX('School Rep'!$A$2:$A$21, MATCH(J309, 'School Rep'!$B$2:$B$21, 0))</f>
        <v>Therese Boyle</v>
      </c>
      <c r="M309" s="15">
        <v>1.5</v>
      </c>
      <c r="N309" s="16" t="s">
        <v>1021</v>
      </c>
      <c r="O309" s="8" t="str">
        <f t="shared" si="1"/>
        <v>3020 W 108th St </v>
      </c>
      <c r="P309" s="12">
        <v>19.0</v>
      </c>
      <c r="Q309" s="13" t="s">
        <v>180</v>
      </c>
    </row>
    <row r="310">
      <c r="A310" s="7">
        <v>609925.0</v>
      </c>
      <c r="B310" s="12" t="s">
        <v>1022</v>
      </c>
      <c r="C310" s="18" t="s">
        <v>1023</v>
      </c>
      <c r="D310" s="19">
        <v>0.0</v>
      </c>
      <c r="E310" s="18" t="s">
        <v>80</v>
      </c>
      <c r="F310" s="18" t="s">
        <v>216</v>
      </c>
      <c r="G310" s="15" t="s">
        <v>2032</v>
      </c>
      <c r="H310" s="12">
        <v>49.0</v>
      </c>
      <c r="I310" s="13" t="s">
        <v>20</v>
      </c>
      <c r="J310" s="14" t="s">
        <v>217</v>
      </c>
      <c r="K310" s="14">
        <v>5.0</v>
      </c>
      <c r="L310" s="14" t="str">
        <f t="array" ref="L310">INDEX('School Rep'!$A$2:$A$21, MATCH(J310, 'School Rep'!$B$2:$B$21, 0))</f>
        <v>Michilla Blaise</v>
      </c>
      <c r="M310" s="12">
        <v>3.3</v>
      </c>
      <c r="N310" s="16" t="s">
        <v>1024</v>
      </c>
      <c r="O310" s="8" t="str">
        <f t="shared" si="1"/>
        <v>3030 W Arthington St </v>
      </c>
      <c r="P310" s="12">
        <v>28.0</v>
      </c>
      <c r="Q310" s="13" t="s">
        <v>399</v>
      </c>
    </row>
    <row r="311">
      <c r="A311" s="7">
        <v>610016.0</v>
      </c>
      <c r="B311" s="8" t="s">
        <v>1025</v>
      </c>
      <c r="C311" s="18" t="s">
        <v>1026</v>
      </c>
      <c r="D311" s="19">
        <v>0.0</v>
      </c>
      <c r="E311" s="18" t="s">
        <v>80</v>
      </c>
      <c r="F311" s="18" t="s">
        <v>138</v>
      </c>
      <c r="G311" s="15" t="s">
        <v>2029</v>
      </c>
      <c r="H311" s="12">
        <v>57.0</v>
      </c>
      <c r="I311" s="13" t="s">
        <v>20</v>
      </c>
      <c r="J311" s="14" t="s">
        <v>178</v>
      </c>
      <c r="K311" s="14">
        <v>9.0</v>
      </c>
      <c r="L311" s="14" t="str">
        <f t="array" ref="L311">INDEX('School Rep'!$A$2:$A$21, MATCH(J311, 'School Rep'!$B$2:$B$21, 0))</f>
        <v>Therese Boyle</v>
      </c>
      <c r="M311" s="15">
        <v>2.2</v>
      </c>
      <c r="N311" s="16" t="s">
        <v>1027</v>
      </c>
      <c r="O311" s="8" t="str">
        <f t="shared" si="1"/>
        <v>9241 S Leavitt St </v>
      </c>
      <c r="P311" s="12">
        <v>19.0</v>
      </c>
      <c r="Q311" s="13" t="s">
        <v>180</v>
      </c>
    </row>
    <row r="312">
      <c r="A312" s="7">
        <v>609715.0</v>
      </c>
      <c r="B312" s="8" t="s">
        <v>1028</v>
      </c>
      <c r="C312" s="18" t="s">
        <v>1029</v>
      </c>
      <c r="D312" s="19">
        <v>0.121</v>
      </c>
      <c r="E312" s="18" t="s">
        <v>80</v>
      </c>
      <c r="F312" s="18" t="s">
        <v>92</v>
      </c>
      <c r="G312" s="15" t="s">
        <v>2023</v>
      </c>
      <c r="H312" s="12">
        <v>43.0</v>
      </c>
      <c r="I312" s="13" t="s">
        <v>20</v>
      </c>
      <c r="J312" s="14" t="s">
        <v>21</v>
      </c>
      <c r="K312" s="14">
        <v>7.0</v>
      </c>
      <c r="L312" s="14" t="str">
        <f t="array" ref="L312">INDEX('School Rep'!$A$2:$A$21, MATCH(J312, 'School Rep'!$B$2:$B$21, 0))</f>
        <v>Yesenia Lopez</v>
      </c>
      <c r="M312" s="15">
        <v>3.2</v>
      </c>
      <c r="N312" s="16" t="s">
        <v>1030</v>
      </c>
      <c r="O312" s="8" t="str">
        <f t="shared" si="1"/>
        <v>4136 S California Ave </v>
      </c>
      <c r="P312" s="12">
        <v>12.0</v>
      </c>
      <c r="Q312" s="13" t="s">
        <v>23</v>
      </c>
    </row>
    <row r="313">
      <c r="A313" s="7">
        <v>609716.0</v>
      </c>
      <c r="B313" s="13" t="s">
        <v>1031</v>
      </c>
      <c r="C313" s="17" t="s">
        <v>1032</v>
      </c>
      <c r="D313" s="10">
        <v>0.238</v>
      </c>
      <c r="E313" s="11" t="s">
        <v>80</v>
      </c>
      <c r="F313" s="11" t="s">
        <v>116</v>
      </c>
      <c r="G313" s="15" t="s">
        <v>2027</v>
      </c>
      <c r="H313" s="12">
        <v>39.0</v>
      </c>
      <c r="I313" s="13" t="s">
        <v>41</v>
      </c>
      <c r="J313" s="14" t="s">
        <v>47</v>
      </c>
      <c r="K313" s="14">
        <v>3.0</v>
      </c>
      <c r="L313" s="14" t="str">
        <f t="array" ref="L313">INDEX('School Rep'!$A$2:$A$21, MATCH(J313, 'School Rep'!$B$2:$B$21, 0))</f>
        <v>Norma Rios-Sierra</v>
      </c>
      <c r="M313" s="12">
        <v>2.9</v>
      </c>
      <c r="N313" s="16" t="s">
        <v>1033</v>
      </c>
      <c r="O313" s="8" t="str">
        <f t="shared" si="1"/>
        <v>4343 W Wrightwood Ave </v>
      </c>
      <c r="P313" s="12">
        <v>31.0</v>
      </c>
      <c r="Q313" s="13" t="s">
        <v>152</v>
      </c>
    </row>
    <row r="314">
      <c r="A314" s="7">
        <v>609718.0</v>
      </c>
      <c r="B314" s="8" t="s">
        <v>1034</v>
      </c>
      <c r="C314" s="9" t="s">
        <v>1035</v>
      </c>
      <c r="D314" s="10">
        <v>0.108</v>
      </c>
      <c r="E314" s="11" t="s">
        <v>80</v>
      </c>
      <c r="F314" s="11" t="s">
        <v>92</v>
      </c>
      <c r="G314" s="15" t="s">
        <v>2023</v>
      </c>
      <c r="H314" s="12">
        <v>38.0</v>
      </c>
      <c r="I314" s="13" t="s">
        <v>41</v>
      </c>
      <c r="J314" s="14" t="s">
        <v>139</v>
      </c>
      <c r="K314" s="14">
        <v>8.0</v>
      </c>
      <c r="L314" s="14" t="str">
        <f t="array" ref="L314">INDEX('School Rep'!$A$2:$A$21, MATCH(J314, 'School Rep'!$B$2:$B$21, 0))</f>
        <v>Angel Gutierrez</v>
      </c>
      <c r="M314" s="15">
        <v>2.1</v>
      </c>
      <c r="N314" s="16" t="s">
        <v>1036</v>
      </c>
      <c r="O314" s="8" t="str">
        <f t="shared" si="1"/>
        <v>6325 W 56th St </v>
      </c>
      <c r="P314" s="12">
        <v>13.0</v>
      </c>
      <c r="Q314" s="13" t="s">
        <v>250</v>
      </c>
    </row>
    <row r="315">
      <c r="A315" s="7">
        <v>609746.0</v>
      </c>
      <c r="B315" s="13" t="s">
        <v>1037</v>
      </c>
      <c r="C315" s="17" t="s">
        <v>1038</v>
      </c>
      <c r="D315" s="10">
        <v>0.056</v>
      </c>
      <c r="E315" s="11" t="s">
        <v>80</v>
      </c>
      <c r="F315" s="11" t="s">
        <v>263</v>
      </c>
      <c r="G315" s="15" t="s">
        <v>2034</v>
      </c>
      <c r="H315" s="12">
        <v>56.0</v>
      </c>
      <c r="I315" s="13" t="s">
        <v>20</v>
      </c>
      <c r="J315" s="14" t="s">
        <v>121</v>
      </c>
      <c r="K315" s="14">
        <v>10.0</v>
      </c>
      <c r="L315" s="14" t="str">
        <f t="array" ref="L315">INDEX('School Rep'!$A$2:$A$21, MATCH(J315, 'School Rep'!$B$2:$B$21, 0))</f>
        <v>Che "Rhymefest" Smith</v>
      </c>
      <c r="M315" s="12">
        <v>2.3</v>
      </c>
      <c r="N315" s="16" t="s">
        <v>1039</v>
      </c>
      <c r="O315" s="8" t="str">
        <f t="shared" si="1"/>
        <v>5015 S Blackstone Ave </v>
      </c>
      <c r="P315" s="12">
        <v>4.0</v>
      </c>
      <c r="Q315" s="13" t="s">
        <v>123</v>
      </c>
    </row>
    <row r="316">
      <c r="A316" s="7">
        <v>610019.0</v>
      </c>
      <c r="B316" s="8" t="s">
        <v>1040</v>
      </c>
      <c r="C316" s="9" t="s">
        <v>1041</v>
      </c>
      <c r="D316" s="10">
        <v>0.055</v>
      </c>
      <c r="E316" s="11" t="s">
        <v>80</v>
      </c>
      <c r="F316" s="11" t="s">
        <v>186</v>
      </c>
      <c r="G316" s="15" t="s">
        <v>2031</v>
      </c>
      <c r="H316" s="12">
        <v>66.0</v>
      </c>
      <c r="I316" s="13" t="s">
        <v>52</v>
      </c>
      <c r="J316" s="14" t="s">
        <v>187</v>
      </c>
      <c r="K316" s="14">
        <v>9.0</v>
      </c>
      <c r="L316" s="14" t="str">
        <f t="array" ref="L316">INDEX('School Rep'!$A$2:$A$21, MATCH(J316, 'School Rep'!$B$2:$B$21, 0))</f>
        <v>Frank Niles Thomas</v>
      </c>
      <c r="M316" s="15">
        <v>3.7</v>
      </c>
      <c r="N316" s="16" t="s">
        <v>1042</v>
      </c>
      <c r="O316" s="8" t="str">
        <f t="shared" si="1"/>
        <v>6450 S Lowe Ave </v>
      </c>
      <c r="P316" s="12">
        <v>16.0</v>
      </c>
      <c r="Q316" s="13" t="s">
        <v>193</v>
      </c>
    </row>
    <row r="317">
      <c r="A317" s="7">
        <v>610022.0</v>
      </c>
      <c r="B317" s="13" t="s">
        <v>1043</v>
      </c>
      <c r="C317" s="18" t="s">
        <v>1044</v>
      </c>
      <c r="D317" s="19">
        <v>0.095</v>
      </c>
      <c r="E317" s="18" t="s">
        <v>80</v>
      </c>
      <c r="F317" s="18" t="s">
        <v>270</v>
      </c>
      <c r="G317" s="15" t="s">
        <v>2035</v>
      </c>
      <c r="H317" s="12">
        <v>31.0</v>
      </c>
      <c r="I317" s="13" t="s">
        <v>41</v>
      </c>
      <c r="J317" s="14" t="s">
        <v>36</v>
      </c>
      <c r="K317" s="14">
        <v>2.0</v>
      </c>
      <c r="L317" s="14" t="str">
        <f t="array" ref="L317">INDEX('School Rep'!$A$2:$A$21, MATCH(J317, 'School Rep'!$B$2:$B$21, 0))</f>
        <v>Ebony DeBerry</v>
      </c>
      <c r="M317" s="12">
        <v>3.3</v>
      </c>
      <c r="N317" s="16" t="s">
        <v>1045</v>
      </c>
      <c r="O317" s="8" t="str">
        <f t="shared" si="1"/>
        <v>6700 N Greenview Ave </v>
      </c>
      <c r="P317" s="12">
        <v>49.0</v>
      </c>
      <c r="Q317" s="13" t="s">
        <v>38</v>
      </c>
    </row>
    <row r="318">
      <c r="A318" s="7">
        <v>610299.0</v>
      </c>
      <c r="B318" s="8" t="s">
        <v>1046</v>
      </c>
      <c r="C318" s="18" t="s">
        <v>1047</v>
      </c>
      <c r="D318" s="19">
        <v>0.331</v>
      </c>
      <c r="E318" s="18" t="s">
        <v>80</v>
      </c>
      <c r="F318" s="18" t="s">
        <v>186</v>
      </c>
      <c r="G318" s="15" t="s">
        <v>2031</v>
      </c>
      <c r="H318" s="12">
        <v>18.0</v>
      </c>
      <c r="I318" s="13" t="s">
        <v>30</v>
      </c>
      <c r="J318" s="14" t="s">
        <v>187</v>
      </c>
      <c r="K318" s="14">
        <v>9.0</v>
      </c>
      <c r="L318" s="14" t="str">
        <f t="array" ref="L318">INDEX('School Rep'!$A$2:$A$21, MATCH(J318, 'School Rep'!$B$2:$B$21, 0))</f>
        <v>Frank Niles Thomas</v>
      </c>
      <c r="M318" s="15">
        <v>3.9</v>
      </c>
      <c r="N318" s="16" t="s">
        <v>1048</v>
      </c>
      <c r="O318" s="8" t="str">
        <f t="shared" si="1"/>
        <v>644 W 71st St </v>
      </c>
      <c r="P318" s="12">
        <v>6.0</v>
      </c>
      <c r="Q318" s="13" t="s">
        <v>306</v>
      </c>
    </row>
    <row r="319">
      <c r="A319" s="7">
        <v>609751.0</v>
      </c>
      <c r="B319" s="13" t="s">
        <v>1049</v>
      </c>
      <c r="C319" s="18" t="s">
        <v>1050</v>
      </c>
      <c r="D319" s="19">
        <v>0.035</v>
      </c>
      <c r="E319" s="18" t="s">
        <v>80</v>
      </c>
      <c r="F319" s="18" t="s">
        <v>263</v>
      </c>
      <c r="G319" s="15" t="s">
        <v>2034</v>
      </c>
      <c r="H319" s="12">
        <v>31.0</v>
      </c>
      <c r="I319" s="13" t="s">
        <v>41</v>
      </c>
      <c r="J319" s="14" t="s">
        <v>121</v>
      </c>
      <c r="K319" s="14">
        <v>10.0</v>
      </c>
      <c r="L319" s="14" t="str">
        <f t="array" ref="L319">INDEX('School Rep'!$A$2:$A$21, MATCH(J319, 'School Rep'!$B$2:$B$21, 0))</f>
        <v>Che "Rhymefest" Smith</v>
      </c>
      <c r="M319" s="12">
        <v>3.1</v>
      </c>
      <c r="N319" s="16" t="s">
        <v>1051</v>
      </c>
      <c r="O319" s="8" t="str">
        <f t="shared" si="1"/>
        <v>4445 S Drexel Blvd </v>
      </c>
      <c r="P319" s="12">
        <v>4.0</v>
      </c>
      <c r="Q319" s="13" t="s">
        <v>123</v>
      </c>
    </row>
    <row r="320">
      <c r="A320" s="7">
        <v>610026.0</v>
      </c>
      <c r="B320" s="8" t="s">
        <v>1052</v>
      </c>
      <c r="C320" s="9" t="s">
        <v>1053</v>
      </c>
      <c r="D320" s="10">
        <v>0.033</v>
      </c>
      <c r="E320" s="11" t="s">
        <v>80</v>
      </c>
      <c r="F320" s="11" t="s">
        <v>126</v>
      </c>
      <c r="G320" s="15" t="e">
        <v>#N/A</v>
      </c>
      <c r="H320" s="12">
        <v>64.0</v>
      </c>
      <c r="I320" s="13" t="s">
        <v>52</v>
      </c>
      <c r="J320" s="14" t="s">
        <v>139</v>
      </c>
      <c r="K320" s="14">
        <v>8.0</v>
      </c>
      <c r="L320" s="14" t="str">
        <f t="array" ref="L320">INDEX('School Rep'!$A$2:$A$21, MATCH(J320, 'School Rep'!$B$2:$B$21, 0))</f>
        <v>Angel Gutierrez</v>
      </c>
      <c r="M320" s="15">
        <v>2.2</v>
      </c>
      <c r="N320" s="16" t="s">
        <v>1054</v>
      </c>
      <c r="O320" s="8" t="str">
        <f t="shared" si="1"/>
        <v>5625 S Mobile Ave </v>
      </c>
      <c r="P320" s="12">
        <v>13.0</v>
      </c>
      <c r="Q320" s="13" t="s">
        <v>250</v>
      </c>
    </row>
    <row r="321">
      <c r="A321" s="7">
        <v>610027.0</v>
      </c>
      <c r="B321" s="8" t="s">
        <v>1055</v>
      </c>
      <c r="C321" s="18" t="s">
        <v>1056</v>
      </c>
      <c r="D321" s="19">
        <v>0.123</v>
      </c>
      <c r="E321" s="18" t="s">
        <v>80</v>
      </c>
      <c r="F321" s="18" t="s">
        <v>186</v>
      </c>
      <c r="G321" s="15" t="s">
        <v>2031</v>
      </c>
      <c r="H321" s="12">
        <v>64.0</v>
      </c>
      <c r="I321" s="13" t="s">
        <v>52</v>
      </c>
      <c r="J321" s="14" t="s">
        <v>178</v>
      </c>
      <c r="K321" s="14">
        <v>9.0</v>
      </c>
      <c r="L321" s="14" t="str">
        <f t="array" ref="L321">INDEX('School Rep'!$A$2:$A$21, MATCH(J321, 'School Rep'!$B$2:$B$21, 0))</f>
        <v>Therese Boyle</v>
      </c>
      <c r="M321" s="15">
        <v>3.1</v>
      </c>
      <c r="N321" s="16" t="s">
        <v>1057</v>
      </c>
      <c r="O321" s="8" t="str">
        <f t="shared" si="1"/>
        <v>9351 S Lowe Ave </v>
      </c>
      <c r="P321" s="12">
        <v>9.0</v>
      </c>
      <c r="Q321" s="13" t="s">
        <v>237</v>
      </c>
    </row>
    <row r="322">
      <c r="A322" s="7">
        <v>400146.0</v>
      </c>
      <c r="B322" s="12" t="s">
        <v>1058</v>
      </c>
      <c r="C322" s="11" t="s">
        <v>1059</v>
      </c>
      <c r="D322" s="10">
        <v>0.195</v>
      </c>
      <c r="E322" s="11" t="s">
        <v>19</v>
      </c>
      <c r="F322" s="11" t="s">
        <v>19</v>
      </c>
      <c r="G322" s="15" t="e">
        <v>#N/A</v>
      </c>
      <c r="H322" s="12">
        <v>48.0</v>
      </c>
      <c r="I322" s="13" t="s">
        <v>20</v>
      </c>
      <c r="J322" s="14" t="s">
        <v>31</v>
      </c>
      <c r="K322" s="14">
        <v>5.0</v>
      </c>
      <c r="L322" s="14" t="str">
        <f t="array" ref="L322">INDEX('School Rep'!$A$2:$A$21, MATCH(J322, 'School Rep'!$B$2:$B$21, 0))</f>
        <v>Aaron "Jitu" Brown</v>
      </c>
      <c r="M322" s="12">
        <v>3.7</v>
      </c>
      <c r="N322" s="16" t="s">
        <v>1060</v>
      </c>
      <c r="O322" s="8" t="str">
        <f t="shared" si="1"/>
        <v>4818 W Ohio St </v>
      </c>
      <c r="P322" s="12">
        <v>37.0</v>
      </c>
      <c r="Q322" s="13" t="s">
        <v>162</v>
      </c>
    </row>
    <row r="323">
      <c r="A323" s="7">
        <v>400044.0</v>
      </c>
      <c r="B323" s="12" t="s">
        <v>1061</v>
      </c>
      <c r="C323" s="17" t="s">
        <v>1062</v>
      </c>
      <c r="D323" s="10">
        <v>0.141</v>
      </c>
      <c r="E323" s="11" t="s">
        <v>19</v>
      </c>
      <c r="F323" s="11" t="s">
        <v>19</v>
      </c>
      <c r="G323" s="15" t="e">
        <v>#N/A</v>
      </c>
      <c r="H323" s="12">
        <v>49.0</v>
      </c>
      <c r="I323" s="13" t="s">
        <v>20</v>
      </c>
      <c r="J323" s="14" t="s">
        <v>217</v>
      </c>
      <c r="K323" s="14">
        <v>5.0</v>
      </c>
      <c r="L323" s="14" t="str">
        <f t="array" ref="L323">INDEX('School Rep'!$A$2:$A$21, MATCH(J323, 'School Rep'!$B$2:$B$21, 0))</f>
        <v>Michilla Blaise</v>
      </c>
      <c r="M323" s="12">
        <v>3.4</v>
      </c>
      <c r="N323" s="16" t="s">
        <v>1063</v>
      </c>
      <c r="O323" s="8" t="str">
        <f t="shared" si="1"/>
        <v>1616 S Avers Ave </v>
      </c>
      <c r="P323" s="12">
        <v>24.0</v>
      </c>
      <c r="Q323" s="13" t="s">
        <v>517</v>
      </c>
    </row>
    <row r="324">
      <c r="A324" s="7">
        <v>400163.0</v>
      </c>
      <c r="B324" s="8" t="s">
        <v>1064</v>
      </c>
      <c r="C324" s="11" t="s">
        <v>1065</v>
      </c>
      <c r="D324" s="10">
        <v>0.11</v>
      </c>
      <c r="E324" s="11" t="s">
        <v>19</v>
      </c>
      <c r="F324" s="11" t="s">
        <v>19</v>
      </c>
      <c r="G324" s="15" t="e">
        <v>#N/A</v>
      </c>
      <c r="H324" s="12">
        <v>34.0</v>
      </c>
      <c r="I324" s="13" t="s">
        <v>41</v>
      </c>
      <c r="J324" s="14" t="s">
        <v>187</v>
      </c>
      <c r="K324" s="14">
        <v>9.0</v>
      </c>
      <c r="L324" s="14" t="str">
        <f t="array" ref="L324">INDEX('School Rep'!$A$2:$A$21, MATCH(J324, 'School Rep'!$B$2:$B$21, 0))</f>
        <v>Frank Niles Thomas</v>
      </c>
      <c r="M324" s="15">
        <v>3.7</v>
      </c>
      <c r="N324" s="16" t="s">
        <v>1066</v>
      </c>
      <c r="O324" s="8" t="str">
        <f t="shared" si="1"/>
        <v>5515 S Lowe Ave </v>
      </c>
      <c r="P324" s="12">
        <v>16.0</v>
      </c>
      <c r="Q324" s="13" t="s">
        <v>193</v>
      </c>
    </row>
    <row r="325">
      <c r="A325" s="7">
        <v>400180.0</v>
      </c>
      <c r="B325" s="12" t="s">
        <v>1067</v>
      </c>
      <c r="C325" s="17" t="s">
        <v>1068</v>
      </c>
      <c r="D325" s="10">
        <v>0.098</v>
      </c>
      <c r="E325" s="11" t="s">
        <v>19</v>
      </c>
      <c r="F325" s="11" t="s">
        <v>19</v>
      </c>
      <c r="G325" s="15" t="e">
        <v>#N/A</v>
      </c>
      <c r="H325" s="12">
        <v>56.0</v>
      </c>
      <c r="I325" s="13" t="s">
        <v>20</v>
      </c>
      <c r="J325" s="14" t="s">
        <v>31</v>
      </c>
      <c r="K325" s="14">
        <v>5.0</v>
      </c>
      <c r="L325" s="14" t="str">
        <f t="array" ref="L325">INDEX('School Rep'!$A$2:$A$21, MATCH(J325, 'School Rep'!$B$2:$B$21, 0))</f>
        <v>Aaron "Jitu" Brown</v>
      </c>
      <c r="M325" s="12">
        <v>3.7</v>
      </c>
      <c r="N325" s="16" t="s">
        <v>1069</v>
      </c>
      <c r="O325" s="8" t="str">
        <f t="shared" si="1"/>
        <v>730 N Pulaski </v>
      </c>
      <c r="P325" s="12">
        <v>37.0</v>
      </c>
      <c r="Q325" s="13" t="s">
        <v>162</v>
      </c>
    </row>
    <row r="326">
      <c r="A326" s="7">
        <v>610030.0</v>
      </c>
      <c r="B326" s="8" t="s">
        <v>1070</v>
      </c>
      <c r="C326" s="18" t="s">
        <v>1071</v>
      </c>
      <c r="D326" s="19">
        <v>0.17</v>
      </c>
      <c r="E326" s="18" t="s">
        <v>80</v>
      </c>
      <c r="F326" s="18" t="s">
        <v>120</v>
      </c>
      <c r="G326" s="15" t="s">
        <v>2028</v>
      </c>
      <c r="H326" s="12">
        <v>39.0</v>
      </c>
      <c r="I326" s="13" t="s">
        <v>41</v>
      </c>
      <c r="J326" s="14" t="s">
        <v>204</v>
      </c>
      <c r="K326" s="14">
        <v>6.0</v>
      </c>
      <c r="L326" s="14" t="str">
        <f t="array" ref="L326">INDEX('School Rep'!$A$2:$A$21, MATCH(J326, 'School Rep'!$B$2:$B$21, 0))</f>
        <v>Jessica Biggs</v>
      </c>
      <c r="M326" s="15">
        <v>3.0</v>
      </c>
      <c r="N326" s="16" t="s">
        <v>1072</v>
      </c>
      <c r="O326" s="8" t="str">
        <f t="shared" si="1"/>
        <v>936 E 54th St </v>
      </c>
      <c r="P326" s="12">
        <v>5.0</v>
      </c>
      <c r="Q326" s="13" t="s">
        <v>357</v>
      </c>
    </row>
    <row r="327">
      <c r="A327" s="7">
        <v>609719.0</v>
      </c>
      <c r="B327" s="12" t="s">
        <v>1073</v>
      </c>
      <c r="C327" s="17" t="s">
        <v>1074</v>
      </c>
      <c r="D327" s="10">
        <v>0.124</v>
      </c>
      <c r="E327" s="11" t="s">
        <v>80</v>
      </c>
      <c r="F327" s="11" t="s">
        <v>116</v>
      </c>
      <c r="G327" s="15" t="s">
        <v>2027</v>
      </c>
      <c r="H327" s="12">
        <v>28.0</v>
      </c>
      <c r="I327" s="13" t="s">
        <v>41</v>
      </c>
      <c r="J327" s="14" t="s">
        <v>243</v>
      </c>
      <c r="K327" s="14">
        <v>4.0</v>
      </c>
      <c r="L327" s="14" t="str">
        <f t="array" ref="L327">INDEX('School Rep'!$A$2:$A$21, MATCH(J327, 'School Rep'!$B$2:$B$21, 0))</f>
        <v>Karen Zaccor</v>
      </c>
      <c r="M327" s="12">
        <v>1.8</v>
      </c>
      <c r="N327" s="16" t="s">
        <v>1075</v>
      </c>
      <c r="O327" s="8" t="str">
        <f t="shared" si="1"/>
        <v>4015 N Ashland Ave </v>
      </c>
      <c r="P327" s="12">
        <v>47.0</v>
      </c>
      <c r="Q327" s="13" t="s">
        <v>228</v>
      </c>
    </row>
    <row r="328">
      <c r="A328" s="7">
        <v>609720.0</v>
      </c>
      <c r="B328" s="12" t="s">
        <v>1076</v>
      </c>
      <c r="C328" s="17" t="s">
        <v>1077</v>
      </c>
      <c r="D328" s="10">
        <v>0.015</v>
      </c>
      <c r="E328" s="11" t="s">
        <v>80</v>
      </c>
      <c r="F328" s="11" t="s">
        <v>116</v>
      </c>
      <c r="G328" s="15" t="s">
        <v>2027</v>
      </c>
      <c r="H328" s="15"/>
      <c r="I328" s="8"/>
      <c r="J328" s="14" t="s">
        <v>103</v>
      </c>
      <c r="K328" s="14">
        <v>4.0</v>
      </c>
      <c r="L328" s="14" t="str">
        <f t="array" ref="L328">INDEX('School Rep'!$A$2:$A$21, MATCH(J328, 'School Rep'!$B$2:$B$21, 0))</f>
        <v>Ellen Rosenfeld</v>
      </c>
      <c r="M328" s="12">
        <v>1.2</v>
      </c>
      <c r="N328" s="16" t="s">
        <v>1078</v>
      </c>
      <c r="O328" s="8" t="str">
        <f t="shared" si="1"/>
        <v>2501 W Addison St </v>
      </c>
      <c r="P328" s="12">
        <v>47.0</v>
      </c>
      <c r="Q328" s="13" t="s">
        <v>228</v>
      </c>
    </row>
    <row r="329">
      <c r="A329" s="7">
        <v>609869.0</v>
      </c>
      <c r="B329" s="8" t="s">
        <v>1079</v>
      </c>
      <c r="C329" s="9" t="s">
        <v>1080</v>
      </c>
      <c r="D329" s="10">
        <v>0.233</v>
      </c>
      <c r="E329" s="11" t="s">
        <v>80</v>
      </c>
      <c r="F329" s="11" t="s">
        <v>186</v>
      </c>
      <c r="G329" s="15" t="s">
        <v>2031</v>
      </c>
      <c r="H329" s="12">
        <v>64.0</v>
      </c>
      <c r="I329" s="13" t="s">
        <v>52</v>
      </c>
      <c r="J329" s="14" t="s">
        <v>187</v>
      </c>
      <c r="K329" s="14">
        <v>9.0</v>
      </c>
      <c r="L329" s="14" t="str">
        <f t="array" ref="L329">INDEX('School Rep'!$A$2:$A$21, MATCH(J329, 'School Rep'!$B$2:$B$21, 0))</f>
        <v>Frank Niles Thomas</v>
      </c>
      <c r="M329" s="15">
        <v>3.3</v>
      </c>
      <c r="N329" s="16" t="s">
        <v>1081</v>
      </c>
      <c r="O329" s="8" t="str">
        <f t="shared" si="1"/>
        <v>6010 S Throop St </v>
      </c>
      <c r="P329" s="12">
        <v>16.0</v>
      </c>
      <c r="Q329" s="13" t="s">
        <v>193</v>
      </c>
    </row>
    <row r="330">
      <c r="A330" s="7">
        <v>609993.0</v>
      </c>
      <c r="B330" s="8" t="s">
        <v>1082</v>
      </c>
      <c r="C330" s="18" t="s">
        <v>1083</v>
      </c>
      <c r="D330" s="19">
        <v>0.155</v>
      </c>
      <c r="E330" s="18" t="s">
        <v>80</v>
      </c>
      <c r="F330" s="18" t="s">
        <v>126</v>
      </c>
      <c r="G330" s="15" t="e">
        <v>#N/A</v>
      </c>
      <c r="H330" s="12">
        <v>65.0</v>
      </c>
      <c r="I330" s="13" t="s">
        <v>52</v>
      </c>
      <c r="J330" s="14" t="s">
        <v>26</v>
      </c>
      <c r="K330" s="14">
        <v>8.0</v>
      </c>
      <c r="L330" s="14" t="str">
        <f t="array" ref="L330">INDEX('School Rep'!$A$2:$A$21, MATCH(J330, 'School Rep'!$B$2:$B$21, 0))</f>
        <v>Cydney Wallace</v>
      </c>
      <c r="M330" s="15">
        <v>4.2</v>
      </c>
      <c r="N330" s="16" t="s">
        <v>1084</v>
      </c>
      <c r="O330" s="8" t="str">
        <f t="shared" si="1"/>
        <v>4619 S Wolcott Ave </v>
      </c>
      <c r="P330" s="12">
        <v>15.0</v>
      </c>
      <c r="Q330" s="13" t="s">
        <v>364</v>
      </c>
    </row>
    <row r="331">
      <c r="A331" s="7">
        <v>610033.0</v>
      </c>
      <c r="B331" s="12" t="s">
        <v>1085</v>
      </c>
      <c r="C331" s="18" t="s">
        <v>1086</v>
      </c>
      <c r="D331" s="19">
        <v>0.0</v>
      </c>
      <c r="E331" s="18" t="s">
        <v>80</v>
      </c>
      <c r="F331" s="18" t="s">
        <v>102</v>
      </c>
      <c r="G331" s="15" t="s">
        <v>2025</v>
      </c>
      <c r="H331" s="12">
        <v>44.0</v>
      </c>
      <c r="I331" s="13" t="s">
        <v>20</v>
      </c>
      <c r="J331" s="14" t="s">
        <v>103</v>
      </c>
      <c r="K331" s="14">
        <v>4.0</v>
      </c>
      <c r="L331" s="14" t="str">
        <f t="array" ref="L331">INDEX('School Rep'!$A$2:$A$21, MATCH(J331, 'School Rep'!$B$2:$B$21, 0))</f>
        <v>Ellen Rosenfeld</v>
      </c>
      <c r="M331" s="12">
        <v>2.2</v>
      </c>
      <c r="N331" s="16" t="s">
        <v>1087</v>
      </c>
      <c r="O331" s="8" t="str">
        <f t="shared" si="1"/>
        <v>1734 N Orleans St </v>
      </c>
      <c r="P331" s="12">
        <v>43.0</v>
      </c>
      <c r="Q331" s="13" t="s">
        <v>105</v>
      </c>
    </row>
    <row r="332">
      <c r="A332" s="7">
        <v>610520.0</v>
      </c>
      <c r="B332" s="12" t="s">
        <v>1088</v>
      </c>
      <c r="C332" s="11" t="s">
        <v>1089</v>
      </c>
      <c r="D332" s="10">
        <v>0.0</v>
      </c>
      <c r="E332" s="11" t="s">
        <v>80</v>
      </c>
      <c r="F332" s="11" t="s">
        <v>126</v>
      </c>
      <c r="G332" s="15" t="e">
        <v>#N/A</v>
      </c>
      <c r="H332" s="12">
        <v>68.0</v>
      </c>
      <c r="I332" s="13" t="s">
        <v>52</v>
      </c>
      <c r="J332" s="14" t="s">
        <v>31</v>
      </c>
      <c r="K332" s="14">
        <v>5.0</v>
      </c>
      <c r="L332" s="14" t="str">
        <f t="array" ref="L332">INDEX('School Rep'!$A$2:$A$21, MATCH(J332, 'School Rep'!$B$2:$B$21, 0))</f>
        <v>Aaron "Jitu" Brown</v>
      </c>
      <c r="M332" s="12">
        <v>2.4</v>
      </c>
      <c r="N332" s="16" t="s">
        <v>1090</v>
      </c>
      <c r="O332" s="8" t="str">
        <f t="shared" si="1"/>
        <v>1148 N Honore St </v>
      </c>
      <c r="P332" s="12">
        <v>1.0</v>
      </c>
      <c r="Q332" s="13" t="s">
        <v>275</v>
      </c>
    </row>
    <row r="333">
      <c r="A333" s="7">
        <v>610208.0</v>
      </c>
      <c r="B333" s="8" t="s">
        <v>1091</v>
      </c>
      <c r="C333" s="9" t="s">
        <v>1092</v>
      </c>
      <c r="D333" s="10">
        <v>0.263</v>
      </c>
      <c r="E333" s="11" t="s">
        <v>80</v>
      </c>
      <c r="F333" s="11" t="s">
        <v>81</v>
      </c>
      <c r="G333" s="15" t="s">
        <v>2022</v>
      </c>
      <c r="H333" s="12">
        <v>41.0</v>
      </c>
      <c r="I333" s="13" t="s">
        <v>20</v>
      </c>
      <c r="J333" s="14" t="s">
        <v>178</v>
      </c>
      <c r="K333" s="14">
        <v>9.0</v>
      </c>
      <c r="L333" s="14" t="str">
        <f t="array" ref="L333">INDEX('School Rep'!$A$2:$A$21, MATCH(J333, 'School Rep'!$B$2:$B$21, 0))</f>
        <v>Therese Boyle</v>
      </c>
      <c r="M333" s="15">
        <v>3.3</v>
      </c>
      <c r="N333" s="16" t="s">
        <v>1093</v>
      </c>
      <c r="O333" s="8" t="str">
        <f t="shared" si="1"/>
        <v>138 W 109th St </v>
      </c>
      <c r="P333" s="12">
        <v>9.0</v>
      </c>
      <c r="Q333" s="13" t="s">
        <v>237</v>
      </c>
    </row>
    <row r="334">
      <c r="A334" s="7">
        <v>610034.0</v>
      </c>
      <c r="B334" s="8" t="s">
        <v>1094</v>
      </c>
      <c r="C334" s="18" t="s">
        <v>1095</v>
      </c>
      <c r="D334" s="19">
        <v>0.14</v>
      </c>
      <c r="E334" s="18" t="s">
        <v>80</v>
      </c>
      <c r="F334" s="18" t="s">
        <v>216</v>
      </c>
      <c r="G334" s="15" t="s">
        <v>2032</v>
      </c>
      <c r="H334" s="12">
        <v>48.0</v>
      </c>
      <c r="I334" s="13" t="s">
        <v>20</v>
      </c>
      <c r="J334" s="14" t="s">
        <v>217</v>
      </c>
      <c r="K334" s="14">
        <v>5.0</v>
      </c>
      <c r="L334" s="14" t="str">
        <f t="array" ref="L334">INDEX('School Rep'!$A$2:$A$21, MATCH(J334, 'School Rep'!$B$2:$B$21, 0))</f>
        <v>Michilla Blaise</v>
      </c>
      <c r="M334" s="15">
        <v>3.7</v>
      </c>
      <c r="N334" s="16" t="s">
        <v>1096</v>
      </c>
      <c r="O334" s="8" t="str">
        <f t="shared" si="1"/>
        <v>3500 W Douglas Blvd </v>
      </c>
      <c r="P334" s="12">
        <v>24.0</v>
      </c>
      <c r="Q334" s="13" t="s">
        <v>517</v>
      </c>
    </row>
    <row r="335">
      <c r="A335" s="7">
        <v>400151.0</v>
      </c>
      <c r="B335" s="12" t="s">
        <v>1097</v>
      </c>
      <c r="C335" s="11" t="s">
        <v>1098</v>
      </c>
      <c r="D335" s="10">
        <v>0.076</v>
      </c>
      <c r="E335" s="11" t="s">
        <v>19</v>
      </c>
      <c r="F335" s="11" t="s">
        <v>19</v>
      </c>
      <c r="G335" s="15" t="e">
        <v>#N/A</v>
      </c>
      <c r="H335" s="12">
        <v>59.0</v>
      </c>
      <c r="I335" s="13" t="s">
        <v>20</v>
      </c>
      <c r="J335" s="14" t="s">
        <v>217</v>
      </c>
      <c r="K335" s="14">
        <v>5.0</v>
      </c>
      <c r="L335" s="14" t="str">
        <f t="array" ref="L335">INDEX('School Rep'!$A$2:$A$21, MATCH(J335, 'School Rep'!$B$2:$B$21, 0))</f>
        <v>Michilla Blaise</v>
      </c>
      <c r="M335" s="12">
        <v>3.3</v>
      </c>
      <c r="N335" s="16" t="s">
        <v>1099</v>
      </c>
      <c r="O335" s="8" t="str">
        <f t="shared" si="1"/>
        <v>3021 W Carroll Ave </v>
      </c>
      <c r="P335" s="12">
        <v>27.0</v>
      </c>
      <c r="Q335" s="13" t="s">
        <v>219</v>
      </c>
    </row>
    <row r="336">
      <c r="A336" s="7">
        <v>400046.0</v>
      </c>
      <c r="B336" s="12" t="s">
        <v>1100</v>
      </c>
      <c r="C336" s="11" t="s">
        <v>1101</v>
      </c>
      <c r="D336" s="10">
        <v>0.064</v>
      </c>
      <c r="E336" s="11" t="s">
        <v>19</v>
      </c>
      <c r="F336" s="11" t="s">
        <v>19</v>
      </c>
      <c r="G336" s="15" t="e">
        <v>#N/A</v>
      </c>
      <c r="H336" s="12">
        <v>61.0</v>
      </c>
      <c r="I336" s="13" t="s">
        <v>52</v>
      </c>
      <c r="J336" s="14" t="s">
        <v>217</v>
      </c>
      <c r="K336" s="14">
        <v>5.0</v>
      </c>
      <c r="L336" s="14" t="str">
        <f t="array" ref="L336">INDEX('School Rep'!$A$2:$A$21, MATCH(J336, 'School Rep'!$B$2:$B$21, 0))</f>
        <v>Michilla Blaise</v>
      </c>
      <c r="M336" s="12">
        <v>3.3</v>
      </c>
      <c r="N336" s="16" t="s">
        <v>1102</v>
      </c>
      <c r="O336" s="8" t="str">
        <f t="shared" si="1"/>
        <v>1132 S Homan Ave </v>
      </c>
      <c r="P336" s="12">
        <v>24.0</v>
      </c>
      <c r="Q336" s="13" t="s">
        <v>517</v>
      </c>
    </row>
    <row r="337">
      <c r="A337" s="7">
        <v>400047.0</v>
      </c>
      <c r="B337" s="12" t="s">
        <v>1103</v>
      </c>
      <c r="C337" s="11" t="s">
        <v>1104</v>
      </c>
      <c r="D337" s="10">
        <v>0.082</v>
      </c>
      <c r="E337" s="11" t="s">
        <v>19</v>
      </c>
      <c r="F337" s="11" t="s">
        <v>19</v>
      </c>
      <c r="G337" s="15" t="e">
        <v>#N/A</v>
      </c>
      <c r="H337" s="12">
        <v>60.0</v>
      </c>
      <c r="I337" s="13" t="s">
        <v>52</v>
      </c>
      <c r="J337" s="14" t="s">
        <v>217</v>
      </c>
      <c r="K337" s="14">
        <v>5.0</v>
      </c>
      <c r="L337" s="14" t="str">
        <f t="array" ref="L337">INDEX('School Rep'!$A$2:$A$21, MATCH(J337, 'School Rep'!$B$2:$B$21, 0))</f>
        <v>Michilla Blaise</v>
      </c>
      <c r="M337" s="12">
        <v>3.3</v>
      </c>
      <c r="N337" s="16" t="s">
        <v>1105</v>
      </c>
      <c r="O337" s="8" t="str">
        <f t="shared" si="1"/>
        <v>212 S Francisco Ave </v>
      </c>
      <c r="P337" s="12">
        <v>27.0</v>
      </c>
      <c r="Q337" s="13" t="s">
        <v>219</v>
      </c>
    </row>
    <row r="338">
      <c r="A338" s="7">
        <v>400048.0</v>
      </c>
      <c r="B338" s="12" t="s">
        <v>1106</v>
      </c>
      <c r="C338" s="18" t="s">
        <v>1107</v>
      </c>
      <c r="D338" s="19">
        <v>0.048</v>
      </c>
      <c r="E338" s="18" t="s">
        <v>19</v>
      </c>
      <c r="F338" s="18" t="s">
        <v>19</v>
      </c>
      <c r="G338" s="15" t="e">
        <v>#N/A</v>
      </c>
      <c r="H338" s="12">
        <v>59.0</v>
      </c>
      <c r="I338" s="13" t="s">
        <v>20</v>
      </c>
      <c r="J338" s="14" t="s">
        <v>217</v>
      </c>
      <c r="K338" s="14">
        <v>5.0</v>
      </c>
      <c r="L338" s="14" t="str">
        <f t="array" ref="L338">INDEX('School Rep'!$A$2:$A$21, MATCH(J338, 'School Rep'!$B$2:$B$21, 0))</f>
        <v>Michilla Blaise</v>
      </c>
      <c r="M338" s="12">
        <v>3.5</v>
      </c>
      <c r="N338" s="16" t="s">
        <v>1099</v>
      </c>
      <c r="O338" s="8" t="str">
        <f t="shared" si="1"/>
        <v>3021 W Carroll Ave </v>
      </c>
      <c r="P338" s="12">
        <v>27.0</v>
      </c>
      <c r="Q338" s="13" t="s">
        <v>219</v>
      </c>
    </row>
    <row r="339">
      <c r="A339" s="7">
        <v>400165.0</v>
      </c>
      <c r="B339" s="12" t="s">
        <v>1108</v>
      </c>
      <c r="C339" s="11" t="s">
        <v>1109</v>
      </c>
      <c r="D339" s="10">
        <v>0.036</v>
      </c>
      <c r="E339" s="11" t="s">
        <v>19</v>
      </c>
      <c r="F339" s="11" t="s">
        <v>19</v>
      </c>
      <c r="G339" s="15" t="e">
        <v>#N/A</v>
      </c>
      <c r="H339" s="12">
        <v>59.0</v>
      </c>
      <c r="I339" s="13" t="s">
        <v>20</v>
      </c>
      <c r="J339" s="14" t="s">
        <v>217</v>
      </c>
      <c r="K339" s="14">
        <v>5.0</v>
      </c>
      <c r="L339" s="14" t="str">
        <f t="array" ref="L339">INDEX('School Rep'!$A$2:$A$21, MATCH(J339, 'School Rep'!$B$2:$B$21, 0))</f>
        <v>Michilla Blaise</v>
      </c>
      <c r="M339" s="12">
        <v>3.6</v>
      </c>
      <c r="N339" s="16" t="s">
        <v>1099</v>
      </c>
      <c r="O339" s="8" t="str">
        <f t="shared" si="1"/>
        <v>3021 W Carroll Ave </v>
      </c>
      <c r="P339" s="12">
        <v>27.0</v>
      </c>
      <c r="Q339" s="13" t="s">
        <v>219</v>
      </c>
    </row>
    <row r="340">
      <c r="A340" s="7">
        <v>400111.0</v>
      </c>
      <c r="B340" s="8" t="s">
        <v>1110</v>
      </c>
      <c r="C340" s="11" t="s">
        <v>1111</v>
      </c>
      <c r="D340" s="10">
        <v>0.064</v>
      </c>
      <c r="E340" s="11" t="s">
        <v>19</v>
      </c>
      <c r="F340" s="11" t="s">
        <v>19</v>
      </c>
      <c r="G340" s="15" t="e">
        <v>#N/A</v>
      </c>
      <c r="H340" s="15"/>
      <c r="I340" s="8"/>
      <c r="J340" s="14" t="s">
        <v>187</v>
      </c>
      <c r="K340" s="14">
        <v>9.0</v>
      </c>
      <c r="L340" s="14" t="str">
        <f t="array" ref="L340">INDEX('School Rep'!$A$2:$A$21, MATCH(J340, 'School Rep'!$B$2:$B$21, 0))</f>
        <v>Frank Niles Thomas</v>
      </c>
      <c r="M340" s="15">
        <v>3.0</v>
      </c>
      <c r="N340" s="16" t="s">
        <v>1112</v>
      </c>
      <c r="O340" s="8" t="str">
        <f t="shared" si="1"/>
        <v>1700 W 83rd St </v>
      </c>
      <c r="P340" s="12">
        <v>17.0</v>
      </c>
      <c r="Q340" s="13" t="s">
        <v>189</v>
      </c>
    </row>
    <row r="341">
      <c r="A341" s="7">
        <v>400107.0</v>
      </c>
      <c r="B341" s="13" t="s">
        <v>1113</v>
      </c>
      <c r="C341" s="11" t="s">
        <v>1114</v>
      </c>
      <c r="D341" s="10">
        <v>0.102</v>
      </c>
      <c r="E341" s="11" t="s">
        <v>19</v>
      </c>
      <c r="F341" s="11" t="s">
        <v>19</v>
      </c>
      <c r="G341" s="15" t="e">
        <v>#N/A</v>
      </c>
      <c r="H341" s="12">
        <v>61.0</v>
      </c>
      <c r="I341" s="13" t="s">
        <v>52</v>
      </c>
      <c r="J341" s="14" t="s">
        <v>82</v>
      </c>
      <c r="K341" s="14">
        <v>10.0</v>
      </c>
      <c r="L341" s="14" t="str">
        <f t="array" ref="L341">INDEX('School Rep'!$A$2:$A$21, MATCH(J341, 'School Rep'!$B$2:$B$21, 0))</f>
        <v>Olga Bautista</v>
      </c>
      <c r="M341" s="12">
        <v>3.5</v>
      </c>
      <c r="N341" s="16" t="s">
        <v>1115</v>
      </c>
      <c r="O341" s="8" t="str">
        <f t="shared" si="1"/>
        <v>8914 S Buffalo Ave </v>
      </c>
      <c r="P341" s="12">
        <v>10.0</v>
      </c>
      <c r="Q341" s="13" t="s">
        <v>84</v>
      </c>
    </row>
    <row r="342">
      <c r="A342" s="7">
        <v>610291.0</v>
      </c>
      <c r="B342" s="8" t="s">
        <v>1116</v>
      </c>
      <c r="C342" s="18" t="s">
        <v>1117</v>
      </c>
      <c r="D342" s="19">
        <v>0.054</v>
      </c>
      <c r="E342" s="18" t="s">
        <v>80</v>
      </c>
      <c r="F342" s="18" t="s">
        <v>126</v>
      </c>
      <c r="G342" s="15" t="e">
        <v>#N/A</v>
      </c>
      <c r="H342" s="12">
        <v>64.0</v>
      </c>
      <c r="I342" s="13" t="s">
        <v>52</v>
      </c>
      <c r="J342" s="14" t="s">
        <v>139</v>
      </c>
      <c r="K342" s="14">
        <v>8.0</v>
      </c>
      <c r="L342" s="14" t="str">
        <f t="array" ref="L342">INDEX('School Rep'!$A$2:$A$21, MATCH(J342, 'School Rep'!$B$2:$B$21, 0))</f>
        <v>Angel Gutierrez</v>
      </c>
      <c r="M342" s="15">
        <v>3.2</v>
      </c>
      <c r="N342" s="16" t="s">
        <v>1118</v>
      </c>
      <c r="O342" s="8" t="str">
        <f t="shared" si="1"/>
        <v>6448 S Tripp Ave </v>
      </c>
      <c r="P342" s="12">
        <v>13.0</v>
      </c>
      <c r="Q342" s="13" t="s">
        <v>250</v>
      </c>
    </row>
    <row r="343">
      <c r="A343" s="7">
        <v>400049.0</v>
      </c>
      <c r="B343" s="12" t="s">
        <v>1119</v>
      </c>
      <c r="C343" s="17" t="s">
        <v>1120</v>
      </c>
      <c r="D343" s="10">
        <v>0.098</v>
      </c>
      <c r="E343" s="11" t="s">
        <v>19</v>
      </c>
      <c r="F343" s="11" t="s">
        <v>19</v>
      </c>
      <c r="G343" s="15" t="e">
        <v>#N/A</v>
      </c>
      <c r="H343" s="15"/>
      <c r="I343" s="8"/>
      <c r="J343" s="14" t="s">
        <v>217</v>
      </c>
      <c r="K343" s="14">
        <v>5.0</v>
      </c>
      <c r="L343" s="14" t="str">
        <f t="array" ref="L343">INDEX('School Rep'!$A$2:$A$21, MATCH(J343, 'School Rep'!$B$2:$B$21, 0))</f>
        <v>Michilla Blaise</v>
      </c>
      <c r="M343" s="12">
        <v>3.9</v>
      </c>
      <c r="N343" s="16" t="s">
        <v>1121</v>
      </c>
      <c r="O343" s="8" t="str">
        <f t="shared" si="1"/>
        <v>3318 W Ogden Ave </v>
      </c>
      <c r="P343" s="12">
        <v>24.0</v>
      </c>
      <c r="Q343" s="13" t="s">
        <v>517</v>
      </c>
    </row>
    <row r="344">
      <c r="A344" s="7">
        <v>400119.0</v>
      </c>
      <c r="B344" s="12" t="s">
        <v>1122</v>
      </c>
      <c r="C344" s="17" t="s">
        <v>1123</v>
      </c>
      <c r="D344" s="10">
        <v>0.191</v>
      </c>
      <c r="E344" s="11" t="s">
        <v>19</v>
      </c>
      <c r="F344" s="11" t="s">
        <v>19</v>
      </c>
      <c r="G344" s="15" t="e">
        <v>#N/A</v>
      </c>
      <c r="H344" s="12">
        <v>28.0</v>
      </c>
      <c r="I344" s="13" t="s">
        <v>41</v>
      </c>
      <c r="J344" s="14" t="s">
        <v>217</v>
      </c>
      <c r="K344" s="14">
        <v>5.0</v>
      </c>
      <c r="L344" s="14" t="str">
        <f t="array" ref="L344">INDEX('School Rep'!$A$2:$A$21, MATCH(J344, 'School Rep'!$B$2:$B$21, 0))</f>
        <v>Michilla Blaise</v>
      </c>
      <c r="M344" s="12">
        <v>3.8</v>
      </c>
      <c r="N344" s="16" t="s">
        <v>1124</v>
      </c>
      <c r="O344" s="8" t="str">
        <f t="shared" si="1"/>
        <v>4319 W Washington Blvd </v>
      </c>
      <c r="P344" s="12">
        <v>28.0</v>
      </c>
      <c r="Q344" s="13" t="s">
        <v>399</v>
      </c>
    </row>
    <row r="345">
      <c r="A345" s="7">
        <v>610305.0</v>
      </c>
      <c r="B345" s="12" t="s">
        <v>1125</v>
      </c>
      <c r="C345" s="17" t="s">
        <v>1126</v>
      </c>
      <c r="D345" s="10">
        <v>0.292</v>
      </c>
      <c r="E345" s="11" t="s">
        <v>80</v>
      </c>
      <c r="F345" s="11" t="s">
        <v>231</v>
      </c>
      <c r="G345" s="15" t="s">
        <v>2033</v>
      </c>
      <c r="H345" s="12">
        <v>58.0</v>
      </c>
      <c r="I345" s="13" t="s">
        <v>20</v>
      </c>
      <c r="J345" s="14" t="s">
        <v>31</v>
      </c>
      <c r="K345" s="14">
        <v>5.0</v>
      </c>
      <c r="L345" s="14" t="str">
        <f t="array" ref="L345">INDEX('School Rep'!$A$2:$A$21, MATCH(J345, 'School Rep'!$B$2:$B$21, 0))</f>
        <v>Aaron "Jitu" Brown</v>
      </c>
      <c r="M345" s="12">
        <v>3.3</v>
      </c>
      <c r="N345" s="16" t="s">
        <v>1127</v>
      </c>
      <c r="O345" s="8" t="str">
        <f t="shared" si="1"/>
        <v>512 S Lavergne Ave </v>
      </c>
      <c r="P345" s="15"/>
      <c r="Q345" s="8"/>
    </row>
    <row r="346">
      <c r="A346" s="7">
        <v>610298.0</v>
      </c>
      <c r="B346" s="13" t="s">
        <v>1128</v>
      </c>
      <c r="C346" s="18" t="s">
        <v>1129</v>
      </c>
      <c r="D346" s="19">
        <v>0.0</v>
      </c>
      <c r="E346" s="18" t="s">
        <v>80</v>
      </c>
      <c r="F346" s="18" t="s">
        <v>186</v>
      </c>
      <c r="G346" s="15" t="s">
        <v>2031</v>
      </c>
      <c r="H346" s="12">
        <v>41.0</v>
      </c>
      <c r="I346" s="13" t="s">
        <v>20</v>
      </c>
      <c r="J346" s="14" t="s">
        <v>82</v>
      </c>
      <c r="K346" s="14">
        <v>10.0</v>
      </c>
      <c r="L346" s="14" t="str">
        <f t="array" ref="L346">INDEX('School Rep'!$A$2:$A$21, MATCH(J346, 'School Rep'!$B$2:$B$21, 0))</f>
        <v>Olga Bautista</v>
      </c>
      <c r="M346" s="12">
        <v>2.3</v>
      </c>
      <c r="N346" s="16" t="s">
        <v>1130</v>
      </c>
      <c r="O346" s="8" t="str">
        <f t="shared" si="1"/>
        <v>8101 S Lasalle St </v>
      </c>
      <c r="P346" s="12">
        <v>6.0</v>
      </c>
      <c r="Q346" s="13" t="s">
        <v>306</v>
      </c>
    </row>
    <row r="347">
      <c r="A347" s="7">
        <v>610036.0</v>
      </c>
      <c r="B347" s="12" t="s">
        <v>1131</v>
      </c>
      <c r="C347" s="18" t="s">
        <v>1132</v>
      </c>
      <c r="D347" s="19">
        <v>0.254</v>
      </c>
      <c r="E347" s="18" t="s">
        <v>80</v>
      </c>
      <c r="F347" s="18" t="s">
        <v>231</v>
      </c>
      <c r="G347" s="15" t="s">
        <v>2033</v>
      </c>
      <c r="H347" s="12">
        <v>24.0</v>
      </c>
      <c r="I347" s="13" t="s">
        <v>41</v>
      </c>
      <c r="J347" s="14" t="s">
        <v>31</v>
      </c>
      <c r="K347" s="14">
        <v>5.0</v>
      </c>
      <c r="L347" s="14" t="str">
        <f t="array" ref="L347">INDEX('School Rep'!$A$2:$A$21, MATCH(J347, 'School Rep'!$B$2:$B$21, 0))</f>
        <v>Aaron "Jitu" Brown</v>
      </c>
      <c r="M347" s="12">
        <v>3.8</v>
      </c>
      <c r="N347" s="16" t="s">
        <v>1133</v>
      </c>
      <c r="O347" s="8" t="str">
        <f t="shared" si="1"/>
        <v>1431 N Leamington Ave </v>
      </c>
      <c r="P347" s="12">
        <v>37.0</v>
      </c>
      <c r="Q347" s="13" t="s">
        <v>162</v>
      </c>
    </row>
    <row r="348">
      <c r="A348" s="7">
        <v>610037.0</v>
      </c>
      <c r="B348" s="8" t="s">
        <v>1134</v>
      </c>
      <c r="C348" s="18" t="s">
        <v>1135</v>
      </c>
      <c r="D348" s="19">
        <v>0.208</v>
      </c>
      <c r="E348" s="18" t="s">
        <v>80</v>
      </c>
      <c r="F348" s="18" t="s">
        <v>285</v>
      </c>
      <c r="G348" s="15" t="s">
        <v>2036</v>
      </c>
      <c r="H348" s="12">
        <v>48.0</v>
      </c>
      <c r="I348" s="13" t="s">
        <v>20</v>
      </c>
      <c r="J348" s="14" t="s">
        <v>187</v>
      </c>
      <c r="K348" s="14">
        <v>9.0</v>
      </c>
      <c r="L348" s="14" t="str">
        <f t="array" ref="L348">INDEX('School Rep'!$A$2:$A$21, MATCH(J348, 'School Rep'!$B$2:$B$21, 0))</f>
        <v>Frank Niles Thomas</v>
      </c>
      <c r="M348" s="15">
        <v>4.2</v>
      </c>
      <c r="N348" s="16" t="s">
        <v>1136</v>
      </c>
      <c r="O348" s="8" t="str">
        <f t="shared" si="1"/>
        <v>5300 S Loomis Blvd </v>
      </c>
      <c r="P348" s="12">
        <v>20.0</v>
      </c>
      <c r="Q348" s="13" t="s">
        <v>368</v>
      </c>
    </row>
    <row r="349">
      <c r="A349" s="7">
        <v>610038.0</v>
      </c>
      <c r="B349" s="12" t="s">
        <v>1137</v>
      </c>
      <c r="C349" s="17" t="s">
        <v>1138</v>
      </c>
      <c r="D349" s="10">
        <v>0.034</v>
      </c>
      <c r="E349" s="11" t="s">
        <v>80</v>
      </c>
      <c r="F349" s="11" t="s">
        <v>102</v>
      </c>
      <c r="G349" s="15" t="s">
        <v>2025</v>
      </c>
      <c r="H349" s="12">
        <v>37.0</v>
      </c>
      <c r="I349" s="13" t="s">
        <v>41</v>
      </c>
      <c r="J349" s="14" t="s">
        <v>103</v>
      </c>
      <c r="K349" s="14">
        <v>4.0</v>
      </c>
      <c r="L349" s="14" t="str">
        <f t="array" ref="L349">INDEX('School Rep'!$A$2:$A$21, MATCH(J349, 'School Rep'!$B$2:$B$21, 0))</f>
        <v>Ellen Rosenfeld</v>
      </c>
      <c r="M349" s="12">
        <v>1.8</v>
      </c>
      <c r="N349" s="16" t="s">
        <v>1139</v>
      </c>
      <c r="O349" s="8" t="str">
        <f t="shared" si="1"/>
        <v>615 W Kemper Pl </v>
      </c>
      <c r="P349" s="12">
        <v>43.0</v>
      </c>
      <c r="Q349" s="13" t="s">
        <v>105</v>
      </c>
    </row>
    <row r="350">
      <c r="A350" s="7">
        <v>609738.0</v>
      </c>
      <c r="B350" s="12" t="s">
        <v>1140</v>
      </c>
      <c r="C350" s="9" t="s">
        <v>1141</v>
      </c>
      <c r="D350" s="10">
        <v>0.065</v>
      </c>
      <c r="E350" s="11" t="s">
        <v>80</v>
      </c>
      <c r="F350" s="11" t="s">
        <v>116</v>
      </c>
      <c r="G350" s="15" t="s">
        <v>2027</v>
      </c>
      <c r="H350" s="15"/>
      <c r="I350" s="8"/>
      <c r="J350" s="14" t="s">
        <v>103</v>
      </c>
      <c r="K350" s="14">
        <v>4.0</v>
      </c>
      <c r="L350" s="14" t="str">
        <f t="array" ref="L350">INDEX('School Rep'!$A$2:$A$21, MATCH(J350, 'School Rep'!$B$2:$B$21, 0))</f>
        <v>Ellen Rosenfeld</v>
      </c>
      <c r="M350" s="12">
        <v>1.5</v>
      </c>
      <c r="N350" s="16" t="s">
        <v>1142</v>
      </c>
      <c r="O350" s="8" t="str">
        <f t="shared" si="1"/>
        <v>2001 N Orchard St </v>
      </c>
      <c r="P350" s="12">
        <v>43.0</v>
      </c>
      <c r="Q350" s="13" t="s">
        <v>105</v>
      </c>
    </row>
    <row r="351">
      <c r="A351" s="7">
        <v>610391.0</v>
      </c>
      <c r="B351" s="8" t="s">
        <v>1143</v>
      </c>
      <c r="C351" s="18" t="s">
        <v>1144</v>
      </c>
      <c r="D351" s="19">
        <v>0.014</v>
      </c>
      <c r="E351" s="18" t="s">
        <v>80</v>
      </c>
      <c r="F351" s="18" t="s">
        <v>92</v>
      </c>
      <c r="G351" s="15" t="s">
        <v>2023</v>
      </c>
      <c r="H351" s="12">
        <v>30.0</v>
      </c>
      <c r="I351" s="13" t="s">
        <v>41</v>
      </c>
      <c r="J351" s="14" t="s">
        <v>187</v>
      </c>
      <c r="K351" s="14">
        <v>9.0</v>
      </c>
      <c r="L351" s="14" t="str">
        <f t="array" ref="L351">INDEX('School Rep'!$A$2:$A$21, MATCH(J351, 'School Rep'!$B$2:$B$21, 0))</f>
        <v>Frank Niles Thomas</v>
      </c>
      <c r="M351" s="15">
        <v>2.3</v>
      </c>
      <c r="N351" s="16" t="s">
        <v>1145</v>
      </c>
      <c r="O351" s="8" t="str">
        <f t="shared" si="1"/>
        <v>6130 S Wolcott Ave </v>
      </c>
      <c r="P351" s="12">
        <v>16.0</v>
      </c>
      <c r="Q351" s="13" t="s">
        <v>193</v>
      </c>
    </row>
    <row r="352">
      <c r="A352" s="7">
        <v>609834.0</v>
      </c>
      <c r="B352" s="8" t="s">
        <v>1146</v>
      </c>
      <c r="C352" s="17" t="s">
        <v>1147</v>
      </c>
      <c r="D352" s="10">
        <v>0.052</v>
      </c>
      <c r="E352" s="11" t="s">
        <v>80</v>
      </c>
      <c r="F352" s="11" t="s">
        <v>126</v>
      </c>
      <c r="G352" s="15" t="e">
        <v>#N/A</v>
      </c>
      <c r="H352" s="12">
        <v>57.0</v>
      </c>
      <c r="I352" s="13" t="s">
        <v>20</v>
      </c>
      <c r="J352" s="14" t="s">
        <v>42</v>
      </c>
      <c r="K352" s="14">
        <v>7.0</v>
      </c>
      <c r="L352" s="14" t="str">
        <f t="array" ref="L352">INDEX('School Rep'!$A$2:$A$21, MATCH(J352, 'School Rep'!$B$2:$B$21, 0))</f>
        <v>Emma Lozano</v>
      </c>
      <c r="M352" s="15">
        <v>3.8</v>
      </c>
      <c r="N352" s="16" t="s">
        <v>1148</v>
      </c>
      <c r="O352" s="8" t="str">
        <f t="shared" si="1"/>
        <v>2620 S Lawndale Ave </v>
      </c>
      <c r="P352" s="12">
        <v>22.0</v>
      </c>
      <c r="Q352" s="13" t="s">
        <v>353</v>
      </c>
    </row>
    <row r="353">
      <c r="A353" s="7">
        <v>610040.0</v>
      </c>
      <c r="B353" s="12" t="s">
        <v>1149</v>
      </c>
      <c r="C353" s="18" t="s">
        <v>1150</v>
      </c>
      <c r="D353" s="19">
        <v>0.113</v>
      </c>
      <c r="E353" s="18" t="s">
        <v>80</v>
      </c>
      <c r="F353" s="18" t="s">
        <v>231</v>
      </c>
      <c r="G353" s="15" t="s">
        <v>2033</v>
      </c>
      <c r="H353" s="12">
        <v>62.0</v>
      </c>
      <c r="I353" s="13" t="s">
        <v>52</v>
      </c>
      <c r="J353" s="14" t="s">
        <v>232</v>
      </c>
      <c r="K353" s="14">
        <v>3.0</v>
      </c>
      <c r="L353" s="14" t="str">
        <f t="array" ref="L353">INDEX('School Rep'!$A$2:$A$21, MATCH(J353, 'School Rep'!$B$2:$B$21, 0))</f>
        <v>Carlos Rivas</v>
      </c>
      <c r="M353" s="12">
        <v>3.3</v>
      </c>
      <c r="N353" s="16" t="s">
        <v>1151</v>
      </c>
      <c r="O353" s="8" t="str">
        <f t="shared" si="1"/>
        <v>2103 N Lamon Ave </v>
      </c>
      <c r="P353" s="12">
        <v>26.0</v>
      </c>
      <c r="Q353" s="13" t="s">
        <v>378</v>
      </c>
    </row>
    <row r="354">
      <c r="A354" s="7">
        <v>400011.0</v>
      </c>
      <c r="B354" s="12" t="s">
        <v>1152</v>
      </c>
      <c r="C354" s="9" t="s">
        <v>1153</v>
      </c>
      <c r="D354" s="10">
        <v>0.04</v>
      </c>
      <c r="E354" s="11" t="s">
        <v>19</v>
      </c>
      <c r="F354" s="11" t="s">
        <v>19</v>
      </c>
      <c r="G354" s="15" t="e">
        <v>#N/A</v>
      </c>
      <c r="H354" s="15"/>
      <c r="I354" s="8"/>
      <c r="J354" s="14" t="s">
        <v>217</v>
      </c>
      <c r="K354" s="14">
        <v>5.0</v>
      </c>
      <c r="L354" s="14" t="str">
        <f t="array" ref="L354">INDEX('School Rep'!$A$2:$A$21, MATCH(J354, 'School Rep'!$B$2:$B$21, 0))</f>
        <v>Michilla Blaise</v>
      </c>
      <c r="M354" s="12">
        <v>3.2</v>
      </c>
      <c r="N354" s="16" t="s">
        <v>1154</v>
      </c>
      <c r="O354" s="8" t="str">
        <f t="shared" si="1"/>
        <v>3141 W Jackson Blvd </v>
      </c>
      <c r="P354" s="12">
        <v>28.0</v>
      </c>
      <c r="Q354" s="13" t="s">
        <v>399</v>
      </c>
    </row>
    <row r="355">
      <c r="A355" s="7">
        <v>610041.0</v>
      </c>
      <c r="B355" s="13" t="s">
        <v>1155</v>
      </c>
      <c r="C355" s="18" t="s">
        <v>1156</v>
      </c>
      <c r="D355" s="19">
        <v>0.098</v>
      </c>
      <c r="E355" s="18" t="s">
        <v>80</v>
      </c>
      <c r="F355" s="18" t="s">
        <v>231</v>
      </c>
      <c r="G355" s="15" t="s">
        <v>2033</v>
      </c>
      <c r="H355" s="12">
        <v>68.0</v>
      </c>
      <c r="I355" s="13" t="s">
        <v>52</v>
      </c>
      <c r="J355" s="14" t="s">
        <v>222</v>
      </c>
      <c r="K355" s="14">
        <v>1.0</v>
      </c>
      <c r="L355" s="14" t="str">
        <f t="array" ref="L355">INDEX('School Rep'!$A$2:$A$21, MATCH(J355, 'School Rep'!$B$2:$B$21, 0))</f>
        <v>Jennifer Custer</v>
      </c>
      <c r="M355" s="12">
        <v>2.7</v>
      </c>
      <c r="N355" s="16" t="s">
        <v>1157</v>
      </c>
      <c r="O355" s="8" t="str">
        <f t="shared" si="1"/>
        <v>2828 N Oak Park Ave </v>
      </c>
      <c r="P355" s="12">
        <v>36.0</v>
      </c>
      <c r="Q355" s="13" t="s">
        <v>67</v>
      </c>
    </row>
    <row r="356">
      <c r="A356" s="7">
        <v>610074.0</v>
      </c>
      <c r="B356" s="8" t="s">
        <v>1158</v>
      </c>
      <c r="C356" s="15" t="s">
        <v>1158</v>
      </c>
      <c r="D356" s="24">
        <v>0.067</v>
      </c>
      <c r="E356" s="12" t="s">
        <v>80</v>
      </c>
      <c r="F356" s="12" t="s">
        <v>102</v>
      </c>
      <c r="G356" s="15" t="s">
        <v>2025</v>
      </c>
      <c r="H356" s="12">
        <v>34.0</v>
      </c>
      <c r="I356" s="13" t="s">
        <v>41</v>
      </c>
      <c r="J356" s="15" t="s">
        <v>384</v>
      </c>
      <c r="K356" s="15" t="s">
        <v>384</v>
      </c>
      <c r="L356" s="15" t="s">
        <v>384</v>
      </c>
      <c r="M356" s="15" t="s">
        <v>384</v>
      </c>
      <c r="N356" s="16" t="s">
        <v>1159</v>
      </c>
      <c r="O356" s="8" t="str">
        <f t="shared" si="1"/>
        <v>3651 W Schubert Ave </v>
      </c>
      <c r="P356" s="12">
        <v>35.0</v>
      </c>
      <c r="Q356" s="13" t="s">
        <v>49</v>
      </c>
    </row>
    <row r="357">
      <c r="A357" s="7">
        <v>610541.0</v>
      </c>
      <c r="B357" s="12" t="s">
        <v>1160</v>
      </c>
      <c r="C357" s="17" t="s">
        <v>1161</v>
      </c>
      <c r="D357" s="10">
        <v>0.119</v>
      </c>
      <c r="E357" s="11" t="s">
        <v>80</v>
      </c>
      <c r="F357" s="11" t="s">
        <v>102</v>
      </c>
      <c r="G357" s="15" t="s">
        <v>2025</v>
      </c>
      <c r="H357" s="12">
        <v>38.0</v>
      </c>
      <c r="I357" s="13" t="s">
        <v>41</v>
      </c>
      <c r="J357" s="14" t="s">
        <v>47</v>
      </c>
      <c r="K357" s="14">
        <v>3.0</v>
      </c>
      <c r="L357" s="14" t="str">
        <f t="array" ref="L357">INDEX('School Rep'!$A$2:$A$21, MATCH(J357, 'School Rep'!$B$2:$B$21, 0))</f>
        <v>Norma Rios-Sierra</v>
      </c>
      <c r="M357" s="12">
        <v>2.7</v>
      </c>
      <c r="N357" s="16" t="s">
        <v>1162</v>
      </c>
      <c r="O357" s="8" t="str">
        <f t="shared" si="1"/>
        <v>3231 N Springfield Ave </v>
      </c>
      <c r="P357" s="12">
        <v>30.0</v>
      </c>
      <c r="Q357" s="13" t="s">
        <v>346</v>
      </c>
    </row>
    <row r="358">
      <c r="A358" s="7">
        <v>610043.0</v>
      </c>
      <c r="B358" s="12" t="s">
        <v>1163</v>
      </c>
      <c r="C358" s="18" t="s">
        <v>1164</v>
      </c>
      <c r="D358" s="19">
        <v>0.164</v>
      </c>
      <c r="E358" s="18" t="s">
        <v>80</v>
      </c>
      <c r="F358" s="18" t="s">
        <v>231</v>
      </c>
      <c r="G358" s="15" t="s">
        <v>2033</v>
      </c>
      <c r="H358" s="12">
        <v>60.0</v>
      </c>
      <c r="I358" s="13" t="s">
        <v>52</v>
      </c>
      <c r="J358" s="14" t="s">
        <v>31</v>
      </c>
      <c r="K358" s="14">
        <v>5.0</v>
      </c>
      <c r="L358" s="14" t="str">
        <f t="array" ref="L358">INDEX('School Rep'!$A$2:$A$21, MATCH(J358, 'School Rep'!$B$2:$B$21, 0))</f>
        <v>Aaron "Jitu" Brown</v>
      </c>
      <c r="M358" s="12">
        <v>3.3</v>
      </c>
      <c r="N358" s="16" t="s">
        <v>1165</v>
      </c>
      <c r="O358" s="8" t="str">
        <f t="shared" si="1"/>
        <v>6333 W Bloomingdale Ave </v>
      </c>
      <c r="P358" s="12">
        <v>29.0</v>
      </c>
      <c r="Q358" s="13" t="s">
        <v>33</v>
      </c>
    </row>
    <row r="359">
      <c r="A359" s="7">
        <v>610044.0</v>
      </c>
      <c r="B359" s="12" t="s">
        <v>1166</v>
      </c>
      <c r="C359" s="9" t="s">
        <v>1167</v>
      </c>
      <c r="D359" s="10">
        <v>0.243</v>
      </c>
      <c r="E359" s="11" t="s">
        <v>80</v>
      </c>
      <c r="F359" s="11" t="s">
        <v>216</v>
      </c>
      <c r="G359" s="15" t="s">
        <v>2032</v>
      </c>
      <c r="H359" s="12">
        <v>40.0</v>
      </c>
      <c r="I359" s="13" t="s">
        <v>20</v>
      </c>
      <c r="J359" s="14" t="s">
        <v>232</v>
      </c>
      <c r="K359" s="14">
        <v>3.0</v>
      </c>
      <c r="L359" s="14" t="str">
        <f t="array" ref="L359">INDEX('School Rep'!$A$2:$A$21, MATCH(J359, 'School Rep'!$B$2:$B$21, 0))</f>
        <v>Carlos Rivas</v>
      </c>
      <c r="M359" s="12">
        <v>3.8</v>
      </c>
      <c r="N359" s="16" t="s">
        <v>1168</v>
      </c>
      <c r="O359" s="8" t="str">
        <f t="shared" si="1"/>
        <v>3320 W Hirsch St </v>
      </c>
      <c r="P359" s="12">
        <v>26.0</v>
      </c>
      <c r="Q359" s="13" t="s">
        <v>378</v>
      </c>
    </row>
    <row r="360">
      <c r="A360" s="7">
        <v>610029.0</v>
      </c>
      <c r="B360" s="8" t="s">
        <v>1169</v>
      </c>
      <c r="C360" s="11" t="s">
        <v>1170</v>
      </c>
      <c r="D360" s="10">
        <v>0.259</v>
      </c>
      <c r="E360" s="11" t="s">
        <v>80</v>
      </c>
      <c r="F360" s="11" t="s">
        <v>301</v>
      </c>
      <c r="G360" s="15" t="s">
        <v>2037</v>
      </c>
      <c r="H360" s="12">
        <v>68.0</v>
      </c>
      <c r="I360" s="13" t="s">
        <v>52</v>
      </c>
      <c r="J360" s="14" t="s">
        <v>462</v>
      </c>
      <c r="K360" s="14">
        <v>6.0</v>
      </c>
      <c r="L360" s="14" t="str">
        <f t="array" ref="L360">INDEX('School Rep'!$A$2:$A$21, MATCH(J360, 'School Rep'!$B$2:$B$21, 0))</f>
        <v>Anusha Thotakura</v>
      </c>
      <c r="M360" s="15">
        <v>2.8</v>
      </c>
      <c r="N360" s="16" t="s">
        <v>1171</v>
      </c>
      <c r="O360" s="8" t="str">
        <f t="shared" si="1"/>
        <v>1501 N Greenview Ave </v>
      </c>
      <c r="P360" s="12">
        <v>1.0</v>
      </c>
      <c r="Q360" s="13" t="s">
        <v>275</v>
      </c>
    </row>
    <row r="361">
      <c r="A361" s="7">
        <v>610046.0</v>
      </c>
      <c r="B361" s="13" t="s">
        <v>1172</v>
      </c>
      <c r="C361" s="18" t="s">
        <v>1173</v>
      </c>
      <c r="D361" s="19">
        <v>0.087</v>
      </c>
      <c r="E361" s="18" t="s">
        <v>80</v>
      </c>
      <c r="F361" s="18" t="s">
        <v>231</v>
      </c>
      <c r="G361" s="15" t="s">
        <v>2033</v>
      </c>
      <c r="H361" s="12">
        <v>46.0</v>
      </c>
      <c r="I361" s="13" t="s">
        <v>20</v>
      </c>
      <c r="J361" s="14" t="s">
        <v>222</v>
      </c>
      <c r="K361" s="14">
        <v>1.0</v>
      </c>
      <c r="L361" s="14" t="str">
        <f t="array" ref="L361">INDEX('School Rep'!$A$2:$A$21, MATCH(J361, 'School Rep'!$B$2:$B$21, 0))</f>
        <v>Jennifer Custer</v>
      </c>
      <c r="M361" s="12">
        <v>3.1</v>
      </c>
      <c r="N361" s="16" t="s">
        <v>1174</v>
      </c>
      <c r="O361" s="8" t="str">
        <f t="shared" si="1"/>
        <v>2941 N Mcvicker Ave </v>
      </c>
      <c r="P361" s="12">
        <v>30.0</v>
      </c>
      <c r="Q361" s="13" t="s">
        <v>346</v>
      </c>
    </row>
    <row r="362">
      <c r="A362" s="7">
        <v>610215.0</v>
      </c>
      <c r="B362" s="8" t="s">
        <v>1175</v>
      </c>
      <c r="C362" s="17" t="s">
        <v>1176</v>
      </c>
      <c r="D362" s="10">
        <v>0.039</v>
      </c>
      <c r="E362" s="11" t="s">
        <v>80</v>
      </c>
      <c r="F362" s="11" t="s">
        <v>529</v>
      </c>
      <c r="G362" s="15" t="s">
        <v>2039</v>
      </c>
      <c r="H362" s="12">
        <v>69.0</v>
      </c>
      <c r="I362" s="13" t="s">
        <v>52</v>
      </c>
      <c r="J362" s="14" t="s">
        <v>42</v>
      </c>
      <c r="K362" s="14">
        <v>7.0</v>
      </c>
      <c r="L362" s="14" t="str">
        <f t="array" ref="L362">INDEX('School Rep'!$A$2:$A$21, MATCH(J362, 'School Rep'!$B$2:$B$21, 0))</f>
        <v>Emma Lozano</v>
      </c>
      <c r="M362" s="15">
        <v>3.5</v>
      </c>
      <c r="N362" s="16" t="s">
        <v>1177</v>
      </c>
      <c r="O362" s="8" t="str">
        <f t="shared" si="1"/>
        <v>3202 W 28th St </v>
      </c>
      <c r="P362" s="12">
        <v>22.0</v>
      </c>
      <c r="Q362" s="13" t="s">
        <v>353</v>
      </c>
    </row>
    <row r="363">
      <c r="A363" s="7">
        <v>610047.0</v>
      </c>
      <c r="B363" s="13" t="s">
        <v>1178</v>
      </c>
      <c r="C363" s="18" t="s">
        <v>1179</v>
      </c>
      <c r="D363" s="19">
        <v>0.278</v>
      </c>
      <c r="E363" s="18" t="s">
        <v>80</v>
      </c>
      <c r="F363" s="18" t="s">
        <v>144</v>
      </c>
      <c r="G363" s="15" t="s">
        <v>2030</v>
      </c>
      <c r="H363" s="12">
        <v>59.0</v>
      </c>
      <c r="I363" s="13" t="s">
        <v>20</v>
      </c>
      <c r="J363" s="14" t="s">
        <v>121</v>
      </c>
      <c r="K363" s="14">
        <v>10.0</v>
      </c>
      <c r="L363" s="14" t="str">
        <f t="array" ref="L363">INDEX('School Rep'!$A$2:$A$21, MATCH(J363, 'School Rep'!$B$2:$B$21, 0))</f>
        <v>Che "Rhymefest" Smith</v>
      </c>
      <c r="M363" s="12">
        <v>3.3</v>
      </c>
      <c r="N363" s="16" t="s">
        <v>1180</v>
      </c>
      <c r="O363" s="8" t="str">
        <f t="shared" si="1"/>
        <v>7433 S Dorchester Ave </v>
      </c>
      <c r="P363" s="12">
        <v>8.0</v>
      </c>
      <c r="Q363" s="13" t="s">
        <v>135</v>
      </c>
    </row>
    <row r="364">
      <c r="A364" s="7">
        <v>610048.0</v>
      </c>
      <c r="B364" s="8" t="s">
        <v>1181</v>
      </c>
      <c r="C364" s="18" t="s">
        <v>1182</v>
      </c>
      <c r="D364" s="19">
        <v>0.212</v>
      </c>
      <c r="E364" s="18" t="s">
        <v>80</v>
      </c>
      <c r="F364" s="18" t="s">
        <v>102</v>
      </c>
      <c r="G364" s="15" t="s">
        <v>2025</v>
      </c>
      <c r="H364" s="12">
        <v>44.0</v>
      </c>
      <c r="I364" s="13" t="s">
        <v>20</v>
      </c>
      <c r="J364" s="14" t="s">
        <v>462</v>
      </c>
      <c r="K364" s="14">
        <v>6.0</v>
      </c>
      <c r="L364" s="14" t="str">
        <f t="array" ref="L364">INDEX('School Rep'!$A$2:$A$21, MATCH(J364, 'School Rep'!$B$2:$B$21, 0))</f>
        <v>Anusha Thotakura</v>
      </c>
      <c r="M364" s="15">
        <v>2.6</v>
      </c>
      <c r="N364" s="16" t="s">
        <v>1183</v>
      </c>
      <c r="O364" s="8" t="str">
        <f t="shared" si="1"/>
        <v>1420 N Hudson Ave </v>
      </c>
      <c r="P364" s="12">
        <v>27.0</v>
      </c>
      <c r="Q364" s="13" t="s">
        <v>219</v>
      </c>
    </row>
    <row r="365">
      <c r="A365" s="7">
        <v>609722.0</v>
      </c>
      <c r="B365" s="12" t="s">
        <v>1184</v>
      </c>
      <c r="C365" s="18" t="s">
        <v>1185</v>
      </c>
      <c r="D365" s="19">
        <v>0.52</v>
      </c>
      <c r="E365" s="18" t="s">
        <v>80</v>
      </c>
      <c r="F365" s="18" t="s">
        <v>108</v>
      </c>
      <c r="G365" s="15" t="s">
        <v>2026</v>
      </c>
      <c r="H365" s="15"/>
      <c r="I365" s="8"/>
      <c r="J365" s="14" t="s">
        <v>217</v>
      </c>
      <c r="K365" s="14">
        <v>5.0</v>
      </c>
      <c r="L365" s="14" t="str">
        <f t="array" ref="L365">INDEX('School Rep'!$A$2:$A$21, MATCH(J365, 'School Rep'!$B$2:$B$21, 0))</f>
        <v>Michilla Blaise</v>
      </c>
      <c r="M365" s="12">
        <v>3.9</v>
      </c>
      <c r="N365" s="16" t="s">
        <v>1186</v>
      </c>
      <c r="O365" s="8" t="str">
        <f t="shared" si="1"/>
        <v>2935 W Polk St </v>
      </c>
      <c r="P365" s="12">
        <v>28.0</v>
      </c>
      <c r="Q365" s="13" t="s">
        <v>399</v>
      </c>
    </row>
    <row r="366">
      <c r="A366" s="7">
        <v>610052.0</v>
      </c>
      <c r="B366" s="13" t="s">
        <v>1187</v>
      </c>
      <c r="C366" s="18" t="s">
        <v>1188</v>
      </c>
      <c r="D366" s="19">
        <v>0.182</v>
      </c>
      <c r="E366" s="18" t="s">
        <v>80</v>
      </c>
      <c r="F366" s="18" t="s">
        <v>144</v>
      </c>
      <c r="G366" s="15" t="s">
        <v>2030</v>
      </c>
      <c r="H366" s="12">
        <v>51.0</v>
      </c>
      <c r="I366" s="13" t="s">
        <v>20</v>
      </c>
      <c r="J366" s="14" t="s">
        <v>82</v>
      </c>
      <c r="K366" s="14">
        <v>10.0</v>
      </c>
      <c r="L366" s="14" t="str">
        <f t="array" ref="L366">INDEX('School Rep'!$A$2:$A$21, MATCH(J366, 'School Rep'!$B$2:$B$21, 0))</f>
        <v>Olga Bautista</v>
      </c>
      <c r="M366" s="12">
        <v>3.5</v>
      </c>
      <c r="N366" s="16" t="s">
        <v>1189</v>
      </c>
      <c r="O366" s="8" t="str">
        <f t="shared" si="1"/>
        <v>8050 S Chappel Ave </v>
      </c>
      <c r="P366" s="12">
        <v>8.0</v>
      </c>
      <c r="Q366" s="13" t="s">
        <v>135</v>
      </c>
    </row>
    <row r="367">
      <c r="A367" s="7">
        <v>609780.0</v>
      </c>
      <c r="B367" s="12" t="s">
        <v>1190</v>
      </c>
      <c r="C367" s="9" t="s">
        <v>1191</v>
      </c>
      <c r="D367" s="10">
        <v>0.053</v>
      </c>
      <c r="E367" s="11" t="s">
        <v>80</v>
      </c>
      <c r="F367" s="11" t="s">
        <v>116</v>
      </c>
      <c r="G367" s="15" t="s">
        <v>2027</v>
      </c>
      <c r="H367" s="15"/>
      <c r="I367" s="8"/>
      <c r="J367" s="14" t="s">
        <v>232</v>
      </c>
      <c r="K367" s="14">
        <v>3.0</v>
      </c>
      <c r="L367" s="14" t="str">
        <f t="array" ref="L367">INDEX('School Rep'!$A$2:$A$21, MATCH(J367, 'School Rep'!$B$2:$B$21, 0))</f>
        <v>Carlos Rivas</v>
      </c>
      <c r="M367" s="12">
        <v>2.8</v>
      </c>
      <c r="N367" s="16" t="s">
        <v>1192</v>
      </c>
      <c r="O367" s="8" t="str">
        <f t="shared" si="1"/>
        <v>1920 N Hamlin Ave </v>
      </c>
      <c r="P367" s="12">
        <v>26.0</v>
      </c>
      <c r="Q367" s="13" t="s">
        <v>378</v>
      </c>
    </row>
    <row r="368">
      <c r="A368" s="7">
        <v>610053.0</v>
      </c>
      <c r="B368" s="8" t="s">
        <v>1193</v>
      </c>
      <c r="C368" s="17" t="s">
        <v>1194</v>
      </c>
      <c r="D368" s="10">
        <v>0.118</v>
      </c>
      <c r="E368" s="11" t="s">
        <v>80</v>
      </c>
      <c r="F368" s="11" t="s">
        <v>138</v>
      </c>
      <c r="G368" s="15" t="s">
        <v>2029</v>
      </c>
      <c r="H368" s="12">
        <v>61.0</v>
      </c>
      <c r="I368" s="13" t="s">
        <v>52</v>
      </c>
      <c r="J368" s="14" t="s">
        <v>26</v>
      </c>
      <c r="K368" s="14">
        <v>8.0</v>
      </c>
      <c r="L368" s="14" t="str">
        <f t="array" ref="L368">INDEX('School Rep'!$A$2:$A$21, MATCH(J368, 'School Rep'!$B$2:$B$21, 0))</f>
        <v>Cydney Wallace</v>
      </c>
      <c r="M368" s="15">
        <v>3.4</v>
      </c>
      <c r="N368" s="16" t="s">
        <v>1195</v>
      </c>
      <c r="O368" s="8" t="str">
        <f t="shared" si="1"/>
        <v>6550 S Richmond St </v>
      </c>
      <c r="P368" s="12">
        <v>15.0</v>
      </c>
      <c r="Q368" s="13" t="s">
        <v>364</v>
      </c>
    </row>
    <row r="369">
      <c r="A369" s="7">
        <v>610054.0</v>
      </c>
      <c r="B369" s="13" t="s">
        <v>1196</v>
      </c>
      <c r="C369" s="18" t="s">
        <v>1197</v>
      </c>
      <c r="D369" s="19">
        <v>0.069</v>
      </c>
      <c r="E369" s="18" t="s">
        <v>80</v>
      </c>
      <c r="F369" s="18" t="s">
        <v>81</v>
      </c>
      <c r="G369" s="15" t="s">
        <v>2022</v>
      </c>
      <c r="H369" s="12">
        <v>35.0</v>
      </c>
      <c r="I369" s="13" t="s">
        <v>41</v>
      </c>
      <c r="J369" s="14" t="s">
        <v>82</v>
      </c>
      <c r="K369" s="14">
        <v>10.0</v>
      </c>
      <c r="L369" s="14" t="str">
        <f t="array" ref="L369">INDEX('School Rep'!$A$2:$A$21, MATCH(J369, 'School Rep'!$B$2:$B$21, 0))</f>
        <v>Olga Bautista</v>
      </c>
      <c r="M369" s="12">
        <v>3.2</v>
      </c>
      <c r="N369" s="16" t="s">
        <v>1198</v>
      </c>
      <c r="O369" s="8" t="str">
        <f t="shared" si="1"/>
        <v>9822 S Exchange Ave </v>
      </c>
      <c r="P369" s="12">
        <v>10.0</v>
      </c>
      <c r="Q369" s="13" t="s">
        <v>84</v>
      </c>
    </row>
    <row r="370">
      <c r="A370" s="7">
        <v>609723.0</v>
      </c>
      <c r="B370" s="12" t="s">
        <v>1199</v>
      </c>
      <c r="C370" s="9" t="s">
        <v>1200</v>
      </c>
      <c r="D370" s="10">
        <v>0.286</v>
      </c>
      <c r="E370" s="11" t="s">
        <v>80</v>
      </c>
      <c r="F370" s="11" t="s">
        <v>108</v>
      </c>
      <c r="G370" s="15" t="s">
        <v>2026</v>
      </c>
      <c r="H370" s="12">
        <v>70.0</v>
      </c>
      <c r="I370" s="13" t="s">
        <v>52</v>
      </c>
      <c r="J370" s="14" t="s">
        <v>217</v>
      </c>
      <c r="K370" s="14">
        <v>5.0</v>
      </c>
      <c r="L370" s="14" t="str">
        <f t="array" ref="L370">INDEX('School Rep'!$A$2:$A$21, MATCH(J370, 'School Rep'!$B$2:$B$21, 0))</f>
        <v>Michilla Blaise</v>
      </c>
      <c r="M370" s="12">
        <v>3.3</v>
      </c>
      <c r="N370" s="16" t="s">
        <v>1201</v>
      </c>
      <c r="O370" s="8" t="str">
        <f t="shared" si="1"/>
        <v>3250 W Adams St </v>
      </c>
      <c r="P370" s="12">
        <v>28.0</v>
      </c>
      <c r="Q370" s="13" t="s">
        <v>399</v>
      </c>
    </row>
    <row r="371">
      <c r="A371" s="7">
        <v>610056.0</v>
      </c>
      <c r="B371" s="8" t="s">
        <v>1202</v>
      </c>
      <c r="C371" s="17" t="s">
        <v>1203</v>
      </c>
      <c r="D371" s="10">
        <v>0.223</v>
      </c>
      <c r="E371" s="11" t="s">
        <v>80</v>
      </c>
      <c r="F371" s="11" t="s">
        <v>529</v>
      </c>
      <c r="G371" s="15" t="s">
        <v>2039</v>
      </c>
      <c r="H371" s="12">
        <v>62.0</v>
      </c>
      <c r="I371" s="13" t="s">
        <v>52</v>
      </c>
      <c r="J371" s="14" t="s">
        <v>217</v>
      </c>
      <c r="K371" s="14">
        <v>5.0</v>
      </c>
      <c r="L371" s="14" t="str">
        <f t="array" ref="L371">INDEX('School Rep'!$A$2:$A$21, MATCH(J371, 'School Rep'!$B$2:$B$21, 0))</f>
        <v>Michilla Blaise</v>
      </c>
      <c r="M371" s="15">
        <v>3.9</v>
      </c>
      <c r="N371" s="16" t="s">
        <v>1204</v>
      </c>
      <c r="O371" s="8" t="str">
        <f t="shared" si="1"/>
        <v>4217 W 18th St </v>
      </c>
      <c r="P371" s="12">
        <v>24.0</v>
      </c>
      <c r="Q371" s="13" t="s">
        <v>517</v>
      </c>
    </row>
    <row r="372">
      <c r="A372" s="7">
        <v>609724.0</v>
      </c>
      <c r="B372" s="13" t="s">
        <v>1205</v>
      </c>
      <c r="C372" s="17" t="s">
        <v>1206</v>
      </c>
      <c r="D372" s="10">
        <v>0.127</v>
      </c>
      <c r="E372" s="11" t="s">
        <v>80</v>
      </c>
      <c r="F372" s="11" t="s">
        <v>116</v>
      </c>
      <c r="G372" s="15" t="s">
        <v>2027</v>
      </c>
      <c r="H372" s="12">
        <v>45.0</v>
      </c>
      <c r="I372" s="13" t="s">
        <v>20</v>
      </c>
      <c r="J372" s="14" t="s">
        <v>36</v>
      </c>
      <c r="K372" s="14">
        <v>2.0</v>
      </c>
      <c r="L372" s="14" t="str">
        <f t="array" ref="L372">INDEX('School Rep'!$A$2:$A$21, MATCH(J372, 'School Rep'!$B$2:$B$21, 0))</f>
        <v>Ebony DeBerry</v>
      </c>
      <c r="M372" s="12">
        <v>2.8</v>
      </c>
      <c r="N372" s="16" t="s">
        <v>1207</v>
      </c>
      <c r="O372" s="8" t="str">
        <f t="shared" si="1"/>
        <v>5835 N Lincoln Ave </v>
      </c>
      <c r="P372" s="12">
        <v>40.0</v>
      </c>
      <c r="Q372" s="13" t="s">
        <v>89</v>
      </c>
    </row>
    <row r="373">
      <c r="A373" s="7">
        <v>610059.0</v>
      </c>
      <c r="B373" s="12" t="s">
        <v>1208</v>
      </c>
      <c r="C373" s="18" t="s">
        <v>1209</v>
      </c>
      <c r="D373" s="19">
        <v>0.039</v>
      </c>
      <c r="E373" s="18" t="s">
        <v>80</v>
      </c>
      <c r="F373" s="18" t="s">
        <v>102</v>
      </c>
      <c r="G373" s="15" t="s">
        <v>2025</v>
      </c>
      <c r="H373" s="12">
        <v>46.0</v>
      </c>
      <c r="I373" s="13" t="s">
        <v>20</v>
      </c>
      <c r="J373" s="14" t="s">
        <v>103</v>
      </c>
      <c r="K373" s="14">
        <v>4.0</v>
      </c>
      <c r="L373" s="14" t="str">
        <f t="array" ref="L373">INDEX('School Rep'!$A$2:$A$21, MATCH(J373, 'School Rep'!$B$2:$B$21, 0))</f>
        <v>Ellen Rosenfeld</v>
      </c>
      <c r="M373" s="12">
        <v>1.7</v>
      </c>
      <c r="N373" s="16" t="s">
        <v>1210</v>
      </c>
      <c r="O373" s="8" t="str">
        <f t="shared" si="1"/>
        <v>2250 N Clifton Ave </v>
      </c>
      <c r="P373" s="12">
        <v>43.0</v>
      </c>
      <c r="Q373" s="13" t="s">
        <v>105</v>
      </c>
    </row>
    <row r="374">
      <c r="A374" s="7">
        <v>610290.0</v>
      </c>
      <c r="B374" s="8" t="s">
        <v>1211</v>
      </c>
      <c r="C374" s="18" t="s">
        <v>1212</v>
      </c>
      <c r="D374" s="19">
        <v>0.209</v>
      </c>
      <c r="E374" s="18" t="s">
        <v>80</v>
      </c>
      <c r="F374" s="18" t="s">
        <v>186</v>
      </c>
      <c r="G374" s="15" t="s">
        <v>2031</v>
      </c>
      <c r="H374" s="15"/>
      <c r="I374" s="8"/>
      <c r="J374" s="14" t="s">
        <v>187</v>
      </c>
      <c r="K374" s="14">
        <v>9.0</v>
      </c>
      <c r="L374" s="14" t="str">
        <f t="array" ref="L374">INDEX('School Rep'!$A$2:$A$21, MATCH(J374, 'School Rep'!$B$2:$B$21, 0))</f>
        <v>Frank Niles Thomas</v>
      </c>
      <c r="M374" s="15">
        <v>3.8</v>
      </c>
      <c r="N374" s="16" t="s">
        <v>1213</v>
      </c>
      <c r="O374" s="8" t="str">
        <f t="shared" si="1"/>
        <v>6656 S Normal Blvd </v>
      </c>
      <c r="P374" s="12">
        <v>6.0</v>
      </c>
      <c r="Q374" s="13" t="s">
        <v>306</v>
      </c>
    </row>
    <row r="375">
      <c r="A375" s="7">
        <v>609968.0</v>
      </c>
      <c r="B375" s="12" t="s">
        <v>1214</v>
      </c>
      <c r="C375" s="9" t="s">
        <v>1215</v>
      </c>
      <c r="D375" s="10">
        <v>0.082</v>
      </c>
      <c r="E375" s="11" t="s">
        <v>80</v>
      </c>
      <c r="F375" s="11" t="s">
        <v>102</v>
      </c>
      <c r="G375" s="15" t="s">
        <v>2025</v>
      </c>
      <c r="H375" s="12">
        <v>41.0</v>
      </c>
      <c r="I375" s="13" t="s">
        <v>20</v>
      </c>
      <c r="J375" s="14" t="s">
        <v>232</v>
      </c>
      <c r="K375" s="14">
        <v>3.0</v>
      </c>
      <c r="L375" s="14" t="str">
        <f t="array" ref="L375">INDEX('School Rep'!$A$2:$A$21, MATCH(J375, 'School Rep'!$B$2:$B$21, 0))</f>
        <v>Carlos Rivas</v>
      </c>
      <c r="M375" s="12">
        <v>3.2</v>
      </c>
      <c r="N375" s="16" t="s">
        <v>1216</v>
      </c>
      <c r="O375" s="8" t="str">
        <f t="shared" si="1"/>
        <v>1841 N Springfield Ave </v>
      </c>
      <c r="P375" s="12">
        <v>26.0</v>
      </c>
      <c r="Q375" s="13" t="s">
        <v>378</v>
      </c>
    </row>
    <row r="376">
      <c r="A376" s="7">
        <v>610063.0</v>
      </c>
      <c r="B376" s="8" t="s">
        <v>1217</v>
      </c>
      <c r="C376" s="18" t="s">
        <v>1218</v>
      </c>
      <c r="D376" s="19">
        <v>0.077</v>
      </c>
      <c r="E376" s="18" t="s">
        <v>80</v>
      </c>
      <c r="F376" s="18" t="s">
        <v>529</v>
      </c>
      <c r="G376" s="15" t="s">
        <v>2039</v>
      </c>
      <c r="H376" s="12">
        <v>57.0</v>
      </c>
      <c r="I376" s="13" t="s">
        <v>20</v>
      </c>
      <c r="J376" s="14" t="s">
        <v>42</v>
      </c>
      <c r="K376" s="14">
        <v>7.0</v>
      </c>
      <c r="L376" s="14" t="str">
        <f t="array" ref="L376">INDEX('School Rep'!$A$2:$A$21, MATCH(J376, 'School Rep'!$B$2:$B$21, 0))</f>
        <v>Emma Lozano</v>
      </c>
      <c r="M376" s="15">
        <v>3.8</v>
      </c>
      <c r="N376" s="16" t="s">
        <v>1219</v>
      </c>
      <c r="O376" s="8" t="str">
        <f t="shared" si="1"/>
        <v>2712 S Sawyer Ave </v>
      </c>
      <c r="P376" s="12">
        <v>22.0</v>
      </c>
      <c r="Q376" s="13" t="s">
        <v>353</v>
      </c>
    </row>
    <row r="377">
      <c r="A377" s="7">
        <v>610269.0</v>
      </c>
      <c r="B377" s="12" t="s">
        <v>1220</v>
      </c>
      <c r="C377" s="18" t="s">
        <v>1221</v>
      </c>
      <c r="D377" s="19">
        <v>0.281</v>
      </c>
      <c r="E377" s="18" t="s">
        <v>80</v>
      </c>
      <c r="F377" s="18" t="s">
        <v>270</v>
      </c>
      <c r="G377" s="15" t="s">
        <v>2035</v>
      </c>
      <c r="H377" s="12">
        <v>66.0</v>
      </c>
      <c r="I377" s="13" t="s">
        <v>52</v>
      </c>
      <c r="J377" s="14" t="s">
        <v>243</v>
      </c>
      <c r="K377" s="14">
        <v>4.0</v>
      </c>
      <c r="L377" s="14" t="str">
        <f t="array" ref="L377">INDEX('School Rep'!$A$2:$A$21, MATCH(J377, 'School Rep'!$B$2:$B$21, 0))</f>
        <v>Karen Zaccor</v>
      </c>
      <c r="M377" s="12">
        <v>2.7</v>
      </c>
      <c r="N377" s="16" t="s">
        <v>1222</v>
      </c>
      <c r="O377" s="8" t="str">
        <f t="shared" si="1"/>
        <v>4865 N Sheridan Rd </v>
      </c>
      <c r="P377" s="12">
        <v>46.0</v>
      </c>
      <c r="Q377" s="13" t="s">
        <v>245</v>
      </c>
    </row>
    <row r="378">
      <c r="A378" s="7">
        <v>610066.0</v>
      </c>
      <c r="B378" s="13" t="s">
        <v>1223</v>
      </c>
      <c r="C378" s="18" t="s">
        <v>1224</v>
      </c>
      <c r="D378" s="19">
        <v>0.0</v>
      </c>
      <c r="E378" s="18" t="s">
        <v>80</v>
      </c>
      <c r="F378" s="18" t="s">
        <v>144</v>
      </c>
      <c r="G378" s="15" t="s">
        <v>2030</v>
      </c>
      <c r="H378" s="12">
        <v>67.0</v>
      </c>
      <c r="I378" s="13" t="s">
        <v>52</v>
      </c>
      <c r="J378" s="14" t="s">
        <v>82</v>
      </c>
      <c r="K378" s="14">
        <v>10.0</v>
      </c>
      <c r="L378" s="14" t="str">
        <f t="array" ref="L378">INDEX('School Rep'!$A$2:$A$21, MATCH(J378, 'School Rep'!$B$2:$B$21, 0))</f>
        <v>Olga Bautista</v>
      </c>
      <c r="M378" s="12">
        <v>2.3</v>
      </c>
      <c r="N378" s="16" t="s">
        <v>1225</v>
      </c>
      <c r="O378" s="8" t="str">
        <f t="shared" si="1"/>
        <v>8801 S Indiana Ave </v>
      </c>
      <c r="P378" s="12">
        <v>6.0</v>
      </c>
      <c r="Q378" s="13" t="s">
        <v>306</v>
      </c>
    </row>
    <row r="379">
      <c r="A379" s="7">
        <v>610312.0</v>
      </c>
      <c r="B379" s="13" t="s">
        <v>1226</v>
      </c>
      <c r="C379" s="17" t="s">
        <v>1227</v>
      </c>
      <c r="D379" s="10">
        <v>0.0</v>
      </c>
      <c r="E379" s="11" t="s">
        <v>80</v>
      </c>
      <c r="F379" s="11" t="s">
        <v>126</v>
      </c>
      <c r="G379" s="15" t="e">
        <v>#N/A</v>
      </c>
      <c r="H379" s="12">
        <v>65.0</v>
      </c>
      <c r="I379" s="13" t="s">
        <v>52</v>
      </c>
      <c r="J379" s="14" t="s">
        <v>82</v>
      </c>
      <c r="K379" s="14">
        <v>10.0</v>
      </c>
      <c r="L379" s="14" t="str">
        <f t="array" ref="L379">INDEX('School Rep'!$A$2:$A$21, MATCH(J379, 'School Rep'!$B$2:$B$21, 0))</f>
        <v>Olga Bautista</v>
      </c>
      <c r="M379" s="12">
        <v>3.3</v>
      </c>
      <c r="N379" s="16" t="s">
        <v>1228</v>
      </c>
      <c r="O379" s="8" t="str">
        <f t="shared" si="1"/>
        <v>1419 E 89th St </v>
      </c>
      <c r="P379" s="12">
        <v>8.0</v>
      </c>
      <c r="Q379" s="13" t="s">
        <v>135</v>
      </c>
    </row>
    <row r="380">
      <c r="A380" s="7">
        <v>610067.0</v>
      </c>
      <c r="B380" s="8" t="s">
        <v>1229</v>
      </c>
      <c r="C380" s="18" t="s">
        <v>1230</v>
      </c>
      <c r="D380" s="19">
        <v>0.2</v>
      </c>
      <c r="E380" s="18" t="s">
        <v>80</v>
      </c>
      <c r="F380" s="18" t="s">
        <v>138</v>
      </c>
      <c r="G380" s="15" t="s">
        <v>2029</v>
      </c>
      <c r="H380" s="12">
        <v>49.0</v>
      </c>
      <c r="I380" s="13" t="s">
        <v>20</v>
      </c>
      <c r="J380" s="14" t="s">
        <v>139</v>
      </c>
      <c r="K380" s="14">
        <v>8.0</v>
      </c>
      <c r="L380" s="14" t="str">
        <f t="array" ref="L380">INDEX('School Rep'!$A$2:$A$21, MATCH(J380, 'School Rep'!$B$2:$B$21, 0))</f>
        <v>Angel Gutierrez</v>
      </c>
      <c r="M380" s="15">
        <v>3.4</v>
      </c>
      <c r="N380" s="16" t="s">
        <v>1231</v>
      </c>
      <c r="O380" s="8" t="str">
        <f t="shared" si="1"/>
        <v>6901 S Fairfield Ave </v>
      </c>
      <c r="P380" s="12">
        <v>17.0</v>
      </c>
      <c r="Q380" s="13" t="s">
        <v>189</v>
      </c>
    </row>
    <row r="381">
      <c r="A381" s="7">
        <v>610282.0</v>
      </c>
      <c r="B381" s="12" t="s">
        <v>1232</v>
      </c>
      <c r="C381" s="9" t="s">
        <v>1233</v>
      </c>
      <c r="D381" s="10">
        <v>0.148</v>
      </c>
      <c r="E381" s="11" t="s">
        <v>80</v>
      </c>
      <c r="F381" s="11" t="s">
        <v>231</v>
      </c>
      <c r="G381" s="15" t="s">
        <v>2033</v>
      </c>
      <c r="H381" s="12">
        <v>66.0</v>
      </c>
      <c r="I381" s="13" t="s">
        <v>52</v>
      </c>
      <c r="J381" s="14" t="s">
        <v>31</v>
      </c>
      <c r="K381" s="14">
        <v>5.0</v>
      </c>
      <c r="L381" s="14" t="str">
        <f t="array" ref="L381">INDEX('School Rep'!$A$2:$A$21, MATCH(J381, 'School Rep'!$B$2:$B$21, 0))</f>
        <v>Aaron "Jitu" Brown</v>
      </c>
      <c r="M381" s="12">
        <v>3.7</v>
      </c>
      <c r="N381" s="16" t="s">
        <v>1234</v>
      </c>
      <c r="O381" s="8" t="str">
        <f t="shared" si="1"/>
        <v>4820 W Walton St </v>
      </c>
      <c r="P381" s="12">
        <v>37.0</v>
      </c>
      <c r="Q381" s="13" t="s">
        <v>162</v>
      </c>
    </row>
    <row r="382">
      <c r="A382" s="7">
        <v>610070.0</v>
      </c>
      <c r="B382" s="13" t="s">
        <v>1235</v>
      </c>
      <c r="C382" s="9" t="s">
        <v>1236</v>
      </c>
      <c r="D382" s="10">
        <v>0.072</v>
      </c>
      <c r="E382" s="11" t="s">
        <v>80</v>
      </c>
      <c r="F382" s="11" t="s">
        <v>270</v>
      </c>
      <c r="G382" s="15" t="s">
        <v>2035</v>
      </c>
      <c r="H382" s="12">
        <v>42.0</v>
      </c>
      <c r="I382" s="13" t="s">
        <v>20</v>
      </c>
      <c r="J382" s="14" t="s">
        <v>87</v>
      </c>
      <c r="K382" s="14">
        <v>2.0</v>
      </c>
      <c r="L382" s="14" t="str">
        <f t="array" ref="L382">INDEX('School Rep'!$A$2:$A$21, MATCH(J382, 'School Rep'!$B$2:$B$21, 0))</f>
        <v>Debby Pope</v>
      </c>
      <c r="M382" s="12">
        <v>2.2</v>
      </c>
      <c r="N382" s="16" t="s">
        <v>1237</v>
      </c>
      <c r="O382" s="8" t="str">
        <f t="shared" si="1"/>
        <v>4728 N Wolcott Ave </v>
      </c>
      <c r="P382" s="12">
        <v>47.0</v>
      </c>
      <c r="Q382" s="13" t="s">
        <v>228</v>
      </c>
    </row>
    <row r="383">
      <c r="A383" s="7">
        <v>610293.0</v>
      </c>
      <c r="B383" s="8" t="s">
        <v>1238</v>
      </c>
      <c r="C383" s="18" t="s">
        <v>1239</v>
      </c>
      <c r="D383" s="19">
        <v>0.145</v>
      </c>
      <c r="E383" s="18" t="s">
        <v>80</v>
      </c>
      <c r="F383" s="18" t="s">
        <v>216</v>
      </c>
      <c r="G383" s="15" t="s">
        <v>2032</v>
      </c>
      <c r="H383" s="12">
        <v>60.0</v>
      </c>
      <c r="I383" s="13" t="s">
        <v>52</v>
      </c>
      <c r="J383" s="14" t="s">
        <v>217</v>
      </c>
      <c r="K383" s="14">
        <v>5.0</v>
      </c>
      <c r="L383" s="14" t="str">
        <f t="array" ref="L383">INDEX('School Rep'!$A$2:$A$21, MATCH(J383, 'School Rep'!$B$2:$B$21, 0))</f>
        <v>Michilla Blaise</v>
      </c>
      <c r="M383" s="15">
        <v>3.3</v>
      </c>
      <c r="N383" s="16" t="s">
        <v>1240</v>
      </c>
      <c r="O383" s="8" t="str">
        <f t="shared" si="1"/>
        <v>3937 W Wilcox St </v>
      </c>
      <c r="P383" s="12">
        <v>28.0</v>
      </c>
      <c r="Q383" s="13" t="s">
        <v>399</v>
      </c>
    </row>
    <row r="384">
      <c r="A384" s="7">
        <v>609902.0</v>
      </c>
      <c r="B384" s="8" t="s">
        <v>1241</v>
      </c>
      <c r="C384" s="18" t="s">
        <v>1242</v>
      </c>
      <c r="D384" s="19">
        <v>0.191</v>
      </c>
      <c r="E384" s="18" t="s">
        <v>80</v>
      </c>
      <c r="F384" s="18" t="s">
        <v>81</v>
      </c>
      <c r="G384" s="15" t="s">
        <v>2022</v>
      </c>
      <c r="H384" s="12">
        <v>55.0</v>
      </c>
      <c r="I384" s="13" t="s">
        <v>20</v>
      </c>
      <c r="J384" s="14" t="s">
        <v>178</v>
      </c>
      <c r="K384" s="14">
        <v>9.0</v>
      </c>
      <c r="L384" s="14" t="str">
        <f t="array" ref="L384">INDEX('School Rep'!$A$2:$A$21, MATCH(J384, 'School Rep'!$B$2:$B$21, 0))</f>
        <v>Therese Boyle</v>
      </c>
      <c r="M384" s="15">
        <v>3.6</v>
      </c>
      <c r="N384" s="16" t="s">
        <v>1243</v>
      </c>
      <c r="O384" s="8" t="str">
        <f t="shared" si="1"/>
        <v>12339 S Normal Ave </v>
      </c>
      <c r="P384" s="12">
        <v>9.0</v>
      </c>
      <c r="Q384" s="13" t="s">
        <v>237</v>
      </c>
    </row>
    <row r="385">
      <c r="A385" s="7">
        <v>610062.0</v>
      </c>
      <c r="B385" s="8" t="s">
        <v>1244</v>
      </c>
      <c r="C385" s="20" t="s">
        <v>1245</v>
      </c>
      <c r="D385" s="21">
        <v>0.09</v>
      </c>
      <c r="E385" s="20" t="s">
        <v>80</v>
      </c>
      <c r="F385" s="20" t="s">
        <v>301</v>
      </c>
      <c r="G385" s="15" t="s">
        <v>2037</v>
      </c>
      <c r="H385" s="12">
        <v>48.0</v>
      </c>
      <c r="I385" s="13" t="s">
        <v>20</v>
      </c>
      <c r="J385" s="15" t="s">
        <v>384</v>
      </c>
      <c r="K385" s="15" t="s">
        <v>384</v>
      </c>
      <c r="L385" s="15" t="s">
        <v>384</v>
      </c>
      <c r="M385" s="12">
        <v>3.3</v>
      </c>
      <c r="N385" s="16" t="s">
        <v>1246</v>
      </c>
      <c r="O385" s="8" t="str">
        <f t="shared" si="1"/>
        <v>3527 S Wallace St </v>
      </c>
      <c r="P385" s="12">
        <v>11.0</v>
      </c>
      <c r="Q385" s="13" t="s">
        <v>94</v>
      </c>
    </row>
    <row r="386">
      <c r="A386" s="7">
        <v>610171.0</v>
      </c>
      <c r="B386" s="13" t="s">
        <v>1247</v>
      </c>
      <c r="C386" s="18" t="s">
        <v>1248</v>
      </c>
      <c r="D386" s="19">
        <v>0.232</v>
      </c>
      <c r="E386" s="18" t="s">
        <v>80</v>
      </c>
      <c r="F386" s="18" t="s">
        <v>144</v>
      </c>
      <c r="G386" s="15" t="s">
        <v>2030</v>
      </c>
      <c r="H386" s="12">
        <v>51.0</v>
      </c>
      <c r="I386" s="13" t="s">
        <v>20</v>
      </c>
      <c r="J386" s="14" t="s">
        <v>82</v>
      </c>
      <c r="K386" s="14">
        <v>10.0</v>
      </c>
      <c r="L386" s="14" t="str">
        <f t="array" ref="L386">INDEX('School Rep'!$A$2:$A$21, MATCH(J386, 'School Rep'!$B$2:$B$21, 0))</f>
        <v>Olga Bautista</v>
      </c>
      <c r="M386" s="12">
        <v>3.8</v>
      </c>
      <c r="N386" s="16" t="s">
        <v>1249</v>
      </c>
      <c r="O386" s="8" t="str">
        <f t="shared" si="1"/>
        <v>9000 S Exchange Ave </v>
      </c>
      <c r="P386" s="12">
        <v>10.0</v>
      </c>
      <c r="Q386" s="13" t="s">
        <v>84</v>
      </c>
    </row>
    <row r="387">
      <c r="A387" s="7">
        <v>610073.0</v>
      </c>
      <c r="B387" s="12" t="s">
        <v>1250</v>
      </c>
      <c r="C387" s="18" t="s">
        <v>1251</v>
      </c>
      <c r="D387" s="19">
        <v>0.056</v>
      </c>
      <c r="E387" s="18" t="s">
        <v>80</v>
      </c>
      <c r="F387" s="18" t="s">
        <v>126</v>
      </c>
      <c r="G387" s="15" t="e">
        <v>#N/A</v>
      </c>
      <c r="H387" s="12">
        <v>57.0</v>
      </c>
      <c r="I387" s="13" t="s">
        <v>20</v>
      </c>
      <c r="J387" s="14" t="s">
        <v>31</v>
      </c>
      <c r="K387" s="14">
        <v>5.0</v>
      </c>
      <c r="L387" s="14" t="str">
        <f t="array" ref="L387">INDEX('School Rep'!$A$2:$A$21, MATCH(J387, 'School Rep'!$B$2:$B$21, 0))</f>
        <v>Aaron "Jitu" Brown</v>
      </c>
      <c r="M387" s="12">
        <v>1.8</v>
      </c>
      <c r="N387" s="16" t="s">
        <v>1252</v>
      </c>
      <c r="O387" s="8" t="str">
        <f t="shared" si="1"/>
        <v>2233 W Ohio St </v>
      </c>
      <c r="P387" s="12">
        <v>36.0</v>
      </c>
      <c r="Q387" s="13" t="s">
        <v>67</v>
      </c>
    </row>
    <row r="388">
      <c r="A388" s="7">
        <v>610276.0</v>
      </c>
      <c r="B388" s="8" t="s">
        <v>1253</v>
      </c>
      <c r="C388" s="18" t="s">
        <v>1254</v>
      </c>
      <c r="D388" s="19">
        <v>0.217</v>
      </c>
      <c r="E388" s="18" t="s">
        <v>80</v>
      </c>
      <c r="F388" s="18" t="s">
        <v>120</v>
      </c>
      <c r="G388" s="15" t="s">
        <v>2028</v>
      </c>
      <c r="H388" s="12">
        <v>17.0</v>
      </c>
      <c r="I388" s="13" t="s">
        <v>30</v>
      </c>
      <c r="J388" s="14" t="s">
        <v>204</v>
      </c>
      <c r="K388" s="14">
        <v>6.0</v>
      </c>
      <c r="L388" s="14" t="str">
        <f t="array" ref="L388">INDEX('School Rep'!$A$2:$A$21, MATCH(J388, 'School Rep'!$B$2:$B$21, 0))</f>
        <v>Jessica Biggs</v>
      </c>
      <c r="M388" s="15">
        <v>3.3</v>
      </c>
      <c r="N388" s="16" t="s">
        <v>1255</v>
      </c>
      <c r="O388" s="8" t="str">
        <f t="shared" si="1"/>
        <v>4415 S Dr Martin L King Jr Dr </v>
      </c>
      <c r="P388" s="12">
        <v>3.0</v>
      </c>
      <c r="Q388" s="13" t="s">
        <v>206</v>
      </c>
    </row>
    <row r="389">
      <c r="A389" s="7">
        <v>610203.0</v>
      </c>
      <c r="B389" s="8" t="s">
        <v>1256</v>
      </c>
      <c r="C389" s="18" t="s">
        <v>1257</v>
      </c>
      <c r="D389" s="19">
        <v>0.109</v>
      </c>
      <c r="E389" s="18" t="s">
        <v>80</v>
      </c>
      <c r="F389" s="18" t="s">
        <v>285</v>
      </c>
      <c r="G389" s="15" t="s">
        <v>2036</v>
      </c>
      <c r="H389" s="12">
        <v>38.0</v>
      </c>
      <c r="I389" s="13" t="s">
        <v>41</v>
      </c>
      <c r="J389" s="15" t="s">
        <v>384</v>
      </c>
      <c r="K389" s="15" t="s">
        <v>384</v>
      </c>
      <c r="L389" s="15" t="s">
        <v>384</v>
      </c>
      <c r="M389" s="15">
        <v>3.5</v>
      </c>
      <c r="N389" s="16" t="s">
        <v>1258</v>
      </c>
      <c r="O389" s="8" t="str">
        <f t="shared" si="1"/>
        <v>5815 S Homan Ave </v>
      </c>
      <c r="P389" s="12">
        <v>14.0</v>
      </c>
      <c r="Q389" s="13" t="s">
        <v>54</v>
      </c>
    </row>
    <row r="390">
      <c r="A390" s="7">
        <v>400116.0</v>
      </c>
      <c r="B390" s="8" t="s">
        <v>1259</v>
      </c>
      <c r="C390" s="17" t="s">
        <v>1260</v>
      </c>
      <c r="D390" s="10">
        <v>0.214</v>
      </c>
      <c r="E390" s="11" t="s">
        <v>19</v>
      </c>
      <c r="F390" s="11" t="s">
        <v>19</v>
      </c>
      <c r="G390" s="15" t="e">
        <v>#N/A</v>
      </c>
      <c r="H390" s="12">
        <v>59.0</v>
      </c>
      <c r="I390" s="13" t="s">
        <v>20</v>
      </c>
      <c r="J390" s="14" t="s">
        <v>187</v>
      </c>
      <c r="K390" s="14">
        <v>9.0</v>
      </c>
      <c r="L390" s="14" t="str">
        <f t="array" ref="L390">INDEX('School Rep'!$A$2:$A$21, MATCH(J390, 'School Rep'!$B$2:$B$21, 0))</f>
        <v>Frank Niles Thomas</v>
      </c>
      <c r="M390" s="15">
        <v>3.5</v>
      </c>
      <c r="N390" s="16" t="s">
        <v>1261</v>
      </c>
      <c r="O390" s="8" t="str">
        <f t="shared" si="1"/>
        <v>6936 S Hermitage Ave </v>
      </c>
      <c r="P390" s="12">
        <v>17.0</v>
      </c>
      <c r="Q390" s="13" t="s">
        <v>189</v>
      </c>
    </row>
    <row r="391">
      <c r="A391" s="7">
        <v>610076.0</v>
      </c>
      <c r="B391" s="12" t="s">
        <v>1262</v>
      </c>
      <c r="C391" s="18" t="s">
        <v>1263</v>
      </c>
      <c r="D391" s="19">
        <v>0.075</v>
      </c>
      <c r="E391" s="18" t="s">
        <v>80</v>
      </c>
      <c r="F391" s="18" t="s">
        <v>216</v>
      </c>
      <c r="G391" s="15" t="s">
        <v>2032</v>
      </c>
      <c r="H391" s="12">
        <v>20.0</v>
      </c>
      <c r="I391" s="13" t="s">
        <v>41</v>
      </c>
      <c r="J391" s="14" t="s">
        <v>232</v>
      </c>
      <c r="K391" s="14">
        <v>3.0</v>
      </c>
      <c r="L391" s="14" t="str">
        <f t="array" ref="L391">INDEX('School Rep'!$A$2:$A$21, MATCH(J391, 'School Rep'!$B$2:$B$21, 0))</f>
        <v>Carlos Rivas</v>
      </c>
      <c r="M391" s="12">
        <v>2.3</v>
      </c>
      <c r="N391" s="16" t="s">
        <v>1264</v>
      </c>
      <c r="O391" s="8" t="str">
        <f t="shared" si="1"/>
        <v>1711 N California Ave </v>
      </c>
      <c r="P391" s="12">
        <v>26.0</v>
      </c>
      <c r="Q391" s="13" t="s">
        <v>378</v>
      </c>
    </row>
    <row r="392">
      <c r="A392" s="7">
        <v>609725.0</v>
      </c>
      <c r="B392" s="8" t="s">
        <v>1265</v>
      </c>
      <c r="C392" s="9" t="s">
        <v>1266</v>
      </c>
      <c r="D392" s="10">
        <v>0.116</v>
      </c>
      <c r="E392" s="11" t="s">
        <v>80</v>
      </c>
      <c r="F392" s="11" t="s">
        <v>92</v>
      </c>
      <c r="G392" s="15" t="s">
        <v>2023</v>
      </c>
      <c r="H392" s="12">
        <v>56.0</v>
      </c>
      <c r="I392" s="13" t="s">
        <v>20</v>
      </c>
      <c r="J392" s="14" t="s">
        <v>178</v>
      </c>
      <c r="K392" s="14">
        <v>9.0</v>
      </c>
      <c r="L392" s="14" t="str">
        <f t="array" ref="L392">INDEX('School Rep'!$A$2:$A$21, MATCH(J392, 'School Rep'!$B$2:$B$21, 0))</f>
        <v>Therese Boyle</v>
      </c>
      <c r="M392" s="15">
        <v>2.7</v>
      </c>
      <c r="N392" s="16" t="s">
        <v>1267</v>
      </c>
      <c r="O392" s="8" t="str">
        <f t="shared" si="1"/>
        <v>1744 W Pryor Ave </v>
      </c>
      <c r="P392" s="12">
        <v>19.0</v>
      </c>
      <c r="Q392" s="13" t="s">
        <v>180</v>
      </c>
    </row>
    <row r="393">
      <c r="A393" s="7">
        <v>610077.0</v>
      </c>
      <c r="B393" s="8" t="s">
        <v>1268</v>
      </c>
      <c r="C393" s="18" t="s">
        <v>1269</v>
      </c>
      <c r="D393" s="19">
        <v>0.142</v>
      </c>
      <c r="E393" s="18" t="s">
        <v>80</v>
      </c>
      <c r="F393" s="18" t="s">
        <v>138</v>
      </c>
      <c r="G393" s="15" t="s">
        <v>2029</v>
      </c>
      <c r="H393" s="12">
        <v>66.0</v>
      </c>
      <c r="I393" s="13" t="s">
        <v>52</v>
      </c>
      <c r="J393" s="14" t="s">
        <v>26</v>
      </c>
      <c r="K393" s="14">
        <v>8.0</v>
      </c>
      <c r="L393" s="14" t="str">
        <f t="array" ref="L393">INDEX('School Rep'!$A$2:$A$21, MATCH(J393, 'School Rep'!$B$2:$B$21, 0))</f>
        <v>Cydney Wallace</v>
      </c>
      <c r="M393" s="15">
        <v>3.6</v>
      </c>
      <c r="N393" s="16" t="s">
        <v>1270</v>
      </c>
      <c r="O393" s="8" t="str">
        <f t="shared" si="1"/>
        <v>6011 S Rockwell St </v>
      </c>
      <c r="P393" s="12">
        <v>16.0</v>
      </c>
      <c r="Q393" s="13" t="s">
        <v>193</v>
      </c>
    </row>
    <row r="394">
      <c r="A394" s="7">
        <v>610257.0</v>
      </c>
      <c r="B394" s="8" t="s">
        <v>1271</v>
      </c>
      <c r="C394" s="9" t="s">
        <v>1272</v>
      </c>
      <c r="D394" s="10">
        <v>0.17</v>
      </c>
      <c r="E394" s="11" t="s">
        <v>80</v>
      </c>
      <c r="F394" s="11" t="s">
        <v>216</v>
      </c>
      <c r="G394" s="15" t="s">
        <v>2032</v>
      </c>
      <c r="H394" s="12">
        <v>31.0</v>
      </c>
      <c r="I394" s="13" t="s">
        <v>41</v>
      </c>
      <c r="J394" s="14" t="s">
        <v>217</v>
      </c>
      <c r="K394" s="14">
        <v>5.0</v>
      </c>
      <c r="L394" s="14" t="str">
        <f t="array" ref="L394">INDEX('School Rep'!$A$2:$A$21, MATCH(J394, 'School Rep'!$B$2:$B$21, 0))</f>
        <v>Michilla Blaise</v>
      </c>
      <c r="M394" s="15">
        <v>3.0</v>
      </c>
      <c r="N394" s="16" t="s">
        <v>1273</v>
      </c>
      <c r="O394" s="8" t="str">
        <f t="shared" si="1"/>
        <v>431 N Troy St </v>
      </c>
      <c r="P394" s="12">
        <v>27.0</v>
      </c>
      <c r="Q394" s="13" t="s">
        <v>219</v>
      </c>
    </row>
    <row r="395">
      <c r="A395" s="7">
        <v>609804.0</v>
      </c>
      <c r="B395" s="8" t="s">
        <v>1274</v>
      </c>
      <c r="C395" s="20" t="s">
        <v>1275</v>
      </c>
      <c r="D395" s="21">
        <v>0.113</v>
      </c>
      <c r="E395" s="20" t="s">
        <v>80</v>
      </c>
      <c r="F395" s="20" t="s">
        <v>270</v>
      </c>
      <c r="G395" s="15" t="s">
        <v>2035</v>
      </c>
      <c r="H395" s="12">
        <v>36.0</v>
      </c>
      <c r="I395" s="13" t="s">
        <v>41</v>
      </c>
      <c r="J395" s="15" t="s">
        <v>384</v>
      </c>
      <c r="K395" s="15" t="s">
        <v>384</v>
      </c>
      <c r="L395" s="15" t="s">
        <v>384</v>
      </c>
      <c r="M395" s="15">
        <v>2.4</v>
      </c>
      <c r="N395" s="16" t="s">
        <v>1276</v>
      </c>
      <c r="O395" s="8" t="str">
        <f t="shared" si="1"/>
        <v>6710 N Washtenaw Ave </v>
      </c>
      <c r="P395" s="12">
        <v>50.0</v>
      </c>
      <c r="Q395" s="13" t="s">
        <v>131</v>
      </c>
    </row>
    <row r="396">
      <c r="A396" s="7">
        <v>610082.0</v>
      </c>
      <c r="B396" s="8" t="s">
        <v>1277</v>
      </c>
      <c r="C396" s="9" t="s">
        <v>1278</v>
      </c>
      <c r="D396" s="10">
        <v>0.019</v>
      </c>
      <c r="E396" s="11" t="s">
        <v>80</v>
      </c>
      <c r="F396" s="11" t="s">
        <v>126</v>
      </c>
      <c r="G396" s="15" t="e">
        <v>#N/A</v>
      </c>
      <c r="H396" s="12">
        <v>75.0</v>
      </c>
      <c r="I396" s="13" t="s">
        <v>52</v>
      </c>
      <c r="J396" s="14" t="s">
        <v>178</v>
      </c>
      <c r="K396" s="14">
        <v>9.0</v>
      </c>
      <c r="L396" s="14" t="str">
        <f t="array" ref="L396">INDEX('School Rep'!$A$2:$A$21, MATCH(J396, 'School Rep'!$B$2:$B$21, 0))</f>
        <v>Therese Boyle</v>
      </c>
      <c r="M396" s="15">
        <v>1.6</v>
      </c>
      <c r="N396" s="16" t="s">
        <v>1279</v>
      </c>
      <c r="O396" s="8" t="str">
        <f t="shared" si="1"/>
        <v>10841 S Homan Ave </v>
      </c>
      <c r="P396" s="12">
        <v>19.0</v>
      </c>
      <c r="Q396" s="13" t="s">
        <v>180</v>
      </c>
    </row>
    <row r="397">
      <c r="A397" s="7">
        <v>610086.0</v>
      </c>
      <c r="B397" s="8" t="s">
        <v>1280</v>
      </c>
      <c r="C397" s="9" t="s">
        <v>1281</v>
      </c>
      <c r="D397" s="10">
        <v>0.185</v>
      </c>
      <c r="E397" s="11" t="s">
        <v>80</v>
      </c>
      <c r="F397" s="11" t="s">
        <v>81</v>
      </c>
      <c r="G397" s="15" t="s">
        <v>2022</v>
      </c>
      <c r="H397" s="12">
        <v>58.0</v>
      </c>
      <c r="I397" s="13" t="s">
        <v>20</v>
      </c>
      <c r="J397" s="14" t="s">
        <v>178</v>
      </c>
      <c r="K397" s="14">
        <v>9.0</v>
      </c>
      <c r="L397" s="14" t="str">
        <f t="array" ref="L397">INDEX('School Rep'!$A$2:$A$21, MATCH(J397, 'School Rep'!$B$2:$B$21, 0))</f>
        <v>Therese Boyle</v>
      </c>
      <c r="M397" s="15">
        <v>3.5</v>
      </c>
      <c r="N397" s="16" t="s">
        <v>1282</v>
      </c>
      <c r="O397" s="8" t="str">
        <f t="shared" si="1"/>
        <v>10540 S Morgan St </v>
      </c>
      <c r="P397" s="12">
        <v>21.0</v>
      </c>
      <c r="Q397" s="13" t="s">
        <v>428</v>
      </c>
    </row>
    <row r="398">
      <c r="A398" s="7">
        <v>400178.0</v>
      </c>
      <c r="B398" s="12" t="s">
        <v>1283</v>
      </c>
      <c r="C398" s="17" t="s">
        <v>1284</v>
      </c>
      <c r="D398" s="10">
        <v>0.11</v>
      </c>
      <c r="E398" s="11" t="s">
        <v>19</v>
      </c>
      <c r="F398" s="11" t="s">
        <v>19</v>
      </c>
      <c r="G398" s="15" t="e">
        <v>#N/A</v>
      </c>
      <c r="H398" s="12">
        <v>44.0</v>
      </c>
      <c r="I398" s="13" t="s">
        <v>20</v>
      </c>
      <c r="J398" s="14" t="s">
        <v>31</v>
      </c>
      <c r="K398" s="14">
        <v>5.0</v>
      </c>
      <c r="L398" s="14" t="str">
        <f t="array" ref="L398">INDEX('School Rep'!$A$2:$A$21, MATCH(J398, 'School Rep'!$B$2:$B$21, 0))</f>
        <v>Aaron "Jitu" Brown</v>
      </c>
      <c r="M398" s="12">
        <v>3.8</v>
      </c>
      <c r="N398" s="16" t="s">
        <v>1285</v>
      </c>
      <c r="O398" s="8" t="str">
        <f t="shared" si="1"/>
        <v>416 N Laramie Ave </v>
      </c>
      <c r="P398" s="12">
        <v>37.0</v>
      </c>
      <c r="Q398" s="13" t="s">
        <v>162</v>
      </c>
    </row>
    <row r="399">
      <c r="A399" s="7">
        <v>610088.0</v>
      </c>
      <c r="B399" s="12" t="s">
        <v>1286</v>
      </c>
      <c r="C399" s="18" t="s">
        <v>1287</v>
      </c>
      <c r="D399" s="19">
        <v>0.11</v>
      </c>
      <c r="E399" s="18" t="s">
        <v>80</v>
      </c>
      <c r="F399" s="18" t="s">
        <v>102</v>
      </c>
      <c r="G399" s="15" t="s">
        <v>2025</v>
      </c>
      <c r="H399" s="12">
        <v>41.0</v>
      </c>
      <c r="I399" s="13" t="s">
        <v>20</v>
      </c>
      <c r="J399" s="14" t="s">
        <v>232</v>
      </c>
      <c r="K399" s="14">
        <v>3.0</v>
      </c>
      <c r="L399" s="14" t="str">
        <f t="array" ref="L399">INDEX('School Rep'!$A$2:$A$21, MATCH(J399, 'School Rep'!$B$2:$B$21, 0))</f>
        <v>Carlos Rivas</v>
      </c>
      <c r="M399" s="12">
        <v>2.9</v>
      </c>
      <c r="N399" s="16" t="s">
        <v>1288</v>
      </c>
      <c r="O399" s="8" t="str">
        <f t="shared" si="1"/>
        <v>2200 N Hamlin Ave </v>
      </c>
      <c r="P399" s="12">
        <v>35.0</v>
      </c>
      <c r="Q399" s="13" t="s">
        <v>49</v>
      </c>
    </row>
    <row r="400">
      <c r="A400" s="7">
        <v>610385.0</v>
      </c>
      <c r="B400" s="8" t="s">
        <v>1289</v>
      </c>
      <c r="C400" s="9" t="s">
        <v>1290</v>
      </c>
      <c r="D400" s="10">
        <v>0.197</v>
      </c>
      <c r="E400" s="11" t="s">
        <v>80</v>
      </c>
      <c r="F400" s="11" t="s">
        <v>108</v>
      </c>
      <c r="G400" s="15" t="s">
        <v>2026</v>
      </c>
      <c r="H400" s="12">
        <v>25.0</v>
      </c>
      <c r="I400" s="13" t="s">
        <v>41</v>
      </c>
      <c r="J400" s="15" t="s">
        <v>384</v>
      </c>
      <c r="K400" s="15" t="s">
        <v>384</v>
      </c>
      <c r="L400" s="15" t="s">
        <v>384</v>
      </c>
      <c r="M400" s="15">
        <v>3.5</v>
      </c>
      <c r="N400" s="16" t="s">
        <v>964</v>
      </c>
      <c r="O400" s="8" t="str">
        <f t="shared" si="1"/>
        <v>3120 S Kostner Ave </v>
      </c>
      <c r="P400" s="12">
        <v>22.0</v>
      </c>
      <c r="Q400" s="13" t="s">
        <v>353</v>
      </c>
    </row>
    <row r="401">
      <c r="A401" s="7">
        <v>610089.0</v>
      </c>
      <c r="B401" s="12" t="s">
        <v>1291</v>
      </c>
      <c r="C401" s="18" t="s">
        <v>1292</v>
      </c>
      <c r="D401" s="19">
        <v>0.045</v>
      </c>
      <c r="E401" s="18" t="s">
        <v>80</v>
      </c>
      <c r="F401" s="18" t="s">
        <v>97</v>
      </c>
      <c r="G401" s="15" t="s">
        <v>2024</v>
      </c>
      <c r="H401" s="12">
        <v>45.0</v>
      </c>
      <c r="I401" s="13" t="s">
        <v>20</v>
      </c>
      <c r="J401" s="14" t="s">
        <v>47</v>
      </c>
      <c r="K401" s="14">
        <v>3.0</v>
      </c>
      <c r="L401" s="14" t="str">
        <f t="array" ref="L401">INDEX('School Rep'!$A$2:$A$21, MATCH(J401, 'School Rep'!$B$2:$B$21, 0))</f>
        <v>Norma Rios-Sierra</v>
      </c>
      <c r="M401" s="12">
        <v>2.2</v>
      </c>
      <c r="N401" s="16" t="s">
        <v>1293</v>
      </c>
      <c r="O401" s="8" t="str">
        <f t="shared" si="1"/>
        <v>3539 W Grace St </v>
      </c>
      <c r="P401" s="12">
        <v>35.0</v>
      </c>
      <c r="Q401" s="13" t="s">
        <v>49</v>
      </c>
    </row>
    <row r="402">
      <c r="A402" s="7">
        <v>610090.0</v>
      </c>
      <c r="B402" s="13" t="s">
        <v>1294</v>
      </c>
      <c r="C402" s="18" t="s">
        <v>1295</v>
      </c>
      <c r="D402" s="19">
        <v>0.0</v>
      </c>
      <c r="E402" s="18" t="s">
        <v>80</v>
      </c>
      <c r="F402" s="18" t="s">
        <v>120</v>
      </c>
      <c r="G402" s="15" t="s">
        <v>2028</v>
      </c>
      <c r="H402" s="12">
        <v>51.0</v>
      </c>
      <c r="I402" s="13" t="s">
        <v>20</v>
      </c>
      <c r="J402" s="14" t="s">
        <v>121</v>
      </c>
      <c r="K402" s="14">
        <v>10.0</v>
      </c>
      <c r="L402" s="14" t="str">
        <f t="array" ref="L402">INDEX('School Rep'!$A$2:$A$21, MATCH(J402, 'School Rep'!$B$2:$B$21, 0))</f>
        <v>Che "Rhymefest" Smith</v>
      </c>
      <c r="M402" s="12">
        <v>2.6</v>
      </c>
      <c r="N402" s="16" t="s">
        <v>1296</v>
      </c>
      <c r="O402" s="8" t="str">
        <f t="shared" si="1"/>
        <v>5335 S Kenwood Ave </v>
      </c>
      <c r="P402" s="12">
        <v>5.0</v>
      </c>
      <c r="Q402" s="13" t="s">
        <v>357</v>
      </c>
    </row>
    <row r="403">
      <c r="A403" s="7">
        <v>400050.0</v>
      </c>
      <c r="B403" s="8" t="s">
        <v>1297</v>
      </c>
      <c r="C403" s="9" t="s">
        <v>1298</v>
      </c>
      <c r="D403" s="10">
        <v>0.084</v>
      </c>
      <c r="E403" s="11" t="s">
        <v>19</v>
      </c>
      <c r="F403" s="11" t="s">
        <v>19</v>
      </c>
      <c r="G403" s="15" t="e">
        <v>#N/A</v>
      </c>
      <c r="H403" s="12">
        <v>49.0</v>
      </c>
      <c r="I403" s="13" t="s">
        <v>20</v>
      </c>
      <c r="J403" s="14" t="s">
        <v>26</v>
      </c>
      <c r="K403" s="14">
        <v>8.0</v>
      </c>
      <c r="L403" s="14" t="str">
        <f t="array" ref="L403">INDEX('School Rep'!$A$2:$A$21, MATCH(J403, 'School Rep'!$B$2:$B$21, 0))</f>
        <v>Cydney Wallace</v>
      </c>
      <c r="M403" s="15">
        <v>3.5</v>
      </c>
      <c r="N403" s="16" t="s">
        <v>1299</v>
      </c>
      <c r="O403" s="8" t="str">
        <f t="shared" si="1"/>
        <v>3737 S Paulina St </v>
      </c>
      <c r="P403" s="12">
        <v>12.0</v>
      </c>
      <c r="Q403" s="13" t="s">
        <v>23</v>
      </c>
    </row>
    <row r="404">
      <c r="A404" s="7">
        <v>610092.0</v>
      </c>
      <c r="B404" s="12" t="s">
        <v>1300</v>
      </c>
      <c r="C404" s="18" t="s">
        <v>1301</v>
      </c>
      <c r="D404" s="19">
        <v>0.317</v>
      </c>
      <c r="E404" s="18" t="s">
        <v>80</v>
      </c>
      <c r="F404" s="18" t="s">
        <v>231</v>
      </c>
      <c r="G404" s="15" t="s">
        <v>2033</v>
      </c>
      <c r="H404" s="12">
        <v>40.0</v>
      </c>
      <c r="I404" s="13" t="s">
        <v>20</v>
      </c>
      <c r="J404" s="14" t="s">
        <v>31</v>
      </c>
      <c r="K404" s="14">
        <v>5.0</v>
      </c>
      <c r="L404" s="14" t="str">
        <f t="array" ref="L404">INDEX('School Rep'!$A$2:$A$21, MATCH(J404, 'School Rep'!$B$2:$B$21, 0))</f>
        <v>Aaron "Jitu" Brown</v>
      </c>
      <c r="M404" s="12">
        <v>3.5</v>
      </c>
      <c r="N404" s="16" t="s">
        <v>1302</v>
      </c>
      <c r="O404" s="8" t="str">
        <f t="shared" si="1"/>
        <v>4837 W Erie St </v>
      </c>
      <c r="P404" s="12">
        <v>37.0</v>
      </c>
      <c r="Q404" s="13" t="s">
        <v>162</v>
      </c>
    </row>
    <row r="405">
      <c r="A405" s="7">
        <v>610231.0</v>
      </c>
      <c r="B405" s="8" t="s">
        <v>1303</v>
      </c>
      <c r="C405" s="11" t="s">
        <v>1304</v>
      </c>
      <c r="D405" s="10">
        <v>0.102</v>
      </c>
      <c r="E405" s="11" t="s">
        <v>80</v>
      </c>
      <c r="F405" s="11" t="s">
        <v>301</v>
      </c>
      <c r="G405" s="15" t="s">
        <v>2037</v>
      </c>
      <c r="H405" s="12">
        <v>79.0</v>
      </c>
      <c r="I405" s="13" t="s">
        <v>52</v>
      </c>
      <c r="J405" s="14" t="s">
        <v>26</v>
      </c>
      <c r="K405" s="14">
        <v>8.0</v>
      </c>
      <c r="L405" s="14" t="str">
        <f t="array" ref="L405">INDEX('School Rep'!$A$2:$A$21, MATCH(J405, 'School Rep'!$B$2:$B$21, 0))</f>
        <v>Cydney Wallace</v>
      </c>
      <c r="M405" s="15">
        <v>1.9</v>
      </c>
      <c r="N405" s="16" t="s">
        <v>1305</v>
      </c>
      <c r="O405" s="8" t="str">
        <f t="shared" si="1"/>
        <v>55 W Cermak Rd </v>
      </c>
      <c r="P405" s="12">
        <v>3.0</v>
      </c>
      <c r="Q405" s="13" t="s">
        <v>206</v>
      </c>
    </row>
    <row r="406">
      <c r="A406" s="7">
        <v>610093.0</v>
      </c>
      <c r="B406" s="13" t="s">
        <v>1306</v>
      </c>
      <c r="C406" s="18" t="s">
        <v>1307</v>
      </c>
      <c r="D406" s="19">
        <v>0.123</v>
      </c>
      <c r="E406" s="18" t="s">
        <v>80</v>
      </c>
      <c r="F406" s="18" t="s">
        <v>144</v>
      </c>
      <c r="G406" s="15" t="s">
        <v>2030</v>
      </c>
      <c r="H406" s="12">
        <v>50.0</v>
      </c>
      <c r="I406" s="13" t="s">
        <v>20</v>
      </c>
      <c r="J406" s="14" t="s">
        <v>82</v>
      </c>
      <c r="K406" s="14">
        <v>10.0</v>
      </c>
      <c r="L406" s="14" t="str">
        <f t="array" ref="L406">INDEX('School Rep'!$A$2:$A$21, MATCH(J406, 'School Rep'!$B$2:$B$21, 0))</f>
        <v>Olga Bautista</v>
      </c>
      <c r="M406" s="12">
        <v>3.3</v>
      </c>
      <c r="N406" s="16" t="s">
        <v>1308</v>
      </c>
      <c r="O406" s="8" t="str">
        <f t="shared" si="1"/>
        <v>8555 S Michigan Ave </v>
      </c>
      <c r="P406" s="12">
        <v>6.0</v>
      </c>
      <c r="Q406" s="13" t="s">
        <v>306</v>
      </c>
    </row>
    <row r="407">
      <c r="A407" s="7">
        <v>610094.0</v>
      </c>
      <c r="B407" s="12" t="s">
        <v>1309</v>
      </c>
      <c r="C407" s="18" t="s">
        <v>1310</v>
      </c>
      <c r="D407" s="19">
        <v>0.078</v>
      </c>
      <c r="E407" s="18" t="s">
        <v>80</v>
      </c>
      <c r="F407" s="18" t="s">
        <v>102</v>
      </c>
      <c r="G407" s="15" t="s">
        <v>2025</v>
      </c>
      <c r="H407" s="12">
        <v>46.0</v>
      </c>
      <c r="I407" s="13" t="s">
        <v>20</v>
      </c>
      <c r="J407" s="14" t="s">
        <v>243</v>
      </c>
      <c r="K407" s="14">
        <v>4.0</v>
      </c>
      <c r="L407" s="14" t="str">
        <f t="array" ref="L407">INDEX('School Rep'!$A$2:$A$21, MATCH(J407, 'School Rep'!$B$2:$B$21, 0))</f>
        <v>Karen Zaccor</v>
      </c>
      <c r="M407" s="12">
        <v>1.4</v>
      </c>
      <c r="N407" s="16" t="s">
        <v>1311</v>
      </c>
      <c r="O407" s="8" t="str">
        <f t="shared" si="1"/>
        <v>3252 N Broadway St </v>
      </c>
      <c r="P407" s="12">
        <v>44.0</v>
      </c>
      <c r="Q407" s="13" t="s">
        <v>886</v>
      </c>
    </row>
    <row r="408">
      <c r="A408" s="7">
        <v>610284.0</v>
      </c>
      <c r="B408" s="12" t="s">
        <v>1312</v>
      </c>
      <c r="C408" s="18" t="s">
        <v>1313</v>
      </c>
      <c r="D408" s="19">
        <v>0.15</v>
      </c>
      <c r="E408" s="18" t="s">
        <v>80</v>
      </c>
      <c r="F408" s="18" t="s">
        <v>270</v>
      </c>
      <c r="G408" s="15" t="s">
        <v>2035</v>
      </c>
      <c r="H408" s="12">
        <v>54.0</v>
      </c>
      <c r="I408" s="13" t="s">
        <v>20</v>
      </c>
      <c r="J408" s="14" t="s">
        <v>36</v>
      </c>
      <c r="K408" s="14">
        <v>2.0</v>
      </c>
      <c r="L408" s="14" t="str">
        <f t="array" ref="L408">INDEX('School Rep'!$A$2:$A$21, MATCH(J408, 'School Rep'!$B$2:$B$21, 0))</f>
        <v>Ebony DeBerry</v>
      </c>
      <c r="M408" s="12">
        <v>3.0</v>
      </c>
      <c r="N408" s="16" t="s">
        <v>1314</v>
      </c>
      <c r="O408" s="8" t="str">
        <f t="shared" si="1"/>
        <v>1707 W Morse Ave </v>
      </c>
      <c r="P408" s="12">
        <v>49.0</v>
      </c>
      <c r="Q408" s="13" t="s">
        <v>38</v>
      </c>
    </row>
    <row r="409">
      <c r="A409" s="7">
        <v>610193.0</v>
      </c>
      <c r="B409" s="13" t="s">
        <v>1315</v>
      </c>
      <c r="C409" s="11" t="s">
        <v>1316</v>
      </c>
      <c r="D409" s="10">
        <v>0.196</v>
      </c>
      <c r="E409" s="11" t="s">
        <v>80</v>
      </c>
      <c r="F409" s="11" t="s">
        <v>144</v>
      </c>
      <c r="G409" s="15" t="s">
        <v>2030</v>
      </c>
      <c r="H409" s="12">
        <v>34.0</v>
      </c>
      <c r="I409" s="13" t="s">
        <v>41</v>
      </c>
      <c r="J409" s="14" t="s">
        <v>82</v>
      </c>
      <c r="K409" s="14">
        <v>10.0</v>
      </c>
      <c r="L409" s="14" t="str">
        <f t="array" ref="L409">INDEX('School Rep'!$A$2:$A$21, MATCH(J409, 'School Rep'!$B$2:$B$21, 0))</f>
        <v>Olga Bautista</v>
      </c>
      <c r="M409" s="12">
        <v>3.8</v>
      </c>
      <c r="N409" s="16" t="s">
        <v>1317</v>
      </c>
      <c r="O409" s="8" t="str">
        <f t="shared" si="1"/>
        <v>8331 S Mackinaw Ave </v>
      </c>
      <c r="P409" s="12">
        <v>10.0</v>
      </c>
      <c r="Q409" s="13" t="s">
        <v>84</v>
      </c>
    </row>
    <row r="410">
      <c r="A410" s="7">
        <v>610095.0</v>
      </c>
      <c r="B410" s="12" t="s">
        <v>1318</v>
      </c>
      <c r="C410" s="18" t="s">
        <v>1319</v>
      </c>
      <c r="D410" s="19">
        <v>0.038</v>
      </c>
      <c r="E410" s="18" t="s">
        <v>80</v>
      </c>
      <c r="F410" s="18" t="s">
        <v>102</v>
      </c>
      <c r="G410" s="15" t="s">
        <v>2025</v>
      </c>
      <c r="H410" s="15"/>
      <c r="I410" s="8"/>
      <c r="J410" s="14" t="s">
        <v>103</v>
      </c>
      <c r="K410" s="14">
        <v>4.0</v>
      </c>
      <c r="L410" s="14" t="str">
        <f t="array" ref="L410">INDEX('School Rep'!$A$2:$A$21, MATCH(J410, 'School Rep'!$B$2:$B$21, 0))</f>
        <v>Ellen Rosenfeld</v>
      </c>
      <c r="M410" s="12">
        <v>2.1</v>
      </c>
      <c r="N410" s="16" t="s">
        <v>1320</v>
      </c>
      <c r="O410" s="8" t="str">
        <f t="shared" si="1"/>
        <v>700 W Willow St </v>
      </c>
      <c r="P410" s="12">
        <v>43.0</v>
      </c>
      <c r="Q410" s="13" t="s">
        <v>105</v>
      </c>
    </row>
    <row r="411">
      <c r="A411" s="7">
        <v>609793.0</v>
      </c>
      <c r="B411" s="8" t="s">
        <v>1321</v>
      </c>
      <c r="C411" s="9" t="s">
        <v>1322</v>
      </c>
      <c r="D411" s="10">
        <v>0.306</v>
      </c>
      <c r="E411" s="11" t="s">
        <v>80</v>
      </c>
      <c r="F411" s="11" t="s">
        <v>186</v>
      </c>
      <c r="G411" s="15" t="s">
        <v>2031</v>
      </c>
      <c r="H411" s="12">
        <v>40.0</v>
      </c>
      <c r="I411" s="13" t="s">
        <v>20</v>
      </c>
      <c r="J411" s="14" t="s">
        <v>187</v>
      </c>
      <c r="K411" s="14">
        <v>9.0</v>
      </c>
      <c r="L411" s="14" t="str">
        <f t="array" ref="L411">INDEX('School Rep'!$A$2:$A$21, MATCH(J411, 'School Rep'!$B$2:$B$21, 0))</f>
        <v>Frank Niles Thomas</v>
      </c>
      <c r="M411" s="15">
        <v>3.9</v>
      </c>
      <c r="N411" s="16" t="s">
        <v>1323</v>
      </c>
      <c r="O411" s="8" t="str">
        <f t="shared" si="1"/>
        <v>6006 S Peoria St </v>
      </c>
      <c r="P411" s="12">
        <v>16.0</v>
      </c>
      <c r="Q411" s="13" t="s">
        <v>193</v>
      </c>
    </row>
    <row r="412">
      <c r="A412" s="7">
        <v>610096.0</v>
      </c>
      <c r="B412" s="8" t="s">
        <v>1324</v>
      </c>
      <c r="C412" s="18" t="s">
        <v>1325</v>
      </c>
      <c r="D412" s="19">
        <v>0.075</v>
      </c>
      <c r="E412" s="18" t="s">
        <v>80</v>
      </c>
      <c r="F412" s="18" t="s">
        <v>285</v>
      </c>
      <c r="G412" s="15" t="s">
        <v>2036</v>
      </c>
      <c r="H412" s="12">
        <v>53.0</v>
      </c>
      <c r="I412" s="13" t="s">
        <v>20</v>
      </c>
      <c r="J412" s="14" t="s">
        <v>21</v>
      </c>
      <c r="K412" s="14">
        <v>7.0</v>
      </c>
      <c r="L412" s="14" t="str">
        <f t="array" ref="L412">INDEX('School Rep'!$A$2:$A$21, MATCH(J412, 'School Rep'!$B$2:$B$21, 0))</f>
        <v>Yesenia Lopez</v>
      </c>
      <c r="M412" s="15">
        <v>3.2</v>
      </c>
      <c r="N412" s="16" t="s">
        <v>1326</v>
      </c>
      <c r="O412" s="8" t="str">
        <f t="shared" si="1"/>
        <v>5250 S Rockwell St </v>
      </c>
      <c r="P412" s="12">
        <v>14.0</v>
      </c>
      <c r="Q412" s="13" t="s">
        <v>54</v>
      </c>
    </row>
    <row r="413">
      <c r="A413" s="7">
        <v>609961.0</v>
      </c>
      <c r="B413" s="12" t="s">
        <v>1327</v>
      </c>
      <c r="C413" s="18" t="s">
        <v>1328</v>
      </c>
      <c r="D413" s="19">
        <v>0.201</v>
      </c>
      <c r="E413" s="18" t="s">
        <v>80</v>
      </c>
      <c r="F413" s="18" t="s">
        <v>144</v>
      </c>
      <c r="G413" s="15" t="s">
        <v>2030</v>
      </c>
      <c r="H413" s="12">
        <v>38.0</v>
      </c>
      <c r="I413" s="13" t="s">
        <v>41</v>
      </c>
      <c r="J413" s="14" t="s">
        <v>82</v>
      </c>
      <c r="K413" s="14">
        <v>10.0</v>
      </c>
      <c r="L413" s="14" t="str">
        <f t="array" ref="L413">INDEX('School Rep'!$A$2:$A$21, MATCH(J413, 'School Rep'!$B$2:$B$21, 0))</f>
        <v>Olga Bautista</v>
      </c>
      <c r="M413" s="12">
        <v>3.0</v>
      </c>
      <c r="N413" s="16" t="s">
        <v>1329</v>
      </c>
      <c r="O413" s="8" t="str">
        <f t="shared" si="1"/>
        <v>8344 S Commercial Ave </v>
      </c>
      <c r="P413" s="12">
        <v>7.0</v>
      </c>
      <c r="Q413" s="13" t="s">
        <v>260</v>
      </c>
    </row>
    <row r="414">
      <c r="A414" s="7">
        <v>610097.0</v>
      </c>
      <c r="B414" s="12" t="s">
        <v>1330</v>
      </c>
      <c r="C414" s="18" t="s">
        <v>1331</v>
      </c>
      <c r="D414" s="19">
        <v>0.15</v>
      </c>
      <c r="E414" s="18" t="s">
        <v>80</v>
      </c>
      <c r="F414" s="18" t="s">
        <v>102</v>
      </c>
      <c r="G414" s="15" t="s">
        <v>2025</v>
      </c>
      <c r="H414" s="12">
        <v>44.0</v>
      </c>
      <c r="I414" s="13" t="s">
        <v>20</v>
      </c>
      <c r="J414" s="14" t="s">
        <v>232</v>
      </c>
      <c r="K414" s="14">
        <v>3.0</v>
      </c>
      <c r="L414" s="14" t="str">
        <f t="array" ref="L414">INDEX('School Rep'!$A$2:$A$21, MATCH(J414, 'School Rep'!$B$2:$B$21, 0))</f>
        <v>Carlos Rivas</v>
      </c>
      <c r="M414" s="12">
        <v>3.6</v>
      </c>
      <c r="N414" s="16" t="s">
        <v>1332</v>
      </c>
      <c r="O414" s="8" t="str">
        <f t="shared" si="1"/>
        <v>2121 N Keeler Ave </v>
      </c>
      <c r="P414" s="12">
        <v>35.0</v>
      </c>
      <c r="Q414" s="13" t="s">
        <v>49</v>
      </c>
    </row>
    <row r="415">
      <c r="A415" s="7">
        <v>400058.0</v>
      </c>
      <c r="B415" s="12" t="s">
        <v>1333</v>
      </c>
      <c r="C415" s="17" t="s">
        <v>1334</v>
      </c>
      <c r="D415" s="10">
        <v>0.162</v>
      </c>
      <c r="E415" s="11" t="s">
        <v>19</v>
      </c>
      <c r="F415" s="11" t="s">
        <v>19</v>
      </c>
      <c r="G415" s="15" t="e">
        <v>#N/A</v>
      </c>
      <c r="H415" s="12">
        <v>40.0</v>
      </c>
      <c r="I415" s="13" t="s">
        <v>20</v>
      </c>
      <c r="J415" s="14" t="s">
        <v>217</v>
      </c>
      <c r="K415" s="14">
        <v>5.0</v>
      </c>
      <c r="L415" s="14" t="str">
        <f t="array" ref="L415">INDEX('School Rep'!$A$2:$A$21, MATCH(J415, 'School Rep'!$B$2:$B$21, 0))</f>
        <v>Michilla Blaise</v>
      </c>
      <c r="M415" s="12">
        <v>4.0</v>
      </c>
      <c r="N415" s="16" t="s">
        <v>1335</v>
      </c>
      <c r="O415" s="8" t="str">
        <f t="shared" si="1"/>
        <v>1615 S Christiana Ave </v>
      </c>
      <c r="P415" s="12">
        <v>24.0</v>
      </c>
      <c r="Q415" s="13" t="s">
        <v>517</v>
      </c>
    </row>
    <row r="416">
      <c r="A416" s="7">
        <v>400059.0</v>
      </c>
      <c r="B416" s="12" t="s">
        <v>1336</v>
      </c>
      <c r="C416" s="17" t="s">
        <v>1337</v>
      </c>
      <c r="D416" s="10">
        <v>0.169</v>
      </c>
      <c r="E416" s="11" t="s">
        <v>19</v>
      </c>
      <c r="F416" s="11" t="s">
        <v>19</v>
      </c>
      <c r="G416" s="15" t="e">
        <v>#N/A</v>
      </c>
      <c r="H416" s="12">
        <v>60.0</v>
      </c>
      <c r="I416" s="13" t="s">
        <v>52</v>
      </c>
      <c r="J416" s="14" t="s">
        <v>217</v>
      </c>
      <c r="K416" s="14">
        <v>5.0</v>
      </c>
      <c r="L416" s="14" t="str">
        <f t="array" ref="L416">INDEX('School Rep'!$A$2:$A$21, MATCH(J416, 'School Rep'!$B$2:$B$21, 0))</f>
        <v>Michilla Blaise</v>
      </c>
      <c r="M416" s="12">
        <v>3.8</v>
      </c>
      <c r="N416" s="16" t="s">
        <v>516</v>
      </c>
      <c r="O416" s="8" t="str">
        <f t="shared" si="1"/>
        <v>1313 S Sacramento Dr </v>
      </c>
      <c r="P416" s="12">
        <v>24.0</v>
      </c>
      <c r="Q416" s="13" t="s">
        <v>517</v>
      </c>
    </row>
    <row r="417">
      <c r="A417" s="7">
        <v>610098.0</v>
      </c>
      <c r="B417" s="12" t="s">
        <v>1338</v>
      </c>
      <c r="C417" s="17" t="s">
        <v>1339</v>
      </c>
      <c r="D417" s="10">
        <v>0.132</v>
      </c>
      <c r="E417" s="11" t="s">
        <v>80</v>
      </c>
      <c r="F417" s="11" t="s">
        <v>126</v>
      </c>
      <c r="G417" s="15" t="e">
        <v>#N/A</v>
      </c>
      <c r="H417" s="12">
        <v>63.0</v>
      </c>
      <c r="I417" s="13" t="s">
        <v>52</v>
      </c>
      <c r="J417" s="14" t="s">
        <v>232</v>
      </c>
      <c r="K417" s="14">
        <v>3.0</v>
      </c>
      <c r="L417" s="14" t="str">
        <f t="array" ref="L417">INDEX('School Rep'!$A$2:$A$21, MATCH(J417, 'School Rep'!$B$2:$B$21, 0))</f>
        <v>Carlos Rivas</v>
      </c>
      <c r="M417" s="12">
        <v>3.3</v>
      </c>
      <c r="N417" s="16" t="s">
        <v>1340</v>
      </c>
      <c r="O417" s="8" t="str">
        <f t="shared" si="1"/>
        <v>4127 W Hirsch St </v>
      </c>
      <c r="P417" s="12">
        <v>36.0</v>
      </c>
      <c r="Q417" s="13" t="s">
        <v>67</v>
      </c>
    </row>
    <row r="418">
      <c r="A418" s="7">
        <v>400170.0</v>
      </c>
      <c r="B418" s="12" t="s">
        <v>1341</v>
      </c>
      <c r="C418" s="11" t="s">
        <v>1342</v>
      </c>
      <c r="D418" s="10">
        <v>0.131</v>
      </c>
      <c r="E418" s="11" t="s">
        <v>19</v>
      </c>
      <c r="F418" s="11" t="s">
        <v>19</v>
      </c>
      <c r="G418" s="15" t="e">
        <v>#N/A</v>
      </c>
      <c r="H418" s="12">
        <v>45.0</v>
      </c>
      <c r="I418" s="13" t="s">
        <v>20</v>
      </c>
      <c r="J418" s="15" t="s">
        <v>384</v>
      </c>
      <c r="K418" s="15" t="s">
        <v>384</v>
      </c>
      <c r="L418" s="15" t="s">
        <v>384</v>
      </c>
      <c r="M418" s="12">
        <v>2.8</v>
      </c>
      <c r="N418" s="16" t="s">
        <v>1343</v>
      </c>
      <c r="O418" s="8" t="str">
        <f t="shared" si="1"/>
        <v>1443 N Ogden Ave </v>
      </c>
      <c r="P418" s="12">
        <v>27.0</v>
      </c>
      <c r="Q418" s="13" t="s">
        <v>219</v>
      </c>
    </row>
    <row r="419">
      <c r="A419" s="7">
        <v>400157.0</v>
      </c>
      <c r="B419" s="13" t="s">
        <v>1344</v>
      </c>
      <c r="C419" s="11" t="s">
        <v>1345</v>
      </c>
      <c r="D419" s="10">
        <v>0.235</v>
      </c>
      <c r="E419" s="11" t="s">
        <v>19</v>
      </c>
      <c r="F419" s="11" t="s">
        <v>19</v>
      </c>
      <c r="G419" s="15" t="e">
        <v>#N/A</v>
      </c>
      <c r="H419" s="12">
        <v>44.0</v>
      </c>
      <c r="I419" s="13" t="s">
        <v>20</v>
      </c>
      <c r="J419" s="14" t="s">
        <v>82</v>
      </c>
      <c r="K419" s="14">
        <v>10.0</v>
      </c>
      <c r="L419" s="14" t="str">
        <f t="array" ref="L419">INDEX('School Rep'!$A$2:$A$21, MATCH(J419, 'School Rep'!$B$2:$B$21, 0))</f>
        <v>Olga Bautista</v>
      </c>
      <c r="M419" s="12">
        <v>3.8</v>
      </c>
      <c r="N419" s="16" t="s">
        <v>264</v>
      </c>
      <c r="O419" s="8" t="str">
        <f t="shared" si="1"/>
        <v>2710 E 89th St </v>
      </c>
      <c r="P419" s="12">
        <v>7.0</v>
      </c>
      <c r="Q419" s="13" t="s">
        <v>260</v>
      </c>
    </row>
    <row r="420">
      <c r="A420" s="7">
        <v>400097.0</v>
      </c>
      <c r="B420" s="12" t="s">
        <v>1346</v>
      </c>
      <c r="C420" s="11" t="s">
        <v>1347</v>
      </c>
      <c r="D420" s="10">
        <v>0.073</v>
      </c>
      <c r="E420" s="11" t="s">
        <v>19</v>
      </c>
      <c r="F420" s="11" t="s">
        <v>19</v>
      </c>
      <c r="G420" s="15" t="e">
        <v>#N/A</v>
      </c>
      <c r="H420" s="12">
        <v>18.0</v>
      </c>
      <c r="I420" s="13" t="s">
        <v>30</v>
      </c>
      <c r="J420" s="14" t="s">
        <v>217</v>
      </c>
      <c r="K420" s="14">
        <v>5.0</v>
      </c>
      <c r="L420" s="14" t="str">
        <f t="array" ref="L420">INDEX('School Rep'!$A$2:$A$21, MATCH(J420, 'School Rep'!$B$2:$B$21, 0))</f>
        <v>Michilla Blaise</v>
      </c>
      <c r="M420" s="12">
        <v>2.8</v>
      </c>
      <c r="N420" s="16" t="s">
        <v>1348</v>
      </c>
      <c r="O420" s="8" t="str">
        <f t="shared" si="1"/>
        <v>2040 W Adams St </v>
      </c>
      <c r="P420" s="12">
        <v>27.0</v>
      </c>
      <c r="Q420" s="13" t="s">
        <v>219</v>
      </c>
    </row>
    <row r="421">
      <c r="A421" s="7">
        <v>400156.0</v>
      </c>
      <c r="B421" s="13" t="s">
        <v>1349</v>
      </c>
      <c r="C421" s="11" t="s">
        <v>1350</v>
      </c>
      <c r="D421" s="10">
        <v>0.175</v>
      </c>
      <c r="E421" s="11" t="s">
        <v>19</v>
      </c>
      <c r="F421" s="11" t="s">
        <v>19</v>
      </c>
      <c r="G421" s="15" t="e">
        <v>#N/A</v>
      </c>
      <c r="H421" s="12">
        <v>33.0</v>
      </c>
      <c r="I421" s="13" t="s">
        <v>41</v>
      </c>
      <c r="J421" s="14" t="s">
        <v>82</v>
      </c>
      <c r="K421" s="14">
        <v>10.0</v>
      </c>
      <c r="L421" s="14" t="str">
        <f t="array" ref="L421">INDEX('School Rep'!$A$2:$A$21, MATCH(J421, 'School Rep'!$B$2:$B$21, 0))</f>
        <v>Olga Bautista</v>
      </c>
      <c r="M421" s="12">
        <v>3.6</v>
      </c>
      <c r="N421" s="16" t="s">
        <v>536</v>
      </c>
      <c r="O421" s="8" t="str">
        <f t="shared" si="1"/>
        <v>821 E 103rd St </v>
      </c>
      <c r="P421" s="12">
        <v>9.0</v>
      </c>
      <c r="Q421" s="13" t="s">
        <v>237</v>
      </c>
    </row>
    <row r="422">
      <c r="A422" s="7">
        <v>400052.0</v>
      </c>
      <c r="B422" s="13" t="s">
        <v>1351</v>
      </c>
      <c r="C422" s="11" t="s">
        <v>1352</v>
      </c>
      <c r="D422" s="10">
        <v>0.123</v>
      </c>
      <c r="E422" s="11" t="s">
        <v>19</v>
      </c>
      <c r="F422" s="11" t="s">
        <v>19</v>
      </c>
      <c r="G422" s="15" t="e">
        <v>#N/A</v>
      </c>
      <c r="H422" s="12">
        <v>48.0</v>
      </c>
      <c r="I422" s="13" t="s">
        <v>20</v>
      </c>
      <c r="J422" s="14" t="s">
        <v>121</v>
      </c>
      <c r="K422" s="14">
        <v>10.0</v>
      </c>
      <c r="L422" s="14" t="str">
        <f t="array" ref="L422">INDEX('School Rep'!$A$2:$A$21, MATCH(J422, 'School Rep'!$B$2:$B$21, 0))</f>
        <v>Che "Rhymefest" Smith</v>
      </c>
      <c r="M422" s="12">
        <v>3.3</v>
      </c>
      <c r="N422" s="16" t="s">
        <v>1353</v>
      </c>
      <c r="O422" s="8" t="str">
        <f t="shared" si="1"/>
        <v>7131 S South Chicago Ave </v>
      </c>
      <c r="P422" s="12">
        <v>5.0</v>
      </c>
      <c r="Q422" s="13" t="s">
        <v>357</v>
      </c>
    </row>
    <row r="423">
      <c r="A423" s="7">
        <v>400118.0</v>
      </c>
      <c r="B423" s="12" t="s">
        <v>1354</v>
      </c>
      <c r="C423" s="11" t="s">
        <v>1355</v>
      </c>
      <c r="D423" s="10">
        <v>0.312</v>
      </c>
      <c r="E423" s="11" t="s">
        <v>19</v>
      </c>
      <c r="F423" s="11" t="s">
        <v>19</v>
      </c>
      <c r="G423" s="15" t="e">
        <v>#N/A</v>
      </c>
      <c r="H423" s="15"/>
      <c r="I423" s="8"/>
      <c r="J423" s="14" t="s">
        <v>217</v>
      </c>
      <c r="K423" s="14">
        <v>5.0</v>
      </c>
      <c r="L423" s="14" t="str">
        <f t="array" ref="L423">INDEX('School Rep'!$A$2:$A$21, MATCH(J423, 'School Rep'!$B$2:$B$21, 0))</f>
        <v>Michilla Blaise</v>
      </c>
      <c r="M423" s="12">
        <v>4.0</v>
      </c>
      <c r="N423" s="16" t="s">
        <v>1356</v>
      </c>
      <c r="O423" s="8" t="str">
        <f t="shared" si="1"/>
        <v>931 S Homan Ave </v>
      </c>
      <c r="P423" s="12">
        <v>24.0</v>
      </c>
      <c r="Q423" s="13" t="s">
        <v>517</v>
      </c>
    </row>
    <row r="424">
      <c r="A424" s="7">
        <v>400053.0</v>
      </c>
      <c r="B424" s="12" t="s">
        <v>1357</v>
      </c>
      <c r="C424" s="11" t="s">
        <v>1358</v>
      </c>
      <c r="D424" s="10">
        <v>0.152</v>
      </c>
      <c r="E424" s="11" t="s">
        <v>19</v>
      </c>
      <c r="F424" s="11" t="s">
        <v>19</v>
      </c>
      <c r="G424" s="15" t="e">
        <v>#N/A</v>
      </c>
      <c r="H424" s="12">
        <v>39.0</v>
      </c>
      <c r="I424" s="13" t="s">
        <v>41</v>
      </c>
      <c r="J424" s="14" t="s">
        <v>217</v>
      </c>
      <c r="K424" s="14">
        <v>5.0</v>
      </c>
      <c r="L424" s="14" t="str">
        <f t="array" ref="L424">INDEX('School Rep'!$A$2:$A$21, MATCH(J424, 'School Rep'!$B$2:$B$21, 0))</f>
        <v>Michilla Blaise</v>
      </c>
      <c r="M424" s="12">
        <v>2.9</v>
      </c>
      <c r="N424" s="16" t="s">
        <v>1359</v>
      </c>
      <c r="O424" s="8" t="str">
        <f t="shared" si="1"/>
        <v>1454 W Superior St </v>
      </c>
      <c r="P424" s="12">
        <v>27.0</v>
      </c>
      <c r="Q424" s="13" t="s">
        <v>219</v>
      </c>
    </row>
    <row r="425">
      <c r="A425" s="7">
        <v>400117.0</v>
      </c>
      <c r="B425" s="8" t="s">
        <v>1360</v>
      </c>
      <c r="C425" s="11" t="s">
        <v>1361</v>
      </c>
      <c r="D425" s="10">
        <v>0.086</v>
      </c>
      <c r="E425" s="11" t="s">
        <v>19</v>
      </c>
      <c r="F425" s="11" t="s">
        <v>19</v>
      </c>
      <c r="G425" s="15" t="e">
        <v>#N/A</v>
      </c>
      <c r="H425" s="12">
        <v>39.0</v>
      </c>
      <c r="I425" s="13" t="s">
        <v>41</v>
      </c>
      <c r="J425" s="14" t="s">
        <v>187</v>
      </c>
      <c r="K425" s="14">
        <v>9.0</v>
      </c>
      <c r="L425" s="14" t="str">
        <f t="array" ref="L425">INDEX('School Rep'!$A$2:$A$21, MATCH(J425, 'School Rep'!$B$2:$B$21, 0))</f>
        <v>Frank Niles Thomas</v>
      </c>
      <c r="M425" s="15">
        <v>3.6</v>
      </c>
      <c r="N425" s="16" t="s">
        <v>1362</v>
      </c>
      <c r="O425" s="8" t="str">
        <f t="shared" si="1"/>
        <v>8748 S Aberdeen St </v>
      </c>
      <c r="P425" s="12">
        <v>21.0</v>
      </c>
      <c r="Q425" s="13" t="s">
        <v>428</v>
      </c>
    </row>
    <row r="426">
      <c r="A426" s="7">
        <v>400169.0</v>
      </c>
      <c r="B426" s="12" t="s">
        <v>1363</v>
      </c>
      <c r="C426" s="11" t="s">
        <v>1364</v>
      </c>
      <c r="D426" s="10">
        <v>0.067</v>
      </c>
      <c r="E426" s="11" t="s">
        <v>19</v>
      </c>
      <c r="F426" s="11" t="s">
        <v>19</v>
      </c>
      <c r="G426" s="15" t="e">
        <v>#N/A</v>
      </c>
      <c r="H426" s="12">
        <v>36.0</v>
      </c>
      <c r="I426" s="13" t="s">
        <v>41</v>
      </c>
      <c r="J426" s="14" t="s">
        <v>232</v>
      </c>
      <c r="K426" s="14">
        <v>3.0</v>
      </c>
      <c r="L426" s="14" t="str">
        <f t="array" ref="L426">INDEX('School Rep'!$A$2:$A$21, MATCH(J426, 'School Rep'!$B$2:$B$21, 0))</f>
        <v>Carlos Rivas</v>
      </c>
      <c r="M426" s="12">
        <v>3.2</v>
      </c>
      <c r="N426" s="16" t="s">
        <v>1365</v>
      </c>
      <c r="O426" s="8" t="str">
        <f t="shared" si="1"/>
        <v>5321 W Grand Ave </v>
      </c>
      <c r="P426" s="12">
        <v>37.0</v>
      </c>
      <c r="Q426" s="13" t="s">
        <v>162</v>
      </c>
    </row>
    <row r="427">
      <c r="A427" s="7">
        <v>400106.0</v>
      </c>
      <c r="B427" s="8" t="s">
        <v>1366</v>
      </c>
      <c r="C427" s="9" t="s">
        <v>1367</v>
      </c>
      <c r="D427" s="10">
        <v>0.141</v>
      </c>
      <c r="E427" s="11" t="s">
        <v>19</v>
      </c>
      <c r="F427" s="11" t="s">
        <v>19</v>
      </c>
      <c r="G427" s="15" t="e">
        <v>#N/A</v>
      </c>
      <c r="H427" s="12">
        <v>41.0</v>
      </c>
      <c r="I427" s="13" t="s">
        <v>20</v>
      </c>
      <c r="J427" s="14" t="s">
        <v>204</v>
      </c>
      <c r="K427" s="14">
        <v>6.0</v>
      </c>
      <c r="L427" s="14" t="str">
        <f t="array" ref="L427">INDEX('School Rep'!$A$2:$A$21, MATCH(J427, 'School Rep'!$B$2:$B$21, 0))</f>
        <v>Jessica Biggs</v>
      </c>
      <c r="M427" s="15">
        <v>4.0</v>
      </c>
      <c r="N427" s="16" t="s">
        <v>1368</v>
      </c>
      <c r="O427" s="8" t="str">
        <f t="shared" si="1"/>
        <v>6350 S Stewart Ave </v>
      </c>
      <c r="P427" s="12">
        <v>20.0</v>
      </c>
      <c r="Q427" s="13" t="s">
        <v>368</v>
      </c>
    </row>
    <row r="428">
      <c r="A428" s="7">
        <v>400179.0</v>
      </c>
      <c r="B428" s="8" t="s">
        <v>1369</v>
      </c>
      <c r="C428" s="18" t="s">
        <v>1370</v>
      </c>
      <c r="D428" s="19">
        <v>0.094</v>
      </c>
      <c r="E428" s="18" t="s">
        <v>19</v>
      </c>
      <c r="F428" s="18" t="s">
        <v>19</v>
      </c>
      <c r="G428" s="15" t="e">
        <v>#N/A</v>
      </c>
      <c r="H428" s="12">
        <v>64.0</v>
      </c>
      <c r="I428" s="13" t="s">
        <v>52</v>
      </c>
      <c r="J428" s="14" t="s">
        <v>21</v>
      </c>
      <c r="K428" s="14">
        <v>7.0</v>
      </c>
      <c r="L428" s="14" t="str">
        <f t="array" ref="L428">INDEX('School Rep'!$A$2:$A$21, MATCH(J428, 'School Rep'!$B$2:$B$21, 0))</f>
        <v>Yesenia Lopez</v>
      </c>
      <c r="M428" s="15">
        <v>3.3</v>
      </c>
      <c r="N428" s="16" t="s">
        <v>1371</v>
      </c>
      <c r="O428" s="8" t="str">
        <f t="shared" si="1"/>
        <v>2911 W 47Th </v>
      </c>
      <c r="P428" s="12">
        <v>14.0</v>
      </c>
      <c r="Q428" s="13" t="s">
        <v>54</v>
      </c>
    </row>
    <row r="429">
      <c r="A429" s="7">
        <v>400098.0</v>
      </c>
      <c r="B429" s="8" t="s">
        <v>1372</v>
      </c>
      <c r="C429" s="11" t="s">
        <v>1373</v>
      </c>
      <c r="D429" s="10">
        <v>0.165</v>
      </c>
      <c r="E429" s="11" t="s">
        <v>19</v>
      </c>
      <c r="F429" s="11" t="s">
        <v>19</v>
      </c>
      <c r="G429" s="15" t="e">
        <v>#N/A</v>
      </c>
      <c r="H429" s="12">
        <v>25.0</v>
      </c>
      <c r="I429" s="13" t="s">
        <v>41</v>
      </c>
      <c r="J429" s="14" t="s">
        <v>204</v>
      </c>
      <c r="K429" s="14">
        <v>6.0</v>
      </c>
      <c r="L429" s="14" t="str">
        <f t="array" ref="L429">INDEX('School Rep'!$A$2:$A$21, MATCH(J429, 'School Rep'!$B$2:$B$21, 0))</f>
        <v>Jessica Biggs</v>
      </c>
      <c r="M429" s="15">
        <v>3.0</v>
      </c>
      <c r="N429" s="16" t="s">
        <v>1374</v>
      </c>
      <c r="O429" s="8" t="str">
        <f t="shared" si="1"/>
        <v>1 N State St </v>
      </c>
      <c r="P429" s="12">
        <v>34.0</v>
      </c>
      <c r="Q429" s="13" t="s">
        <v>444</v>
      </c>
    </row>
    <row r="430">
      <c r="A430" s="7">
        <v>400051.0</v>
      </c>
      <c r="B430" s="12" t="s">
        <v>1375</v>
      </c>
      <c r="C430" s="11" t="s">
        <v>1376</v>
      </c>
      <c r="D430" s="10">
        <v>0.061</v>
      </c>
      <c r="E430" s="11" t="s">
        <v>19</v>
      </c>
      <c r="F430" s="11" t="s">
        <v>19</v>
      </c>
      <c r="G430" s="15" t="e">
        <v>#N/A</v>
      </c>
      <c r="H430" s="12">
        <v>72.0</v>
      </c>
      <c r="I430" s="13" t="s">
        <v>52</v>
      </c>
      <c r="J430" s="14" t="s">
        <v>217</v>
      </c>
      <c r="K430" s="14">
        <v>5.0</v>
      </c>
      <c r="L430" s="14" t="str">
        <f t="array" ref="L430">INDEX('School Rep'!$A$2:$A$21, MATCH(J430, 'School Rep'!$B$2:$B$21, 0))</f>
        <v>Michilla Blaise</v>
      </c>
      <c r="M430" s="12">
        <v>2.6</v>
      </c>
      <c r="N430" s="16" t="s">
        <v>1377</v>
      </c>
      <c r="O430" s="8" t="str">
        <f t="shared" si="1"/>
        <v>1010 N Noble St </v>
      </c>
      <c r="P430" s="12">
        <v>1.0</v>
      </c>
      <c r="Q430" s="13" t="s">
        <v>275</v>
      </c>
    </row>
    <row r="431">
      <c r="A431" s="7">
        <v>400054.0</v>
      </c>
      <c r="B431" s="12" t="s">
        <v>1378</v>
      </c>
      <c r="C431" s="11" t="s">
        <v>1379</v>
      </c>
      <c r="D431" s="10">
        <v>0.055</v>
      </c>
      <c r="E431" s="11" t="s">
        <v>19</v>
      </c>
      <c r="F431" s="11" t="s">
        <v>19</v>
      </c>
      <c r="G431" s="15" t="e">
        <v>#N/A</v>
      </c>
      <c r="H431" s="12">
        <v>45.0</v>
      </c>
      <c r="I431" s="13" t="s">
        <v>20</v>
      </c>
      <c r="J431" s="14" t="s">
        <v>232</v>
      </c>
      <c r="K431" s="14">
        <v>3.0</v>
      </c>
      <c r="L431" s="14" t="str">
        <f t="array" ref="L431">INDEX('School Rep'!$A$2:$A$21, MATCH(J431, 'School Rep'!$B$2:$B$21, 0))</f>
        <v>Carlos Rivas</v>
      </c>
      <c r="M431" s="12">
        <v>3.3</v>
      </c>
      <c r="N431" s="16" t="s">
        <v>1380</v>
      </c>
      <c r="O431" s="8" t="str">
        <f t="shared" si="1"/>
        <v>4131 W Cortland St </v>
      </c>
      <c r="P431" s="12">
        <v>26.0</v>
      </c>
      <c r="Q431" s="13" t="s">
        <v>378</v>
      </c>
    </row>
    <row r="432">
      <c r="A432" s="7">
        <v>400055.0</v>
      </c>
      <c r="B432" s="12" t="s">
        <v>1381</v>
      </c>
      <c r="C432" s="11" t="s">
        <v>1382</v>
      </c>
      <c r="D432" s="10">
        <v>0.128</v>
      </c>
      <c r="E432" s="11" t="s">
        <v>19</v>
      </c>
      <c r="F432" s="11" t="s">
        <v>19</v>
      </c>
      <c r="G432" s="15" t="e">
        <v>#N/A</v>
      </c>
      <c r="H432" s="12">
        <v>50.0</v>
      </c>
      <c r="I432" s="13" t="s">
        <v>20</v>
      </c>
      <c r="J432" s="14" t="s">
        <v>217</v>
      </c>
      <c r="K432" s="14">
        <v>5.0</v>
      </c>
      <c r="L432" s="14" t="str">
        <f t="array" ref="L432">INDEX('School Rep'!$A$2:$A$21, MATCH(J432, 'School Rep'!$B$2:$B$21, 0))</f>
        <v>Michilla Blaise</v>
      </c>
      <c r="M432" s="12">
        <v>2.6</v>
      </c>
      <c r="N432" s="16" t="s">
        <v>1383</v>
      </c>
      <c r="O432" s="8" t="str">
        <f t="shared" si="1"/>
        <v>1337 W Ohio St </v>
      </c>
      <c r="P432" s="12">
        <v>1.0</v>
      </c>
      <c r="Q432" s="13" t="s">
        <v>275</v>
      </c>
    </row>
    <row r="433">
      <c r="A433" s="7">
        <v>400056.0</v>
      </c>
      <c r="B433" s="12" t="s">
        <v>1384</v>
      </c>
      <c r="C433" s="18" t="s">
        <v>1385</v>
      </c>
      <c r="D433" s="19">
        <v>0.138</v>
      </c>
      <c r="E433" s="18" t="s">
        <v>19</v>
      </c>
      <c r="F433" s="18" t="s">
        <v>19</v>
      </c>
      <c r="G433" s="15" t="e">
        <v>#N/A</v>
      </c>
      <c r="H433" s="15"/>
      <c r="I433" s="8"/>
      <c r="J433" s="14" t="s">
        <v>31</v>
      </c>
      <c r="K433" s="14">
        <v>5.0</v>
      </c>
      <c r="L433" s="14" t="str">
        <f t="array" ref="L433">INDEX('School Rep'!$A$2:$A$21, MATCH(J433, 'School Rep'!$B$2:$B$21, 0))</f>
        <v>Aaron "Jitu" Brown</v>
      </c>
      <c r="M433" s="12">
        <v>3.9</v>
      </c>
      <c r="N433" s="16" t="s">
        <v>1386</v>
      </c>
      <c r="O433" s="8" t="str">
        <f t="shared" si="1"/>
        <v>3645 W Chicago Ave </v>
      </c>
      <c r="P433" s="12">
        <v>27.0</v>
      </c>
      <c r="Q433" s="13" t="s">
        <v>219</v>
      </c>
    </row>
    <row r="434">
      <c r="A434" s="7">
        <v>400057.0</v>
      </c>
      <c r="B434" s="8" t="s">
        <v>1387</v>
      </c>
      <c r="C434" s="11" t="s">
        <v>1388</v>
      </c>
      <c r="D434" s="10">
        <v>0.145</v>
      </c>
      <c r="E434" s="11" t="s">
        <v>19</v>
      </c>
      <c r="F434" s="11" t="s">
        <v>19</v>
      </c>
      <c r="G434" s="15" t="e">
        <v>#N/A</v>
      </c>
      <c r="H434" s="12">
        <v>35.0</v>
      </c>
      <c r="I434" s="13" t="s">
        <v>41</v>
      </c>
      <c r="J434" s="14" t="s">
        <v>42</v>
      </c>
      <c r="K434" s="14">
        <v>7.0</v>
      </c>
      <c r="L434" s="14" t="str">
        <f t="array" ref="L434">INDEX('School Rep'!$A$2:$A$21, MATCH(J434, 'School Rep'!$B$2:$B$21, 0))</f>
        <v>Emma Lozano</v>
      </c>
      <c r="M434" s="15">
        <v>3.0</v>
      </c>
      <c r="N434" s="16" t="s">
        <v>1389</v>
      </c>
      <c r="O434" s="8" t="str">
        <f t="shared" si="1"/>
        <v>1231 S Damen Ave </v>
      </c>
      <c r="P434" s="12">
        <v>28.0</v>
      </c>
      <c r="Q434" s="13" t="s">
        <v>399</v>
      </c>
    </row>
    <row r="435">
      <c r="A435" s="7">
        <v>610354.0</v>
      </c>
      <c r="B435" s="12" t="s">
        <v>1390</v>
      </c>
      <c r="C435" s="17" t="s">
        <v>1391</v>
      </c>
      <c r="D435" s="10">
        <v>0.275</v>
      </c>
      <c r="E435" s="11" t="s">
        <v>80</v>
      </c>
      <c r="F435" s="11" t="s">
        <v>97</v>
      </c>
      <c r="G435" s="15" t="s">
        <v>2024</v>
      </c>
      <c r="H435" s="12">
        <v>43.0</v>
      </c>
      <c r="I435" s="13" t="s">
        <v>20</v>
      </c>
      <c r="J435" s="14" t="s">
        <v>47</v>
      </c>
      <c r="K435" s="14">
        <v>3.0</v>
      </c>
      <c r="L435" s="14" t="str">
        <f t="array" ref="L435">INDEX('School Rep'!$A$2:$A$21, MATCH(J435, 'School Rep'!$B$2:$B$21, 0))</f>
        <v>Norma Rios-Sierra</v>
      </c>
      <c r="M435" s="12">
        <v>2.3</v>
      </c>
      <c r="N435" s="16" t="s">
        <v>155</v>
      </c>
      <c r="O435" s="8" t="str">
        <f t="shared" si="1"/>
        <v>3729 W Leland Ave </v>
      </c>
      <c r="P435" s="12">
        <v>33.0</v>
      </c>
      <c r="Q435" s="13" t="s">
        <v>99</v>
      </c>
    </row>
    <row r="436">
      <c r="A436" s="7">
        <v>609691.0</v>
      </c>
      <c r="B436" s="12" t="s">
        <v>1392</v>
      </c>
      <c r="C436" s="18" t="s">
        <v>1393</v>
      </c>
      <c r="D436" s="19">
        <v>0.113</v>
      </c>
      <c r="E436" s="18" t="s">
        <v>80</v>
      </c>
      <c r="F436" s="18" t="s">
        <v>108</v>
      </c>
      <c r="G436" s="15" t="s">
        <v>2026</v>
      </c>
      <c r="H436" s="12">
        <v>60.0</v>
      </c>
      <c r="I436" s="13" t="s">
        <v>52</v>
      </c>
      <c r="J436" s="14" t="s">
        <v>232</v>
      </c>
      <c r="K436" s="14">
        <v>3.0</v>
      </c>
      <c r="L436" s="14" t="str">
        <f t="array" ref="L436">INDEX('School Rep'!$A$2:$A$21, MATCH(J436, 'School Rep'!$B$2:$B$21, 0))</f>
        <v>Carlos Rivas</v>
      </c>
      <c r="M436" s="12">
        <v>3.2</v>
      </c>
      <c r="N436" s="16" t="s">
        <v>1394</v>
      </c>
      <c r="O436" s="8" t="str">
        <f t="shared" si="1"/>
        <v>4338 W Wabansia Ave </v>
      </c>
      <c r="P436" s="12">
        <v>26.0</v>
      </c>
      <c r="Q436" s="13" t="s">
        <v>378</v>
      </c>
    </row>
    <row r="437">
      <c r="A437" s="7">
        <v>609744.0</v>
      </c>
      <c r="B437" s="8" t="s">
        <v>1395</v>
      </c>
      <c r="C437" s="9" t="s">
        <v>1396</v>
      </c>
      <c r="D437" s="10">
        <v>0.0</v>
      </c>
      <c r="E437" s="11" t="s">
        <v>80</v>
      </c>
      <c r="F437" s="11" t="s">
        <v>116</v>
      </c>
      <c r="G437" s="15" t="s">
        <v>2027</v>
      </c>
      <c r="H437" s="15"/>
      <c r="I437" s="8"/>
      <c r="J437" s="15" t="s">
        <v>384</v>
      </c>
      <c r="K437" s="15" t="s">
        <v>384</v>
      </c>
      <c r="L437" s="15" t="s">
        <v>384</v>
      </c>
      <c r="M437" s="15" t="s">
        <v>384</v>
      </c>
      <c r="N437" s="16" t="s">
        <v>1397</v>
      </c>
      <c r="O437" s="8" t="str">
        <f t="shared" si="1"/>
        <v>3730 W Bryn Mawr Ave </v>
      </c>
      <c r="P437" s="12">
        <v>39.0</v>
      </c>
      <c r="Q437" s="13" t="s">
        <v>224</v>
      </c>
    </row>
    <row r="438">
      <c r="A438" s="7">
        <v>609749.0</v>
      </c>
      <c r="B438" s="13" t="s">
        <v>1398</v>
      </c>
      <c r="C438" s="17" t="s">
        <v>1399</v>
      </c>
      <c r="D438" s="10">
        <v>0.0</v>
      </c>
      <c r="E438" s="11" t="s">
        <v>80</v>
      </c>
      <c r="F438" s="11" t="s">
        <v>116</v>
      </c>
      <c r="G438" s="15" t="s">
        <v>2027</v>
      </c>
      <c r="H438" s="15"/>
      <c r="I438" s="8"/>
      <c r="J438" s="14" t="s">
        <v>87</v>
      </c>
      <c r="K438" s="14">
        <v>2.0</v>
      </c>
      <c r="L438" s="14" t="str">
        <f t="array" ref="L438">INDEX('School Rep'!$A$2:$A$21, MATCH(J438, 'School Rep'!$B$2:$B$21, 0))</f>
        <v>Debby Pope</v>
      </c>
      <c r="M438" s="12">
        <v>1.4</v>
      </c>
      <c r="N438" s="16" t="s">
        <v>1400</v>
      </c>
      <c r="O438" s="8" t="str">
        <f t="shared" si="1"/>
        <v>5501 N Kedzie Ave </v>
      </c>
      <c r="P438" s="12">
        <v>39.0</v>
      </c>
      <c r="Q438" s="13" t="s">
        <v>224</v>
      </c>
    </row>
    <row r="439">
      <c r="A439" s="7">
        <v>610051.0</v>
      </c>
      <c r="B439" s="12" t="s">
        <v>1401</v>
      </c>
      <c r="C439" s="17" t="s">
        <v>1402</v>
      </c>
      <c r="D439" s="10">
        <v>0.118</v>
      </c>
      <c r="E439" s="11" t="s">
        <v>80</v>
      </c>
      <c r="F439" s="11" t="s">
        <v>231</v>
      </c>
      <c r="G439" s="15" t="s">
        <v>2033</v>
      </c>
      <c r="H439" s="12">
        <v>55.0</v>
      </c>
      <c r="I439" s="13" t="s">
        <v>20</v>
      </c>
      <c r="J439" s="14" t="s">
        <v>232</v>
      </c>
      <c r="K439" s="14">
        <v>3.0</v>
      </c>
      <c r="L439" s="14" t="str">
        <f t="array" ref="L439">INDEX('School Rep'!$A$2:$A$21, MATCH(J439, 'School Rep'!$B$2:$B$21, 0))</f>
        <v>Carlos Rivas</v>
      </c>
      <c r="M439" s="12">
        <v>3.8</v>
      </c>
      <c r="N439" s="16" t="s">
        <v>233</v>
      </c>
      <c r="O439" s="8" t="str">
        <f t="shared" si="1"/>
        <v>5252 W Palmer St </v>
      </c>
      <c r="P439" s="12">
        <v>36.0</v>
      </c>
      <c r="Q439" s="13" t="s">
        <v>67</v>
      </c>
    </row>
    <row r="440">
      <c r="A440" s="7">
        <v>610099.0</v>
      </c>
      <c r="B440" s="13" t="s">
        <v>1403</v>
      </c>
      <c r="C440" s="9" t="s">
        <v>1404</v>
      </c>
      <c r="D440" s="10">
        <v>0.0</v>
      </c>
      <c r="E440" s="11" t="s">
        <v>80</v>
      </c>
      <c r="F440" s="11" t="s">
        <v>97</v>
      </c>
      <c r="G440" s="15" t="s">
        <v>2024</v>
      </c>
      <c r="H440" s="12">
        <v>66.0</v>
      </c>
      <c r="I440" s="13" t="s">
        <v>52</v>
      </c>
      <c r="J440" s="14" t="s">
        <v>199</v>
      </c>
      <c r="K440" s="14">
        <v>1.0</v>
      </c>
      <c r="L440" s="14" t="str">
        <f t="array" ref="L440">INDEX('School Rep'!$A$2:$A$21, MATCH(J440, 'School Rep'!$B$2:$B$21, 0))</f>
        <v>Ed Bannon</v>
      </c>
      <c r="M440" s="12">
        <v>1.5</v>
      </c>
      <c r="N440" s="16" t="s">
        <v>1405</v>
      </c>
      <c r="O440" s="8" t="str">
        <f t="shared" si="1"/>
        <v>5900 N Nina Ave </v>
      </c>
      <c r="P440" s="12">
        <v>41.0</v>
      </c>
      <c r="Q440" s="13" t="s">
        <v>201</v>
      </c>
    </row>
    <row r="441">
      <c r="A441" s="7">
        <v>610101.0</v>
      </c>
      <c r="B441" s="8" t="s">
        <v>1406</v>
      </c>
      <c r="C441" s="18" t="s">
        <v>1407</v>
      </c>
      <c r="D441" s="19">
        <v>0.191</v>
      </c>
      <c r="E441" s="18" t="s">
        <v>80</v>
      </c>
      <c r="F441" s="18" t="s">
        <v>108</v>
      </c>
      <c r="G441" s="15" t="s">
        <v>2026</v>
      </c>
      <c r="H441" s="12">
        <v>33.0</v>
      </c>
      <c r="I441" s="13" t="s">
        <v>41</v>
      </c>
      <c r="J441" s="14" t="s">
        <v>462</v>
      </c>
      <c r="K441" s="14">
        <v>6.0</v>
      </c>
      <c r="L441" s="14" t="str">
        <f t="array" ref="L441">INDEX('School Rep'!$A$2:$A$21, MATCH(J441, 'School Rep'!$B$2:$B$21, 0))</f>
        <v>Anusha Thotakura</v>
      </c>
      <c r="M441" s="15">
        <v>2.2</v>
      </c>
      <c r="N441" s="16" t="s">
        <v>1408</v>
      </c>
      <c r="O441" s="8" t="str">
        <f t="shared" si="1"/>
        <v>24 W Walton St </v>
      </c>
      <c r="P441" s="12">
        <v>2.0</v>
      </c>
      <c r="Q441" s="13" t="s">
        <v>758</v>
      </c>
    </row>
    <row r="442">
      <c r="A442" s="7">
        <v>610529.0</v>
      </c>
      <c r="B442" s="12" t="s">
        <v>1409</v>
      </c>
      <c r="C442" s="11" t="s">
        <v>1410</v>
      </c>
      <c r="D442" s="10">
        <v>0.059</v>
      </c>
      <c r="E442" s="11" t="s">
        <v>80</v>
      </c>
      <c r="F442" s="11" t="s">
        <v>108</v>
      </c>
      <c r="G442" s="15" t="s">
        <v>2026</v>
      </c>
      <c r="H442" s="12">
        <v>64.0</v>
      </c>
      <c r="I442" s="13" t="s">
        <v>52</v>
      </c>
      <c r="J442" s="14" t="s">
        <v>217</v>
      </c>
      <c r="K442" s="14">
        <v>5.0</v>
      </c>
      <c r="L442" s="14" t="str">
        <f t="array" ref="L442">INDEX('School Rep'!$A$2:$A$21, MATCH(J442, 'School Rep'!$B$2:$B$21, 0))</f>
        <v>Michilla Blaise</v>
      </c>
      <c r="M442" s="12">
        <v>2.4</v>
      </c>
      <c r="N442" s="16" t="s">
        <v>1411</v>
      </c>
      <c r="O442" s="8" t="str">
        <f t="shared" si="1"/>
        <v>1250 W Erie St </v>
      </c>
      <c r="P442" s="12">
        <v>27.0</v>
      </c>
      <c r="Q442" s="13" t="s">
        <v>219</v>
      </c>
    </row>
    <row r="443">
      <c r="A443" s="7">
        <v>610102.0</v>
      </c>
      <c r="B443" s="8" t="s">
        <v>1412</v>
      </c>
      <c r="C443" s="18" t="s">
        <v>1413</v>
      </c>
      <c r="D443" s="19">
        <v>0.246</v>
      </c>
      <c r="E443" s="18" t="s">
        <v>80</v>
      </c>
      <c r="F443" s="18" t="s">
        <v>186</v>
      </c>
      <c r="G443" s="15" t="s">
        <v>2031</v>
      </c>
      <c r="H443" s="12">
        <v>49.0</v>
      </c>
      <c r="I443" s="13" t="s">
        <v>20</v>
      </c>
      <c r="J443" s="14" t="s">
        <v>187</v>
      </c>
      <c r="K443" s="14">
        <v>9.0</v>
      </c>
      <c r="L443" s="14" t="str">
        <f t="array" ref="L443">INDEX('School Rep'!$A$2:$A$21, MATCH(J443, 'School Rep'!$B$2:$B$21, 0))</f>
        <v>Frank Niles Thomas</v>
      </c>
      <c r="M443" s="15">
        <v>3.4</v>
      </c>
      <c r="N443" s="16" t="s">
        <v>1414</v>
      </c>
      <c r="O443" s="8" t="str">
        <f t="shared" si="1"/>
        <v>7646 S Green St </v>
      </c>
      <c r="P443" s="12">
        <v>17.0</v>
      </c>
      <c r="Q443" s="13" t="s">
        <v>189</v>
      </c>
    </row>
    <row r="444">
      <c r="A444" s="7">
        <v>610103.0</v>
      </c>
      <c r="B444" s="13" t="s">
        <v>1415</v>
      </c>
      <c r="C444" s="18" t="s">
        <v>1416</v>
      </c>
      <c r="D444" s="19">
        <v>0.209</v>
      </c>
      <c r="E444" s="18" t="s">
        <v>80</v>
      </c>
      <c r="F444" s="18" t="s">
        <v>144</v>
      </c>
      <c r="G444" s="15" t="s">
        <v>2030</v>
      </c>
      <c r="H444" s="12">
        <v>44.0</v>
      </c>
      <c r="I444" s="13" t="s">
        <v>20</v>
      </c>
      <c r="J444" s="14" t="s">
        <v>121</v>
      </c>
      <c r="K444" s="14">
        <v>10.0</v>
      </c>
      <c r="L444" s="14" t="str">
        <f t="array" ref="L444">INDEX('School Rep'!$A$2:$A$21, MATCH(J444, 'School Rep'!$B$2:$B$21, 0))</f>
        <v>Che "Rhymefest" Smith</v>
      </c>
      <c r="M444" s="12">
        <v>3.7</v>
      </c>
      <c r="N444" s="16" t="s">
        <v>1417</v>
      </c>
      <c r="O444" s="8" t="str">
        <f t="shared" si="1"/>
        <v>6940 S Merrill Ave </v>
      </c>
      <c r="P444" s="12">
        <v>5.0</v>
      </c>
      <c r="Q444" s="13" t="s">
        <v>357</v>
      </c>
    </row>
    <row r="445">
      <c r="A445" s="7">
        <v>610569.0</v>
      </c>
      <c r="B445" s="8" t="s">
        <v>1418</v>
      </c>
      <c r="C445" s="18" t="s">
        <v>1419</v>
      </c>
      <c r="D445" s="19">
        <v>0.0</v>
      </c>
      <c r="E445" s="18" t="s">
        <v>1420</v>
      </c>
      <c r="F445" s="18" t="s">
        <v>426</v>
      </c>
      <c r="G445" s="15" t="s">
        <v>2038</v>
      </c>
      <c r="H445" s="12">
        <v>75.0</v>
      </c>
      <c r="I445" s="13" t="s">
        <v>52</v>
      </c>
      <c r="J445" s="15" t="s">
        <v>384</v>
      </c>
      <c r="K445" s="15" t="s">
        <v>384</v>
      </c>
      <c r="L445" s="15" t="s">
        <v>384</v>
      </c>
      <c r="M445" s="15" t="s">
        <v>384</v>
      </c>
      <c r="N445" s="16" t="s">
        <v>1421</v>
      </c>
      <c r="O445" s="8" t="str">
        <f t="shared" si="1"/>
        <v>7500 N Harlem Ave </v>
      </c>
      <c r="P445" s="12">
        <v>41.0</v>
      </c>
      <c r="Q445" s="13" t="s">
        <v>201</v>
      </c>
    </row>
    <row r="446">
      <c r="A446" s="7">
        <v>610593.0</v>
      </c>
      <c r="B446" s="8" t="s">
        <v>1422</v>
      </c>
      <c r="C446" s="18" t="s">
        <v>1423</v>
      </c>
      <c r="D446" s="19">
        <v>0.0</v>
      </c>
      <c r="E446" s="18" t="s">
        <v>1420</v>
      </c>
      <c r="F446" s="18" t="s">
        <v>426</v>
      </c>
      <c r="G446" s="15" t="s">
        <v>2038</v>
      </c>
      <c r="H446" s="12">
        <v>68.0</v>
      </c>
      <c r="I446" s="13" t="s">
        <v>52</v>
      </c>
      <c r="J446" s="15" t="s">
        <v>384</v>
      </c>
      <c r="K446" s="15" t="s">
        <v>384</v>
      </c>
      <c r="L446" s="15" t="s">
        <v>384</v>
      </c>
      <c r="M446" s="15" t="s">
        <v>384</v>
      </c>
      <c r="N446" s="16" t="s">
        <v>1424</v>
      </c>
      <c r="O446" s="8" t="str">
        <f t="shared" si="1"/>
        <v>10928 S Halsted </v>
      </c>
      <c r="P446" s="12">
        <v>21.0</v>
      </c>
      <c r="Q446" s="13" t="s">
        <v>428</v>
      </c>
    </row>
    <row r="447">
      <c r="A447" s="7">
        <v>610570.0</v>
      </c>
      <c r="B447" s="8" t="s">
        <v>1425</v>
      </c>
      <c r="C447" s="9" t="s">
        <v>1426</v>
      </c>
      <c r="D447" s="10">
        <v>0.0</v>
      </c>
      <c r="E447" s="11" t="s">
        <v>1420</v>
      </c>
      <c r="F447" s="11" t="s">
        <v>426</v>
      </c>
      <c r="G447" s="15" t="s">
        <v>2038</v>
      </c>
      <c r="H447" s="12">
        <v>33.0</v>
      </c>
      <c r="I447" s="13" t="s">
        <v>41</v>
      </c>
      <c r="J447" s="15" t="s">
        <v>384</v>
      </c>
      <c r="K447" s="15" t="s">
        <v>384</v>
      </c>
      <c r="L447" s="15" t="s">
        <v>384</v>
      </c>
      <c r="M447" s="15" t="s">
        <v>384</v>
      </c>
      <c r="N447" s="16" t="s">
        <v>1427</v>
      </c>
      <c r="O447" s="8" t="str">
        <f t="shared" si="1"/>
        <v>6057 S Western Ave </v>
      </c>
      <c r="P447" s="12">
        <v>16.0</v>
      </c>
      <c r="Q447" s="13" t="s">
        <v>193</v>
      </c>
    </row>
    <row r="448">
      <c r="A448" s="7">
        <v>610571.0</v>
      </c>
      <c r="B448" s="8" t="s">
        <v>1428</v>
      </c>
      <c r="C448" s="18" t="s">
        <v>1429</v>
      </c>
      <c r="D448" s="19">
        <v>0.0</v>
      </c>
      <c r="E448" s="18" t="s">
        <v>1420</v>
      </c>
      <c r="F448" s="18" t="s">
        <v>426</v>
      </c>
      <c r="G448" s="15" t="s">
        <v>2038</v>
      </c>
      <c r="H448" s="12">
        <v>82.0</v>
      </c>
      <c r="I448" s="13" t="s">
        <v>248</v>
      </c>
      <c r="J448" s="15" t="s">
        <v>384</v>
      </c>
      <c r="K448" s="15" t="s">
        <v>384</v>
      </c>
      <c r="L448" s="15" t="s">
        <v>384</v>
      </c>
      <c r="M448" s="15" t="s">
        <v>384</v>
      </c>
      <c r="N448" s="16" t="s">
        <v>1430</v>
      </c>
      <c r="O448" s="8" t="str">
        <f t="shared" si="1"/>
        <v>2401 W Congress Pkwy </v>
      </c>
      <c r="P448" s="12">
        <v>28.0</v>
      </c>
      <c r="Q448" s="13" t="s">
        <v>399</v>
      </c>
    </row>
    <row r="449">
      <c r="A449" s="7">
        <v>610104.0</v>
      </c>
      <c r="B449" s="13" t="s">
        <v>1431</v>
      </c>
      <c r="C449" s="18" t="s">
        <v>1432</v>
      </c>
      <c r="D449" s="19">
        <v>0.061</v>
      </c>
      <c r="E449" s="18" t="s">
        <v>80</v>
      </c>
      <c r="F449" s="18" t="s">
        <v>97</v>
      </c>
      <c r="G449" s="15" t="s">
        <v>2024</v>
      </c>
      <c r="H449" s="12">
        <v>49.0</v>
      </c>
      <c r="I449" s="13" t="s">
        <v>20</v>
      </c>
      <c r="J449" s="14" t="s">
        <v>199</v>
      </c>
      <c r="K449" s="14">
        <v>1.0</v>
      </c>
      <c r="L449" s="14" t="str">
        <f t="array" ref="L449">INDEX('School Rep'!$A$2:$A$21, MATCH(J449, 'School Rep'!$B$2:$B$21, 0))</f>
        <v>Ed Bannon</v>
      </c>
      <c r="M449" s="12">
        <v>1.8</v>
      </c>
      <c r="N449" s="16" t="s">
        <v>1433</v>
      </c>
      <c r="O449" s="8" t="str">
        <f t="shared" si="1"/>
        <v>6634 W Raven St </v>
      </c>
      <c r="P449" s="12">
        <v>41.0</v>
      </c>
      <c r="Q449" s="13" t="s">
        <v>201</v>
      </c>
    </row>
    <row r="450">
      <c r="A450" s="7">
        <v>610105.0</v>
      </c>
      <c r="B450" s="13" t="s">
        <v>1434</v>
      </c>
      <c r="C450" s="18" t="s">
        <v>1435</v>
      </c>
      <c r="D450" s="19">
        <v>0.029</v>
      </c>
      <c r="E450" s="18" t="s">
        <v>80</v>
      </c>
      <c r="F450" s="18" t="s">
        <v>97</v>
      </c>
      <c r="G450" s="15" t="s">
        <v>2024</v>
      </c>
      <c r="H450" s="12">
        <v>59.0</v>
      </c>
      <c r="I450" s="13" t="s">
        <v>20</v>
      </c>
      <c r="J450" s="14" t="s">
        <v>199</v>
      </c>
      <c r="K450" s="14">
        <v>1.0</v>
      </c>
      <c r="L450" s="14" t="str">
        <f t="array" ref="L450">INDEX('School Rep'!$A$2:$A$21, MATCH(J450, 'School Rep'!$B$2:$B$21, 0))</f>
        <v>Ed Bannon</v>
      </c>
      <c r="M450" s="12">
        <v>1.4</v>
      </c>
      <c r="N450" s="16" t="s">
        <v>1436</v>
      </c>
      <c r="O450" s="8" t="str">
        <f t="shared" si="1"/>
        <v>5424 N Oketo Ave </v>
      </c>
      <c r="P450" s="12">
        <v>41.0</v>
      </c>
      <c r="Q450" s="13" t="s">
        <v>201</v>
      </c>
    </row>
    <row r="451">
      <c r="A451" s="7">
        <v>610329.0</v>
      </c>
      <c r="B451" s="8" t="s">
        <v>1437</v>
      </c>
      <c r="C451" s="18" t="s">
        <v>1438</v>
      </c>
      <c r="D451" s="19">
        <v>0.0</v>
      </c>
      <c r="E451" s="18" t="s">
        <v>80</v>
      </c>
      <c r="F451" s="18" t="s">
        <v>529</v>
      </c>
      <c r="G451" s="15" t="s">
        <v>2039</v>
      </c>
      <c r="H451" s="12">
        <v>28.0</v>
      </c>
      <c r="I451" s="13" t="s">
        <v>41</v>
      </c>
      <c r="J451" s="14" t="s">
        <v>42</v>
      </c>
      <c r="K451" s="14">
        <v>7.0</v>
      </c>
      <c r="L451" s="14" t="str">
        <f t="array" ref="L451">INDEX('School Rep'!$A$2:$A$21, MATCH(J451, 'School Rep'!$B$2:$B$21, 0))</f>
        <v>Emma Lozano</v>
      </c>
      <c r="M451" s="15">
        <v>2.9</v>
      </c>
      <c r="N451" s="16" t="s">
        <v>1439</v>
      </c>
      <c r="O451" s="8" t="str">
        <f t="shared" si="1"/>
        <v>1940 W 18th St </v>
      </c>
      <c r="P451" s="12">
        <v>25.0</v>
      </c>
      <c r="Q451" s="13" t="s">
        <v>44</v>
      </c>
    </row>
    <row r="452">
      <c r="A452" s="7">
        <v>610389.0</v>
      </c>
      <c r="B452" s="12" t="s">
        <v>1440</v>
      </c>
      <c r="C452" s="9" t="s">
        <v>1441</v>
      </c>
      <c r="D452" s="10">
        <v>0.357</v>
      </c>
      <c r="E452" s="11" t="s">
        <v>80</v>
      </c>
      <c r="F452" s="11" t="s">
        <v>108</v>
      </c>
      <c r="G452" s="15" t="s">
        <v>2026</v>
      </c>
      <c r="H452" s="12">
        <v>56.0</v>
      </c>
      <c r="I452" s="13" t="s">
        <v>20</v>
      </c>
      <c r="J452" s="14" t="s">
        <v>31</v>
      </c>
      <c r="K452" s="14">
        <v>5.0</v>
      </c>
      <c r="L452" s="14" t="str">
        <f t="array" ref="L452">INDEX('School Rep'!$A$2:$A$21, MATCH(J452, 'School Rep'!$B$2:$B$21, 0))</f>
        <v>Aaron "Jitu" Brown</v>
      </c>
      <c r="M452" s="12">
        <v>3.6</v>
      </c>
      <c r="N452" s="16" t="s">
        <v>1442</v>
      </c>
      <c r="O452" s="8" t="str">
        <f t="shared" si="1"/>
        <v>730 N Pulaski Rd </v>
      </c>
      <c r="P452" s="12">
        <v>37.0</v>
      </c>
      <c r="Q452" s="13" t="s">
        <v>162</v>
      </c>
    </row>
    <row r="453">
      <c r="A453" s="7">
        <v>609950.0</v>
      </c>
      <c r="B453" s="8" t="s">
        <v>1443</v>
      </c>
      <c r="C453" s="9" t="s">
        <v>1444</v>
      </c>
      <c r="D453" s="10">
        <v>0.12</v>
      </c>
      <c r="E453" s="11" t="s">
        <v>80</v>
      </c>
      <c r="F453" s="11" t="s">
        <v>529</v>
      </c>
      <c r="G453" s="15" t="s">
        <v>2039</v>
      </c>
      <c r="H453" s="15"/>
      <c r="I453" s="8"/>
      <c r="J453" s="14" t="s">
        <v>42</v>
      </c>
      <c r="K453" s="14">
        <v>7.0</v>
      </c>
      <c r="L453" s="14" t="str">
        <f t="array" ref="L453">INDEX('School Rep'!$A$2:$A$21, MATCH(J453, 'School Rep'!$B$2:$B$21, 0))</f>
        <v>Emma Lozano</v>
      </c>
      <c r="M453" s="15">
        <v>3.4</v>
      </c>
      <c r="N453" s="16" t="s">
        <v>1445</v>
      </c>
      <c r="O453" s="8" t="str">
        <f t="shared" si="1"/>
        <v>3000 S Lawndale Ave </v>
      </c>
      <c r="P453" s="12">
        <v>22.0</v>
      </c>
      <c r="Q453" s="13" t="s">
        <v>353</v>
      </c>
    </row>
    <row r="454">
      <c r="A454" s="7">
        <v>610107.0</v>
      </c>
      <c r="B454" s="8" t="s">
        <v>1446</v>
      </c>
      <c r="C454" s="18" t="s">
        <v>1447</v>
      </c>
      <c r="D454" s="19">
        <v>0.174</v>
      </c>
      <c r="E454" s="18" t="s">
        <v>80</v>
      </c>
      <c r="F454" s="18" t="s">
        <v>301</v>
      </c>
      <c r="G454" s="15" t="s">
        <v>2037</v>
      </c>
      <c r="H454" s="12">
        <v>26.0</v>
      </c>
      <c r="I454" s="13" t="s">
        <v>41</v>
      </c>
      <c r="J454" s="14" t="s">
        <v>217</v>
      </c>
      <c r="K454" s="14">
        <v>5.0</v>
      </c>
      <c r="L454" s="14" t="str">
        <f t="array" ref="L454">INDEX('School Rep'!$A$2:$A$21, MATCH(J454, 'School Rep'!$B$2:$B$21, 0))</f>
        <v>Michilla Blaise</v>
      </c>
      <c r="M454" s="15">
        <v>3.3</v>
      </c>
      <c r="N454" s="16" t="s">
        <v>1448</v>
      </c>
      <c r="O454" s="8" t="str">
        <f t="shared" si="1"/>
        <v>525 N Armour St </v>
      </c>
      <c r="P454" s="12">
        <v>1.0</v>
      </c>
      <c r="Q454" s="13" t="s">
        <v>275</v>
      </c>
    </row>
    <row r="455">
      <c r="A455" s="7">
        <v>610108.0</v>
      </c>
      <c r="B455" s="8" t="s">
        <v>1449</v>
      </c>
      <c r="C455" s="18" t="s">
        <v>1450</v>
      </c>
      <c r="D455" s="19">
        <v>0.199</v>
      </c>
      <c r="E455" s="18" t="s">
        <v>80</v>
      </c>
      <c r="F455" s="18" t="s">
        <v>186</v>
      </c>
      <c r="G455" s="15" t="s">
        <v>2031</v>
      </c>
      <c r="H455" s="12">
        <v>69.0</v>
      </c>
      <c r="I455" s="13" t="s">
        <v>52</v>
      </c>
      <c r="J455" s="14" t="s">
        <v>187</v>
      </c>
      <c r="K455" s="14">
        <v>9.0</v>
      </c>
      <c r="L455" s="14" t="str">
        <f t="array" ref="L455">INDEX('School Rep'!$A$2:$A$21, MATCH(J455, 'School Rep'!$B$2:$B$21, 0))</f>
        <v>Frank Niles Thomas</v>
      </c>
      <c r="M455" s="15">
        <v>3.5</v>
      </c>
      <c r="N455" s="16" t="s">
        <v>1451</v>
      </c>
      <c r="O455" s="8" t="str">
        <f t="shared" si="1"/>
        <v>6550 S Seeley Ave </v>
      </c>
      <c r="P455" s="12">
        <v>16.0</v>
      </c>
      <c r="Q455" s="13" t="s">
        <v>193</v>
      </c>
    </row>
    <row r="456">
      <c r="A456" s="7">
        <v>610109.0</v>
      </c>
      <c r="B456" s="8" t="s">
        <v>1452</v>
      </c>
      <c r="C456" s="18" t="s">
        <v>1453</v>
      </c>
      <c r="D456" s="19">
        <v>0.055</v>
      </c>
      <c r="E456" s="18" t="s">
        <v>80</v>
      </c>
      <c r="F456" s="18" t="s">
        <v>138</v>
      </c>
      <c r="G456" s="15" t="s">
        <v>2029</v>
      </c>
      <c r="H456" s="12">
        <v>12.0</v>
      </c>
      <c r="I456" s="13" t="s">
        <v>30</v>
      </c>
      <c r="J456" s="14" t="s">
        <v>139</v>
      </c>
      <c r="K456" s="14">
        <v>8.0</v>
      </c>
      <c r="L456" s="14" t="str">
        <f t="array" ref="L456">INDEX('School Rep'!$A$2:$A$21, MATCH(J456, 'School Rep'!$B$2:$B$21, 0))</f>
        <v>Angel Gutierrez</v>
      </c>
      <c r="M456" s="15">
        <v>3.7</v>
      </c>
      <c r="N456" s="16" t="s">
        <v>1454</v>
      </c>
      <c r="O456" s="8" t="str">
        <f t="shared" si="1"/>
        <v>8247 S Christiana Ave </v>
      </c>
      <c r="P456" s="12">
        <v>18.0</v>
      </c>
      <c r="Q456" s="13" t="s">
        <v>141</v>
      </c>
    </row>
    <row r="457">
      <c r="A457" s="7">
        <v>609943.0</v>
      </c>
      <c r="B457" s="8" t="s">
        <v>1455</v>
      </c>
      <c r="C457" s="17" t="s">
        <v>1456</v>
      </c>
      <c r="D457" s="10">
        <v>0.171</v>
      </c>
      <c r="E457" s="11" t="s">
        <v>80</v>
      </c>
      <c r="F457" s="11" t="s">
        <v>81</v>
      </c>
      <c r="G457" s="15" t="s">
        <v>2022</v>
      </c>
      <c r="H457" s="12">
        <v>48.0</v>
      </c>
      <c r="I457" s="13" t="s">
        <v>20</v>
      </c>
      <c r="J457" s="14" t="s">
        <v>178</v>
      </c>
      <c r="K457" s="14">
        <v>9.0</v>
      </c>
      <c r="L457" s="14" t="str">
        <f t="array" ref="L457">INDEX('School Rep'!$A$2:$A$21, MATCH(J457, 'School Rep'!$B$2:$B$21, 0))</f>
        <v>Therese Boyle</v>
      </c>
      <c r="M457" s="15">
        <v>4.1</v>
      </c>
      <c r="N457" s="16" t="s">
        <v>1457</v>
      </c>
      <c r="O457" s="8" t="str">
        <f t="shared" si="1"/>
        <v>12302 S State St </v>
      </c>
      <c r="P457" s="12">
        <v>9.0</v>
      </c>
      <c r="Q457" s="13" t="s">
        <v>237</v>
      </c>
    </row>
    <row r="458">
      <c r="A458" s="7">
        <v>610111.0</v>
      </c>
      <c r="B458" s="13" t="s">
        <v>1458</v>
      </c>
      <c r="C458" s="18" t="s">
        <v>1459</v>
      </c>
      <c r="D458" s="19">
        <v>0.096</v>
      </c>
      <c r="E458" s="18" t="s">
        <v>80</v>
      </c>
      <c r="F458" s="18" t="s">
        <v>126</v>
      </c>
      <c r="G458" s="15" t="e">
        <v>#N/A</v>
      </c>
      <c r="H458" s="12">
        <v>53.0</v>
      </c>
      <c r="I458" s="13" t="s">
        <v>20</v>
      </c>
      <c r="J458" s="14" t="s">
        <v>222</v>
      </c>
      <c r="K458" s="14">
        <v>1.0</v>
      </c>
      <c r="L458" s="14" t="str">
        <f t="array" ref="L458">INDEX('School Rep'!$A$2:$A$21, MATCH(J458, 'School Rep'!$B$2:$B$21, 0))</f>
        <v>Jennifer Custer</v>
      </c>
      <c r="M458" s="12">
        <v>1.8</v>
      </c>
      <c r="N458" s="16" t="s">
        <v>1460</v>
      </c>
      <c r="O458" s="8" t="str">
        <f t="shared" si="1"/>
        <v>5051 N Kenneth Ave </v>
      </c>
      <c r="P458" s="12">
        <v>39.0</v>
      </c>
      <c r="Q458" s="13" t="s">
        <v>224</v>
      </c>
    </row>
    <row r="459">
      <c r="A459" s="7">
        <v>610115.0</v>
      </c>
      <c r="B459" s="8" t="s">
        <v>1461</v>
      </c>
      <c r="C459" s="9" t="s">
        <v>1462</v>
      </c>
      <c r="D459" s="10">
        <v>0.219</v>
      </c>
      <c r="E459" s="11" t="s">
        <v>80</v>
      </c>
      <c r="F459" s="11" t="s">
        <v>144</v>
      </c>
      <c r="G459" s="15" t="s">
        <v>2030</v>
      </c>
      <c r="H459" s="12">
        <v>39.0</v>
      </c>
      <c r="I459" s="13" t="s">
        <v>41</v>
      </c>
      <c r="J459" s="14" t="s">
        <v>204</v>
      </c>
      <c r="K459" s="14">
        <v>6.0</v>
      </c>
      <c r="L459" s="14" t="str">
        <f t="array" ref="L459">INDEX('School Rep'!$A$2:$A$21, MATCH(J459, 'School Rep'!$B$2:$B$21, 0))</f>
        <v>Jessica Biggs</v>
      </c>
      <c r="M459" s="15">
        <v>3.5</v>
      </c>
      <c r="N459" s="16" t="s">
        <v>1463</v>
      </c>
      <c r="O459" s="8" t="str">
        <f t="shared" si="1"/>
        <v>7037 S Rhodes Ave </v>
      </c>
      <c r="P459" s="12">
        <v>6.0</v>
      </c>
      <c r="Q459" s="13" t="s">
        <v>306</v>
      </c>
    </row>
    <row r="460">
      <c r="A460" s="7">
        <v>610112.0</v>
      </c>
      <c r="B460" s="8" t="s">
        <v>1464</v>
      </c>
      <c r="C460" s="18" t="s">
        <v>1465</v>
      </c>
      <c r="D460" s="19">
        <v>0.158</v>
      </c>
      <c r="E460" s="18" t="s">
        <v>80</v>
      </c>
      <c r="F460" s="18" t="s">
        <v>186</v>
      </c>
      <c r="G460" s="15" t="s">
        <v>2031</v>
      </c>
      <c r="H460" s="12">
        <v>43.0</v>
      </c>
      <c r="I460" s="13" t="s">
        <v>20</v>
      </c>
      <c r="J460" s="14" t="s">
        <v>204</v>
      </c>
      <c r="K460" s="14">
        <v>6.0</v>
      </c>
      <c r="L460" s="14" t="str">
        <f t="array" ref="L460">INDEX('School Rep'!$A$2:$A$21, MATCH(J460, 'School Rep'!$B$2:$B$21, 0))</f>
        <v>Jessica Biggs</v>
      </c>
      <c r="M460" s="15">
        <v>3.1</v>
      </c>
      <c r="N460" s="16" t="s">
        <v>1466</v>
      </c>
      <c r="O460" s="8" t="str">
        <f t="shared" si="1"/>
        <v>6800 S Stewart Ave </v>
      </c>
      <c r="P460" s="12">
        <v>6.0</v>
      </c>
      <c r="Q460" s="13" t="s">
        <v>306</v>
      </c>
    </row>
    <row r="461">
      <c r="A461" s="7">
        <v>610116.0</v>
      </c>
      <c r="B461" s="13" t="s">
        <v>1467</v>
      </c>
      <c r="C461" s="18" t="s">
        <v>1468</v>
      </c>
      <c r="D461" s="19">
        <v>0.247</v>
      </c>
      <c r="E461" s="18" t="s">
        <v>80</v>
      </c>
      <c r="F461" s="18" t="s">
        <v>144</v>
      </c>
      <c r="G461" s="15" t="s">
        <v>2030</v>
      </c>
      <c r="H461" s="15"/>
      <c r="I461" s="8"/>
      <c r="J461" s="14" t="s">
        <v>121</v>
      </c>
      <c r="K461" s="14">
        <v>10.0</v>
      </c>
      <c r="L461" s="14" t="str">
        <f t="array" ref="L461">INDEX('School Rep'!$A$2:$A$21, MATCH(J461, 'School Rep'!$B$2:$B$21, 0))</f>
        <v>Che "Rhymefest" Smith</v>
      </c>
      <c r="M461" s="12">
        <v>3.6</v>
      </c>
      <c r="N461" s="16" t="s">
        <v>1469</v>
      </c>
      <c r="O461" s="8" t="str">
        <f t="shared" si="1"/>
        <v>6938 S East End Ave </v>
      </c>
      <c r="P461" s="12">
        <v>5.0</v>
      </c>
      <c r="Q461" s="13" t="s">
        <v>357</v>
      </c>
    </row>
    <row r="462">
      <c r="A462" s="7">
        <v>610117.0</v>
      </c>
      <c r="B462" s="8" t="s">
        <v>1470</v>
      </c>
      <c r="C462" s="18" t="s">
        <v>1471</v>
      </c>
      <c r="D462" s="19">
        <v>0.069</v>
      </c>
      <c r="E462" s="18" t="s">
        <v>80</v>
      </c>
      <c r="F462" s="18" t="s">
        <v>285</v>
      </c>
      <c r="G462" s="15" t="s">
        <v>2036</v>
      </c>
      <c r="H462" s="12">
        <v>71.0</v>
      </c>
      <c r="I462" s="13" t="s">
        <v>52</v>
      </c>
      <c r="J462" s="14" t="s">
        <v>139</v>
      </c>
      <c r="K462" s="14">
        <v>8.0</v>
      </c>
      <c r="L462" s="14" t="str">
        <f t="array" ref="L462">INDEX('School Rep'!$A$2:$A$21, MATCH(J462, 'School Rep'!$B$2:$B$21, 0))</f>
        <v>Angel Gutierrez</v>
      </c>
      <c r="M462" s="15">
        <v>3.3</v>
      </c>
      <c r="N462" s="16" t="s">
        <v>1472</v>
      </c>
      <c r="O462" s="8" t="str">
        <f t="shared" si="1"/>
        <v>5825 S Kostner Ave </v>
      </c>
      <c r="P462" s="12">
        <v>13.0</v>
      </c>
      <c r="Q462" s="13" t="s">
        <v>250</v>
      </c>
    </row>
    <row r="463">
      <c r="A463" s="7">
        <v>610557.0</v>
      </c>
      <c r="B463" s="8" t="s">
        <v>1473</v>
      </c>
      <c r="C463" s="9" t="s">
        <v>1474</v>
      </c>
      <c r="D463" s="10">
        <v>0.0</v>
      </c>
      <c r="E463" s="11" t="s">
        <v>1420</v>
      </c>
      <c r="F463" s="11" t="s">
        <v>426</v>
      </c>
      <c r="G463" s="15" t="s">
        <v>2038</v>
      </c>
      <c r="H463" s="12">
        <v>67.0</v>
      </c>
      <c r="I463" s="13" t="s">
        <v>52</v>
      </c>
      <c r="J463" s="15" t="s">
        <v>384</v>
      </c>
      <c r="K463" s="15" t="s">
        <v>384</v>
      </c>
      <c r="L463" s="15" t="s">
        <v>384</v>
      </c>
      <c r="M463" s="15" t="s">
        <v>384</v>
      </c>
      <c r="N463" s="16" t="s">
        <v>1475</v>
      </c>
      <c r="O463" s="8" t="str">
        <f t="shared" si="1"/>
        <v>3284 W 87th St </v>
      </c>
      <c r="P463" s="12">
        <v>18.0</v>
      </c>
      <c r="Q463" s="13" t="s">
        <v>141</v>
      </c>
    </row>
    <row r="464">
      <c r="A464" s="7">
        <v>610568.0</v>
      </c>
      <c r="B464" s="8" t="s">
        <v>1476</v>
      </c>
      <c r="C464" s="18" t="s">
        <v>1477</v>
      </c>
      <c r="D464" s="19">
        <v>0.0</v>
      </c>
      <c r="E464" s="18" t="s">
        <v>1420</v>
      </c>
      <c r="F464" s="18" t="s">
        <v>426</v>
      </c>
      <c r="G464" s="15" t="s">
        <v>2038</v>
      </c>
      <c r="H464" s="12">
        <v>68.0</v>
      </c>
      <c r="I464" s="13" t="s">
        <v>52</v>
      </c>
      <c r="J464" s="15" t="s">
        <v>384</v>
      </c>
      <c r="K464" s="15" t="s">
        <v>384</v>
      </c>
      <c r="L464" s="15" t="s">
        <v>384</v>
      </c>
      <c r="M464" s="15" t="s">
        <v>384</v>
      </c>
      <c r="N464" s="16" t="s">
        <v>1478</v>
      </c>
      <c r="O464" s="8" t="str">
        <f t="shared" si="1"/>
        <v>3100 W Belmont Ave </v>
      </c>
      <c r="P464" s="12">
        <v>33.0</v>
      </c>
      <c r="Q464" s="13" t="s">
        <v>99</v>
      </c>
    </row>
    <row r="465">
      <c r="A465" s="7">
        <v>400173.0</v>
      </c>
      <c r="B465" s="8" t="s">
        <v>1479</v>
      </c>
      <c r="C465" s="18" t="s">
        <v>1480</v>
      </c>
      <c r="D465" s="19">
        <v>0.0</v>
      </c>
      <c r="E465" s="18" t="s">
        <v>1420</v>
      </c>
      <c r="F465" s="18" t="s">
        <v>426</v>
      </c>
      <c r="G465" s="15" t="s">
        <v>2038</v>
      </c>
      <c r="H465" s="12">
        <v>60.0</v>
      </c>
      <c r="I465" s="13" t="s">
        <v>52</v>
      </c>
      <c r="J465" s="15" t="s">
        <v>384</v>
      </c>
      <c r="K465" s="15" t="s">
        <v>384</v>
      </c>
      <c r="L465" s="15" t="s">
        <v>384</v>
      </c>
      <c r="M465" s="15" t="s">
        <v>384</v>
      </c>
      <c r="N465" s="16" t="s">
        <v>1481</v>
      </c>
      <c r="O465" s="8" t="str">
        <f t="shared" si="1"/>
        <v>3124 W 47th St </v>
      </c>
      <c r="P465" s="12">
        <v>14.0</v>
      </c>
      <c r="Q465" s="13" t="s">
        <v>54</v>
      </c>
    </row>
    <row r="466">
      <c r="A466" s="7">
        <v>610594.0</v>
      </c>
      <c r="B466" s="8" t="s">
        <v>1482</v>
      </c>
      <c r="C466" s="18" t="s">
        <v>1483</v>
      </c>
      <c r="D466" s="19">
        <v>0.0</v>
      </c>
      <c r="E466" s="18" t="s">
        <v>1420</v>
      </c>
      <c r="F466" s="18" t="s">
        <v>426</v>
      </c>
      <c r="G466" s="15" t="s">
        <v>2038</v>
      </c>
      <c r="H466" s="15"/>
      <c r="I466" s="8"/>
      <c r="J466" s="15" t="s">
        <v>384</v>
      </c>
      <c r="K466" s="15" t="s">
        <v>384</v>
      </c>
      <c r="L466" s="15" t="s">
        <v>384</v>
      </c>
      <c r="M466" s="15" t="s">
        <v>384</v>
      </c>
      <c r="N466" s="16" t="s">
        <v>1484</v>
      </c>
      <c r="O466" s="8" t="str">
        <f t="shared" si="1"/>
        <v>2421 W Division </v>
      </c>
      <c r="P466" s="12">
        <v>26.0</v>
      </c>
      <c r="Q466" s="13" t="s">
        <v>378</v>
      </c>
    </row>
    <row r="467">
      <c r="A467" s="7">
        <v>609680.0</v>
      </c>
      <c r="B467" s="8" t="s">
        <v>1485</v>
      </c>
      <c r="C467" s="18" t="s">
        <v>1486</v>
      </c>
      <c r="D467" s="19">
        <v>0.0</v>
      </c>
      <c r="E467" s="18" t="s">
        <v>80</v>
      </c>
      <c r="F467" s="18" t="s">
        <v>108</v>
      </c>
      <c r="G467" s="15" t="s">
        <v>2026</v>
      </c>
      <c r="H467" s="12">
        <v>32.0</v>
      </c>
      <c r="I467" s="13" t="s">
        <v>41</v>
      </c>
      <c r="J467" s="14" t="s">
        <v>462</v>
      </c>
      <c r="K467" s="14">
        <v>6.0</v>
      </c>
      <c r="L467" s="14" t="str">
        <f t="array" ref="L467">INDEX('School Rep'!$A$2:$A$21, MATCH(J467, 'School Rep'!$B$2:$B$21, 0))</f>
        <v>Anusha Thotakura</v>
      </c>
      <c r="M467" s="15">
        <v>1.3</v>
      </c>
      <c r="N467" s="16" t="s">
        <v>1487</v>
      </c>
      <c r="O467" s="8" t="str">
        <f t="shared" si="1"/>
        <v>1034 N Wells St </v>
      </c>
      <c r="P467" s="12">
        <v>27.0</v>
      </c>
      <c r="Q467" s="13" t="s">
        <v>219</v>
      </c>
    </row>
    <row r="468">
      <c r="A468" s="7">
        <v>610386.0</v>
      </c>
      <c r="B468" s="8" t="s">
        <v>1488</v>
      </c>
      <c r="C468" s="18" t="s">
        <v>1489</v>
      </c>
      <c r="D468" s="19">
        <v>0.0</v>
      </c>
      <c r="E468" s="18" t="s">
        <v>80</v>
      </c>
      <c r="F468" s="18" t="s">
        <v>426</v>
      </c>
      <c r="G468" s="15" t="s">
        <v>2038</v>
      </c>
      <c r="H468" s="12">
        <v>64.0</v>
      </c>
      <c r="I468" s="13" t="s">
        <v>52</v>
      </c>
      <c r="J468" s="15" t="s">
        <v>384</v>
      </c>
      <c r="K468" s="15" t="s">
        <v>384</v>
      </c>
      <c r="L468" s="15" t="s">
        <v>384</v>
      </c>
      <c r="M468" s="15" t="s">
        <v>384</v>
      </c>
      <c r="N468" s="16" t="s">
        <v>1490</v>
      </c>
      <c r="O468" s="8" t="str">
        <f t="shared" si="1"/>
        <v>4946 S Paulina St </v>
      </c>
      <c r="P468" s="12">
        <v>20.0</v>
      </c>
      <c r="Q468" s="13" t="s">
        <v>368</v>
      </c>
    </row>
    <row r="469">
      <c r="A469" s="7">
        <v>610120.0</v>
      </c>
      <c r="B469" s="8" t="s">
        <v>1491</v>
      </c>
      <c r="C469" s="18" t="s">
        <v>1492</v>
      </c>
      <c r="D469" s="19">
        <v>0.055</v>
      </c>
      <c r="E469" s="18" t="s">
        <v>80</v>
      </c>
      <c r="F469" s="18" t="s">
        <v>126</v>
      </c>
      <c r="G469" s="15" t="e">
        <v>#N/A</v>
      </c>
      <c r="H469" s="12">
        <v>24.0</v>
      </c>
      <c r="I469" s="13" t="s">
        <v>41</v>
      </c>
      <c r="J469" s="14" t="s">
        <v>21</v>
      </c>
      <c r="K469" s="14">
        <v>7.0</v>
      </c>
      <c r="L469" s="14" t="str">
        <f t="array" ref="L469">INDEX('School Rep'!$A$2:$A$21, MATCH(J469, 'School Rep'!$B$2:$B$21, 0))</f>
        <v>Yesenia Lopez</v>
      </c>
      <c r="M469" s="15">
        <v>2.9</v>
      </c>
      <c r="N469" s="16" t="s">
        <v>1493</v>
      </c>
      <c r="O469" s="8" t="str">
        <f t="shared" si="1"/>
        <v>3826 W 58th St </v>
      </c>
      <c r="P469" s="12">
        <v>23.0</v>
      </c>
      <c r="Q469" s="13" t="s">
        <v>172</v>
      </c>
    </row>
    <row r="470">
      <c r="A470" s="7">
        <v>610122.0</v>
      </c>
      <c r="B470" s="13" t="s">
        <v>1494</v>
      </c>
      <c r="C470" s="18" t="s">
        <v>1495</v>
      </c>
      <c r="D470" s="19">
        <v>0.044</v>
      </c>
      <c r="E470" s="18" t="s">
        <v>80</v>
      </c>
      <c r="F470" s="18" t="s">
        <v>126</v>
      </c>
      <c r="G470" s="15" t="e">
        <v>#N/A</v>
      </c>
      <c r="H470" s="12">
        <v>23.0</v>
      </c>
      <c r="I470" s="13" t="s">
        <v>41</v>
      </c>
      <c r="J470" s="14" t="s">
        <v>87</v>
      </c>
      <c r="K470" s="14">
        <v>2.0</v>
      </c>
      <c r="L470" s="14" t="str">
        <f t="array" ref="L470">INDEX('School Rep'!$A$2:$A$21, MATCH(J470, 'School Rep'!$B$2:$B$21, 0))</f>
        <v>Debby Pope</v>
      </c>
      <c r="M470" s="12">
        <v>1.7</v>
      </c>
      <c r="N470" s="16" t="s">
        <v>1496</v>
      </c>
      <c r="O470" s="8" t="str">
        <f t="shared" si="1"/>
        <v>1423 W Bryn Mawr Ave </v>
      </c>
      <c r="P470" s="12">
        <v>48.0</v>
      </c>
      <c r="Q470" s="13" t="s">
        <v>807</v>
      </c>
    </row>
    <row r="471">
      <c r="A471" s="7">
        <v>610123.0</v>
      </c>
      <c r="B471" s="8" t="s">
        <v>1497</v>
      </c>
      <c r="C471" s="18" t="s">
        <v>1498</v>
      </c>
      <c r="D471" s="19">
        <v>0.215</v>
      </c>
      <c r="E471" s="18" t="s">
        <v>80</v>
      </c>
      <c r="F471" s="18" t="s">
        <v>529</v>
      </c>
      <c r="G471" s="15" t="s">
        <v>2039</v>
      </c>
      <c r="H471" s="12">
        <v>49.0</v>
      </c>
      <c r="I471" s="13" t="s">
        <v>20</v>
      </c>
      <c r="J471" s="14" t="s">
        <v>217</v>
      </c>
      <c r="K471" s="14">
        <v>5.0</v>
      </c>
      <c r="L471" s="14" t="str">
        <f t="array" ref="L471">INDEX('School Rep'!$A$2:$A$21, MATCH(J471, 'School Rep'!$B$2:$B$21, 0))</f>
        <v>Michilla Blaise</v>
      </c>
      <c r="M471" s="15">
        <v>3.6</v>
      </c>
      <c r="N471" s="16" t="s">
        <v>1063</v>
      </c>
      <c r="O471" s="8" t="str">
        <f t="shared" si="1"/>
        <v>1616 S Avers Ave </v>
      </c>
      <c r="P471" s="12">
        <v>24.0</v>
      </c>
      <c r="Q471" s="13" t="s">
        <v>517</v>
      </c>
    </row>
    <row r="472">
      <c r="A472" s="7">
        <v>609872.0</v>
      </c>
      <c r="B472" s="8" t="s">
        <v>1499</v>
      </c>
      <c r="C472" s="18" t="s">
        <v>1500</v>
      </c>
      <c r="D472" s="19">
        <v>0.097</v>
      </c>
      <c r="E472" s="18" t="s">
        <v>80</v>
      </c>
      <c r="F472" s="18" t="s">
        <v>529</v>
      </c>
      <c r="G472" s="15" t="s">
        <v>2039</v>
      </c>
      <c r="H472" s="12">
        <v>56.0</v>
      </c>
      <c r="I472" s="13" t="s">
        <v>20</v>
      </c>
      <c r="J472" s="14" t="s">
        <v>42</v>
      </c>
      <c r="K472" s="14">
        <v>7.0</v>
      </c>
      <c r="L472" s="14" t="str">
        <f t="array" ref="L472">INDEX('School Rep'!$A$2:$A$21, MATCH(J472, 'School Rep'!$B$2:$B$21, 0))</f>
        <v>Emma Lozano</v>
      </c>
      <c r="M472" s="15">
        <v>2.8</v>
      </c>
      <c r="N472" s="16" t="s">
        <v>1501</v>
      </c>
      <c r="O472" s="8" t="str">
        <f t="shared" si="1"/>
        <v>1241 W 19th St </v>
      </c>
      <c r="P472" s="12">
        <v>25.0</v>
      </c>
      <c r="Q472" s="13" t="s">
        <v>44</v>
      </c>
    </row>
    <row r="473">
      <c r="A473" s="7">
        <v>610126.0</v>
      </c>
      <c r="B473" s="8" t="s">
        <v>1502</v>
      </c>
      <c r="C473" s="18" t="s">
        <v>1503</v>
      </c>
      <c r="D473" s="19">
        <v>0.107</v>
      </c>
      <c r="E473" s="18" t="s">
        <v>80</v>
      </c>
      <c r="F473" s="18" t="s">
        <v>120</v>
      </c>
      <c r="G473" s="15" t="s">
        <v>2028</v>
      </c>
      <c r="H473" s="12">
        <v>42.0</v>
      </c>
      <c r="I473" s="13" t="s">
        <v>20</v>
      </c>
      <c r="J473" s="14" t="s">
        <v>204</v>
      </c>
      <c r="K473" s="14">
        <v>6.0</v>
      </c>
      <c r="L473" s="14" t="str">
        <f t="array" ref="L473">INDEX('School Rep'!$A$2:$A$21, MATCH(J473, 'School Rep'!$B$2:$B$21, 0))</f>
        <v>Jessica Biggs</v>
      </c>
      <c r="M473" s="15">
        <v>2.8</v>
      </c>
      <c r="N473" s="16" t="s">
        <v>1504</v>
      </c>
      <c r="O473" s="8" t="str">
        <f t="shared" si="1"/>
        <v>3200 S Calumet Ave </v>
      </c>
      <c r="P473" s="12">
        <v>4.0</v>
      </c>
      <c r="Q473" s="13" t="s">
        <v>123</v>
      </c>
    </row>
    <row r="474">
      <c r="A474" s="7">
        <v>400064.0</v>
      </c>
      <c r="B474" s="8" t="s">
        <v>1505</v>
      </c>
      <c r="C474" s="18" t="s">
        <v>1506</v>
      </c>
      <c r="D474" s="19">
        <v>0.142</v>
      </c>
      <c r="E474" s="18" t="s">
        <v>19</v>
      </c>
      <c r="F474" s="18" t="s">
        <v>19</v>
      </c>
      <c r="G474" s="15" t="e">
        <v>#N/A</v>
      </c>
      <c r="H474" s="12">
        <v>48.0</v>
      </c>
      <c r="I474" s="13" t="s">
        <v>20</v>
      </c>
      <c r="J474" s="14" t="s">
        <v>26</v>
      </c>
      <c r="K474" s="14">
        <v>8.0</v>
      </c>
      <c r="L474" s="14" t="str">
        <f t="array" ref="L474">INDEX('School Rep'!$A$2:$A$21, MATCH(J474, 'School Rep'!$B$2:$B$21, 0))</f>
        <v>Cydney Wallace</v>
      </c>
      <c r="M474" s="15">
        <v>2.8</v>
      </c>
      <c r="N474" s="16" t="s">
        <v>1507</v>
      </c>
      <c r="O474" s="8" t="str">
        <f t="shared" si="1"/>
        <v>1930 S Archer Ave </v>
      </c>
      <c r="P474" s="12">
        <v>3.0</v>
      </c>
      <c r="Q474" s="13" t="s">
        <v>206</v>
      </c>
    </row>
    <row r="475">
      <c r="A475" s="7">
        <v>400061.0</v>
      </c>
      <c r="B475" s="13" t="s">
        <v>1508</v>
      </c>
      <c r="C475" s="9" t="s">
        <v>1509</v>
      </c>
      <c r="D475" s="10">
        <v>0.113</v>
      </c>
      <c r="E475" s="11" t="s">
        <v>19</v>
      </c>
      <c r="F475" s="11" t="s">
        <v>19</v>
      </c>
      <c r="G475" s="15" t="e">
        <v>#N/A</v>
      </c>
      <c r="H475" s="15"/>
      <c r="I475" s="8"/>
      <c r="J475" s="14" t="s">
        <v>82</v>
      </c>
      <c r="K475" s="14">
        <v>10.0</v>
      </c>
      <c r="L475" s="14" t="str">
        <f t="array" ref="L475">INDEX('School Rep'!$A$2:$A$21, MATCH(J475, 'School Rep'!$B$2:$B$21, 0))</f>
        <v>Olga Bautista</v>
      </c>
      <c r="M475" s="12">
        <v>3.4</v>
      </c>
      <c r="N475" s="16" t="s">
        <v>1510</v>
      </c>
      <c r="O475" s="8" t="str">
        <f t="shared" si="1"/>
        <v>8522 S Lafayette Ave </v>
      </c>
      <c r="P475" s="12">
        <v>21.0</v>
      </c>
      <c r="Q475" s="13" t="s">
        <v>428</v>
      </c>
    </row>
    <row r="476">
      <c r="A476" s="7">
        <v>400066.0</v>
      </c>
      <c r="B476" s="8" t="s">
        <v>1511</v>
      </c>
      <c r="C476" s="17" t="s">
        <v>1512</v>
      </c>
      <c r="D476" s="10">
        <v>0.122</v>
      </c>
      <c r="E476" s="11" t="s">
        <v>19</v>
      </c>
      <c r="F476" s="11" t="s">
        <v>19</v>
      </c>
      <c r="G476" s="15" t="e">
        <v>#N/A</v>
      </c>
      <c r="H476" s="15"/>
      <c r="I476" s="8"/>
      <c r="J476" s="14" t="s">
        <v>204</v>
      </c>
      <c r="K476" s="14">
        <v>6.0</v>
      </c>
      <c r="L476" s="14" t="str">
        <f t="array" ref="L476">INDEX('School Rep'!$A$2:$A$21, MATCH(J476, 'School Rep'!$B$2:$B$21, 0))</f>
        <v>Jessica Biggs</v>
      </c>
      <c r="M476" s="15">
        <v>3.2</v>
      </c>
      <c r="N476" s="16" t="s">
        <v>1513</v>
      </c>
      <c r="O476" s="8" t="str">
        <f t="shared" si="1"/>
        <v>3663 S Wabash Ave </v>
      </c>
      <c r="P476" s="12">
        <v>3.0</v>
      </c>
      <c r="Q476" s="13" t="s">
        <v>206</v>
      </c>
    </row>
    <row r="477">
      <c r="A477" s="7">
        <v>400062.0</v>
      </c>
      <c r="B477" s="13" t="s">
        <v>1514</v>
      </c>
      <c r="C477" s="17" t="s">
        <v>1515</v>
      </c>
      <c r="D477" s="10">
        <v>0.108</v>
      </c>
      <c r="E477" s="11" t="s">
        <v>19</v>
      </c>
      <c r="F477" s="11" t="s">
        <v>19</v>
      </c>
      <c r="G477" s="15" t="e">
        <v>#N/A</v>
      </c>
      <c r="H477" s="15"/>
      <c r="I477" s="8"/>
      <c r="J477" s="14" t="s">
        <v>82</v>
      </c>
      <c r="K477" s="14">
        <v>10.0</v>
      </c>
      <c r="L477" s="14" t="str">
        <f t="array" ref="L477">INDEX('School Rep'!$A$2:$A$21, MATCH(J477, 'School Rep'!$B$2:$B$21, 0))</f>
        <v>Olga Bautista</v>
      </c>
      <c r="M477" s="12">
        <v>3.4</v>
      </c>
      <c r="N477" s="16" t="s">
        <v>1510</v>
      </c>
      <c r="O477" s="8" t="str">
        <f t="shared" si="1"/>
        <v>8522 S Lafayette Ave </v>
      </c>
      <c r="P477" s="12">
        <v>21.0</v>
      </c>
      <c r="Q477" s="13" t="s">
        <v>428</v>
      </c>
    </row>
    <row r="478">
      <c r="A478" s="7">
        <v>610127.0</v>
      </c>
      <c r="B478" s="13" t="s">
        <v>1516</v>
      </c>
      <c r="C478" s="18" t="s">
        <v>1517</v>
      </c>
      <c r="D478" s="19">
        <v>0.079</v>
      </c>
      <c r="E478" s="18" t="s">
        <v>80</v>
      </c>
      <c r="F478" s="18" t="s">
        <v>97</v>
      </c>
      <c r="G478" s="15" t="s">
        <v>2024</v>
      </c>
      <c r="H478" s="12">
        <v>26.0</v>
      </c>
      <c r="I478" s="13" t="s">
        <v>41</v>
      </c>
      <c r="J478" s="14" t="s">
        <v>87</v>
      </c>
      <c r="K478" s="14">
        <v>2.0</v>
      </c>
      <c r="L478" s="14" t="str">
        <f t="array" ref="L478">INDEX('School Rep'!$A$2:$A$21, MATCH(J478, 'School Rep'!$B$2:$B$21, 0))</f>
        <v>Debby Pope</v>
      </c>
      <c r="M478" s="12">
        <v>2.1</v>
      </c>
      <c r="N478" s="16" t="s">
        <v>1518</v>
      </c>
      <c r="O478" s="8" t="str">
        <f t="shared" si="1"/>
        <v>5510 N Christiana Ave </v>
      </c>
      <c r="P478" s="12">
        <v>39.0</v>
      </c>
      <c r="Q478" s="13" t="s">
        <v>224</v>
      </c>
    </row>
    <row r="479">
      <c r="A479" s="7">
        <v>609727.0</v>
      </c>
      <c r="B479" s="8" t="s">
        <v>1519</v>
      </c>
      <c r="C479" s="17" t="s">
        <v>1520</v>
      </c>
      <c r="D479" s="10">
        <v>0.268</v>
      </c>
      <c r="E479" s="11" t="s">
        <v>80</v>
      </c>
      <c r="F479" s="11" t="s">
        <v>263</v>
      </c>
      <c r="G479" s="15" t="s">
        <v>2034</v>
      </c>
      <c r="H479" s="12">
        <v>32.0</v>
      </c>
      <c r="I479" s="13" t="s">
        <v>41</v>
      </c>
      <c r="J479" s="14" t="s">
        <v>204</v>
      </c>
      <c r="K479" s="14">
        <v>6.0</v>
      </c>
      <c r="L479" s="14" t="str">
        <f t="array" ref="L479">INDEX('School Rep'!$A$2:$A$21, MATCH(J479, 'School Rep'!$B$2:$B$21, 0))</f>
        <v>Jessica Biggs</v>
      </c>
      <c r="M479" s="15">
        <v>3.2</v>
      </c>
      <c r="N479" s="16" t="s">
        <v>1521</v>
      </c>
      <c r="O479" s="8" t="str">
        <f t="shared" si="1"/>
        <v>244 E Pershing Rd </v>
      </c>
      <c r="P479" s="12">
        <v>3.0</v>
      </c>
      <c r="Q479" s="13" t="s">
        <v>206</v>
      </c>
    </row>
    <row r="480">
      <c r="A480" s="7">
        <v>610304.0</v>
      </c>
      <c r="B480" s="12" t="s">
        <v>1522</v>
      </c>
      <c r="C480" s="17" t="s">
        <v>1523</v>
      </c>
      <c r="D480" s="10">
        <v>0.053</v>
      </c>
      <c r="E480" s="11" t="s">
        <v>80</v>
      </c>
      <c r="F480" s="11" t="s">
        <v>126</v>
      </c>
      <c r="G480" s="15" t="e">
        <v>#N/A</v>
      </c>
      <c r="H480" s="12">
        <v>41.0</v>
      </c>
      <c r="I480" s="13" t="s">
        <v>20</v>
      </c>
      <c r="J480" s="14" t="s">
        <v>217</v>
      </c>
      <c r="K480" s="14">
        <v>5.0</v>
      </c>
      <c r="L480" s="14" t="str">
        <f t="array" ref="L480">INDEX('School Rep'!$A$2:$A$21, MATCH(J480, 'School Rep'!$B$2:$B$21, 0))</f>
        <v>Michilla Blaise</v>
      </c>
      <c r="M480" s="12">
        <v>3.0</v>
      </c>
      <c r="N480" s="16" t="s">
        <v>1524</v>
      </c>
      <c r="O480" s="8" t="str">
        <f t="shared" si="1"/>
        <v>145 S Campbell Ave </v>
      </c>
      <c r="P480" s="12">
        <v>27.0</v>
      </c>
      <c r="Q480" s="13" t="s">
        <v>219</v>
      </c>
    </row>
    <row r="481">
      <c r="A481" s="7">
        <v>610106.0</v>
      </c>
      <c r="B481" s="12" t="s">
        <v>1525</v>
      </c>
      <c r="C481" s="18" t="s">
        <v>1526</v>
      </c>
      <c r="D481" s="19">
        <v>0.138</v>
      </c>
      <c r="E481" s="18" t="s">
        <v>80</v>
      </c>
      <c r="F481" s="18" t="s">
        <v>216</v>
      </c>
      <c r="G481" s="15" t="s">
        <v>2032</v>
      </c>
      <c r="H481" s="12">
        <v>42.0</v>
      </c>
      <c r="I481" s="13" t="s">
        <v>20</v>
      </c>
      <c r="J481" s="14" t="s">
        <v>232</v>
      </c>
      <c r="K481" s="14">
        <v>3.0</v>
      </c>
      <c r="L481" s="14" t="str">
        <f t="array" ref="L481">INDEX('School Rep'!$A$2:$A$21, MATCH(J481, 'School Rep'!$B$2:$B$21, 0))</f>
        <v>Carlos Rivas</v>
      </c>
      <c r="M481" s="12">
        <v>3.6</v>
      </c>
      <c r="N481" s="16" t="s">
        <v>1527</v>
      </c>
      <c r="O481" s="8" t="str">
        <f t="shared" si="1"/>
        <v>1040 N Keeler Ave </v>
      </c>
      <c r="P481" s="12">
        <v>37.0</v>
      </c>
      <c r="Q481" s="13" t="s">
        <v>162</v>
      </c>
    </row>
    <row r="482">
      <c r="A482" s="7">
        <v>610129.0</v>
      </c>
      <c r="B482" s="8" t="s">
        <v>1528</v>
      </c>
      <c r="C482" s="18" t="s">
        <v>1529</v>
      </c>
      <c r="D482" s="19">
        <v>0.082</v>
      </c>
      <c r="E482" s="18" t="s">
        <v>80</v>
      </c>
      <c r="F482" s="18" t="s">
        <v>529</v>
      </c>
      <c r="G482" s="15" t="s">
        <v>2039</v>
      </c>
      <c r="H482" s="12">
        <v>56.0</v>
      </c>
      <c r="I482" s="13" t="s">
        <v>20</v>
      </c>
      <c r="J482" s="14" t="s">
        <v>42</v>
      </c>
      <c r="K482" s="14">
        <v>7.0</v>
      </c>
      <c r="L482" s="14" t="str">
        <f t="array" ref="L482">INDEX('School Rep'!$A$2:$A$21, MATCH(J482, 'School Rep'!$B$2:$B$21, 0))</f>
        <v>Emma Lozano</v>
      </c>
      <c r="M482" s="15">
        <v>3.4</v>
      </c>
      <c r="N482" s="16" t="s">
        <v>1530</v>
      </c>
      <c r="O482" s="8" t="str">
        <f t="shared" si="1"/>
        <v>2301 W 21st Pl </v>
      </c>
      <c r="P482" s="12">
        <v>25.0</v>
      </c>
      <c r="Q482" s="13" t="s">
        <v>44</v>
      </c>
    </row>
    <row r="483">
      <c r="A483" s="7">
        <v>610013.0</v>
      </c>
      <c r="B483" s="8" t="s">
        <v>1531</v>
      </c>
      <c r="C483" s="18" t="s">
        <v>1532</v>
      </c>
      <c r="D483" s="19">
        <v>0.074</v>
      </c>
      <c r="E483" s="18" t="s">
        <v>80</v>
      </c>
      <c r="F483" s="18" t="s">
        <v>529</v>
      </c>
      <c r="G483" s="15" t="s">
        <v>2039</v>
      </c>
      <c r="H483" s="12">
        <v>59.0</v>
      </c>
      <c r="I483" s="13" t="s">
        <v>20</v>
      </c>
      <c r="J483" s="14" t="s">
        <v>42</v>
      </c>
      <c r="K483" s="14">
        <v>7.0</v>
      </c>
      <c r="L483" s="14" t="str">
        <f t="array" ref="L483">INDEX('School Rep'!$A$2:$A$21, MATCH(J483, 'School Rep'!$B$2:$B$21, 0))</f>
        <v>Emma Lozano</v>
      </c>
      <c r="M483" s="15">
        <v>3.6</v>
      </c>
      <c r="N483" s="16" t="s">
        <v>1533</v>
      </c>
      <c r="O483" s="8" t="str">
        <f t="shared" si="1"/>
        <v>1420 W 17th St </v>
      </c>
      <c r="P483" s="12">
        <v>25.0</v>
      </c>
      <c r="Q483" s="13" t="s">
        <v>44</v>
      </c>
    </row>
    <row r="484">
      <c r="A484" s="7">
        <v>610130.0</v>
      </c>
      <c r="B484" s="13" t="s">
        <v>1534</v>
      </c>
      <c r="C484" s="18" t="s">
        <v>1535</v>
      </c>
      <c r="D484" s="19">
        <v>0.128</v>
      </c>
      <c r="E484" s="18" t="s">
        <v>80</v>
      </c>
      <c r="F484" s="18" t="s">
        <v>144</v>
      </c>
      <c r="G484" s="15" t="s">
        <v>2030</v>
      </c>
      <c r="H484" s="15"/>
      <c r="I484" s="8"/>
      <c r="J484" s="14" t="s">
        <v>82</v>
      </c>
      <c r="K484" s="14">
        <v>10.0</v>
      </c>
      <c r="L484" s="14" t="str">
        <f t="array" ref="L484">INDEX('School Rep'!$A$2:$A$21, MATCH(J484, 'School Rep'!$B$2:$B$21, 0))</f>
        <v>Olga Bautista</v>
      </c>
      <c r="M484" s="12">
        <v>3.4</v>
      </c>
      <c r="N484" s="16" t="s">
        <v>1536</v>
      </c>
      <c r="O484" s="8" t="str">
        <f t="shared" si="1"/>
        <v>650 E 85th St </v>
      </c>
      <c r="P484" s="12">
        <v>6.0</v>
      </c>
      <c r="Q484" s="13" t="s">
        <v>306</v>
      </c>
    </row>
    <row r="485">
      <c r="A485" s="7">
        <v>610131.0</v>
      </c>
      <c r="B485" s="12" t="s">
        <v>1537</v>
      </c>
      <c r="C485" s="18" t="s">
        <v>1538</v>
      </c>
      <c r="D485" s="19">
        <v>0.171</v>
      </c>
      <c r="E485" s="18" t="s">
        <v>80</v>
      </c>
      <c r="F485" s="18" t="s">
        <v>126</v>
      </c>
      <c r="G485" s="15" t="e">
        <v>#N/A</v>
      </c>
      <c r="H485" s="12">
        <v>35.0</v>
      </c>
      <c r="I485" s="13" t="s">
        <v>41</v>
      </c>
      <c r="J485" s="14" t="s">
        <v>217</v>
      </c>
      <c r="K485" s="14">
        <v>5.0</v>
      </c>
      <c r="L485" s="14" t="str">
        <f t="array" ref="L485">INDEX('School Rep'!$A$2:$A$21, MATCH(J485, 'School Rep'!$B$2:$B$21, 0))</f>
        <v>Michilla Blaise</v>
      </c>
      <c r="M485" s="12">
        <v>3.8</v>
      </c>
      <c r="N485" s="16" t="s">
        <v>1539</v>
      </c>
      <c r="O485" s="8" t="str">
        <f t="shared" si="1"/>
        <v>2642 W 15th Pl </v>
      </c>
      <c r="P485" s="12">
        <v>28.0</v>
      </c>
      <c r="Q485" s="13" t="s">
        <v>399</v>
      </c>
    </row>
    <row r="486">
      <c r="A486" s="7">
        <v>400068.0</v>
      </c>
      <c r="B486" s="12" t="s">
        <v>1540</v>
      </c>
      <c r="C486" s="17" t="s">
        <v>1541</v>
      </c>
      <c r="D486" s="10">
        <v>0.127</v>
      </c>
      <c r="E486" s="11" t="s">
        <v>411</v>
      </c>
      <c r="F486" s="11" t="s">
        <v>411</v>
      </c>
      <c r="G486" s="15" t="e">
        <v>#N/A</v>
      </c>
      <c r="H486" s="12">
        <v>34.0</v>
      </c>
      <c r="I486" s="13" t="s">
        <v>41</v>
      </c>
      <c r="J486" s="14" t="s">
        <v>31</v>
      </c>
      <c r="K486" s="14">
        <v>5.0</v>
      </c>
      <c r="L486" s="14" t="str">
        <f t="array" ref="L486">INDEX('School Rep'!$A$2:$A$21, MATCH(J486, 'School Rep'!$B$2:$B$21, 0))</f>
        <v>Aaron "Jitu" Brown</v>
      </c>
      <c r="M486" s="12">
        <v>3.4</v>
      </c>
      <c r="N486" s="16" t="s">
        <v>1542</v>
      </c>
      <c r="O486" s="8" t="str">
        <f t="shared" si="1"/>
        <v>5545 W Harrison St </v>
      </c>
      <c r="P486" s="12">
        <v>29.0</v>
      </c>
      <c r="Q486" s="13" t="s">
        <v>33</v>
      </c>
    </row>
    <row r="487">
      <c r="A487" s="7">
        <v>610132.0</v>
      </c>
      <c r="B487" s="13" t="s">
        <v>1543</v>
      </c>
      <c r="C487" s="18" t="s">
        <v>1544</v>
      </c>
      <c r="D487" s="19">
        <v>0.0</v>
      </c>
      <c r="E487" s="18" t="s">
        <v>80</v>
      </c>
      <c r="F487" s="18" t="s">
        <v>81</v>
      </c>
      <c r="G487" s="15" t="s">
        <v>2022</v>
      </c>
      <c r="H487" s="12">
        <v>18.0</v>
      </c>
      <c r="I487" s="13" t="s">
        <v>30</v>
      </c>
      <c r="J487" s="14" t="s">
        <v>82</v>
      </c>
      <c r="K487" s="14">
        <v>10.0</v>
      </c>
      <c r="L487" s="14" t="str">
        <f t="array" ref="L487">INDEX('School Rep'!$A$2:$A$21, MATCH(J487, 'School Rep'!$B$2:$B$21, 0))</f>
        <v>Olga Bautista</v>
      </c>
      <c r="M487" s="12">
        <v>2.3</v>
      </c>
      <c r="N487" s="16" t="s">
        <v>1545</v>
      </c>
      <c r="O487" s="8" t="str">
        <f t="shared" si="1"/>
        <v>10538 S Langley Ave </v>
      </c>
      <c r="P487" s="12">
        <v>9.0</v>
      </c>
      <c r="Q487" s="13" t="s">
        <v>237</v>
      </c>
    </row>
    <row r="488">
      <c r="A488" s="7">
        <v>400069.0</v>
      </c>
      <c r="B488" s="12" t="s">
        <v>1546</v>
      </c>
      <c r="C488" s="17" t="s">
        <v>1547</v>
      </c>
      <c r="D488" s="10">
        <v>0.152</v>
      </c>
      <c r="E488" s="11" t="s">
        <v>19</v>
      </c>
      <c r="F488" s="11" t="s">
        <v>19</v>
      </c>
      <c r="G488" s="15" t="e">
        <v>#N/A</v>
      </c>
      <c r="H488" s="12">
        <v>51.0</v>
      </c>
      <c r="I488" s="13" t="s">
        <v>20</v>
      </c>
      <c r="J488" s="14" t="s">
        <v>31</v>
      </c>
      <c r="K488" s="14">
        <v>5.0</v>
      </c>
      <c r="L488" s="14" t="str">
        <f t="array" ref="L488">INDEX('School Rep'!$A$2:$A$21, MATCH(J488, 'School Rep'!$B$2:$B$21, 0))</f>
        <v>Aaron "Jitu" Brown</v>
      </c>
      <c r="M488" s="12">
        <v>3.2</v>
      </c>
      <c r="N488" s="16" t="s">
        <v>1548</v>
      </c>
      <c r="O488" s="8" t="str">
        <f t="shared" si="1"/>
        <v>620 N Sawyer Ave </v>
      </c>
      <c r="P488" s="12">
        <v>27.0</v>
      </c>
      <c r="Q488" s="13" t="s">
        <v>219</v>
      </c>
    </row>
    <row r="489">
      <c r="A489" s="7">
        <v>610135.0</v>
      </c>
      <c r="B489" s="13" t="s">
        <v>1549</v>
      </c>
      <c r="C489" s="17" t="s">
        <v>1550</v>
      </c>
      <c r="D489" s="10">
        <v>0.098</v>
      </c>
      <c r="E489" s="11" t="s">
        <v>80</v>
      </c>
      <c r="F489" s="11" t="s">
        <v>97</v>
      </c>
      <c r="G489" s="15" t="s">
        <v>2024</v>
      </c>
      <c r="H489" s="12">
        <v>42.0</v>
      </c>
      <c r="I489" s="13" t="s">
        <v>20</v>
      </c>
      <c r="J489" s="14" t="s">
        <v>222</v>
      </c>
      <c r="K489" s="14">
        <v>1.0</v>
      </c>
      <c r="L489" s="14" t="str">
        <f t="array" ref="L489">INDEX('School Rep'!$A$2:$A$21, MATCH(J489, 'School Rep'!$B$2:$B$21, 0))</f>
        <v>Jennifer Custer</v>
      </c>
      <c r="M489" s="12">
        <v>2.7</v>
      </c>
      <c r="N489" s="16" t="s">
        <v>1551</v>
      </c>
      <c r="O489" s="8" t="str">
        <f t="shared" si="1"/>
        <v>5330 W Berteau Ave </v>
      </c>
      <c r="P489" s="12">
        <v>38.0</v>
      </c>
      <c r="Q489" s="13" t="s">
        <v>279</v>
      </c>
    </row>
    <row r="490">
      <c r="A490" s="7">
        <v>610281.0</v>
      </c>
      <c r="B490" s="13" t="s">
        <v>1552</v>
      </c>
      <c r="C490" s="18" t="s">
        <v>1553</v>
      </c>
      <c r="D490" s="19">
        <v>0.257</v>
      </c>
      <c r="E490" s="18" t="s">
        <v>80</v>
      </c>
      <c r="F490" s="18" t="s">
        <v>144</v>
      </c>
      <c r="G490" s="15" t="s">
        <v>2030</v>
      </c>
      <c r="H490" s="12">
        <v>41.0</v>
      </c>
      <c r="I490" s="13" t="s">
        <v>20</v>
      </c>
      <c r="J490" s="14" t="s">
        <v>121</v>
      </c>
      <c r="K490" s="14">
        <v>10.0</v>
      </c>
      <c r="L490" s="14" t="str">
        <f t="array" ref="L490">INDEX('School Rep'!$A$2:$A$21, MATCH(J490, 'School Rep'!$B$2:$B$21, 0))</f>
        <v>Che "Rhymefest" Smith</v>
      </c>
      <c r="M490" s="12">
        <v>3.6</v>
      </c>
      <c r="N490" s="16" t="s">
        <v>1554</v>
      </c>
      <c r="O490" s="8" t="str">
        <f t="shared" si="1"/>
        <v>7511 S South Shore Dr </v>
      </c>
      <c r="P490" s="12">
        <v>7.0</v>
      </c>
      <c r="Q490" s="13" t="s">
        <v>260</v>
      </c>
    </row>
    <row r="491">
      <c r="A491" s="7">
        <v>610136.0</v>
      </c>
      <c r="B491" s="12" t="s">
        <v>1555</v>
      </c>
      <c r="C491" s="18" t="s">
        <v>1556</v>
      </c>
      <c r="D491" s="19">
        <v>0.047</v>
      </c>
      <c r="E491" s="18" t="s">
        <v>80</v>
      </c>
      <c r="F491" s="18" t="s">
        <v>102</v>
      </c>
      <c r="G491" s="15" t="s">
        <v>2025</v>
      </c>
      <c r="H491" s="12">
        <v>46.0</v>
      </c>
      <c r="I491" s="13" t="s">
        <v>20</v>
      </c>
      <c r="J491" s="14" t="s">
        <v>103</v>
      </c>
      <c r="K491" s="14">
        <v>4.0</v>
      </c>
      <c r="L491" s="14" t="str">
        <f t="array" ref="L491">INDEX('School Rep'!$A$2:$A$21, MATCH(J491, 'School Rep'!$B$2:$B$21, 0))</f>
        <v>Ellen Rosenfeld</v>
      </c>
      <c r="M491" s="12">
        <v>2.3</v>
      </c>
      <c r="N491" s="16" t="s">
        <v>1557</v>
      </c>
      <c r="O491" s="8" t="str">
        <f t="shared" si="1"/>
        <v>1632 W Wrightwood Ave </v>
      </c>
      <c r="P491" s="12">
        <v>32.0</v>
      </c>
      <c r="Q491" s="13" t="s">
        <v>110</v>
      </c>
    </row>
    <row r="492">
      <c r="A492" s="7">
        <v>610533.0</v>
      </c>
      <c r="B492" s="12" t="s">
        <v>1558</v>
      </c>
      <c r="C492" s="9" t="s">
        <v>1559</v>
      </c>
      <c r="D492" s="10">
        <v>0.108</v>
      </c>
      <c r="E492" s="11" t="s">
        <v>80</v>
      </c>
      <c r="F492" s="11" t="s">
        <v>231</v>
      </c>
      <c r="G492" s="15" t="s">
        <v>2033</v>
      </c>
      <c r="H492" s="12">
        <v>65.0</v>
      </c>
      <c r="I492" s="13" t="s">
        <v>52</v>
      </c>
      <c r="J492" s="14" t="s">
        <v>232</v>
      </c>
      <c r="K492" s="14">
        <v>3.0</v>
      </c>
      <c r="L492" s="14" t="str">
        <f t="array" ref="L492">INDEX('School Rep'!$A$2:$A$21, MATCH(J492, 'School Rep'!$B$2:$B$21, 0))</f>
        <v>Carlos Rivas</v>
      </c>
      <c r="M492" s="12">
        <v>3.6</v>
      </c>
      <c r="N492" s="16" t="s">
        <v>1560</v>
      </c>
      <c r="O492" s="8" t="str">
        <f t="shared" si="1"/>
        <v>2231 N Central Ave </v>
      </c>
      <c r="P492" s="12">
        <v>36.0</v>
      </c>
      <c r="Q492" s="13" t="s">
        <v>67</v>
      </c>
    </row>
    <row r="493">
      <c r="A493" s="7">
        <v>610229.0</v>
      </c>
      <c r="B493" s="8" t="s">
        <v>1561</v>
      </c>
      <c r="C493" s="11" t="s">
        <v>1562</v>
      </c>
      <c r="D493" s="10">
        <v>0.043</v>
      </c>
      <c r="E493" s="11" t="s">
        <v>80</v>
      </c>
      <c r="F493" s="11" t="s">
        <v>301</v>
      </c>
      <c r="G493" s="15" t="s">
        <v>2037</v>
      </c>
      <c r="H493" s="12">
        <v>55.0</v>
      </c>
      <c r="I493" s="13" t="s">
        <v>20</v>
      </c>
      <c r="J493" s="14" t="s">
        <v>462</v>
      </c>
      <c r="K493" s="14">
        <v>6.0</v>
      </c>
      <c r="L493" s="14" t="str">
        <f t="array" ref="L493">INDEX('School Rep'!$A$2:$A$21, MATCH(J493, 'School Rep'!$B$2:$B$21, 0))</f>
        <v>Anusha Thotakura</v>
      </c>
      <c r="M493" s="15">
        <v>2.1</v>
      </c>
      <c r="N493" s="16" t="s">
        <v>1563</v>
      </c>
      <c r="O493" s="8" t="str">
        <f t="shared" si="1"/>
        <v>2009 W Schiller St </v>
      </c>
      <c r="P493" s="12">
        <v>1.0</v>
      </c>
      <c r="Q493" s="13" t="s">
        <v>275</v>
      </c>
    </row>
    <row r="494">
      <c r="A494" s="7">
        <v>609679.0</v>
      </c>
      <c r="B494" s="12" t="s">
        <v>1564</v>
      </c>
      <c r="C494" s="9" t="s">
        <v>1565</v>
      </c>
      <c r="D494" s="10">
        <v>0.043</v>
      </c>
      <c r="E494" s="11" t="s">
        <v>80</v>
      </c>
      <c r="F494" s="11" t="s">
        <v>108</v>
      </c>
      <c r="G494" s="15" t="s">
        <v>2026</v>
      </c>
      <c r="H494" s="12">
        <v>49.0</v>
      </c>
      <c r="I494" s="13" t="s">
        <v>20</v>
      </c>
      <c r="J494" s="14" t="s">
        <v>232</v>
      </c>
      <c r="K494" s="14">
        <v>3.0</v>
      </c>
      <c r="L494" s="14" t="str">
        <f t="array" ref="L494">INDEX('School Rep'!$A$2:$A$21, MATCH(J494, 'School Rep'!$B$2:$B$21, 0))</f>
        <v>Carlos Rivas</v>
      </c>
      <c r="M494" s="12">
        <v>2.8</v>
      </c>
      <c r="N494" s="16" t="s">
        <v>1566</v>
      </c>
      <c r="O494" s="8" t="str">
        <f t="shared" si="1"/>
        <v>2148 N Long Ave </v>
      </c>
      <c r="P494" s="12">
        <v>36.0</v>
      </c>
      <c r="Q494" s="13" t="s">
        <v>67</v>
      </c>
    </row>
    <row r="495">
      <c r="A495" s="7">
        <v>400071.0</v>
      </c>
      <c r="B495" s="8" t="s">
        <v>1567</v>
      </c>
      <c r="C495" s="11" t="s">
        <v>1568</v>
      </c>
      <c r="D495" s="10">
        <v>0.104</v>
      </c>
      <c r="E495" s="11" t="s">
        <v>19</v>
      </c>
      <c r="F495" s="11" t="s">
        <v>19</v>
      </c>
      <c r="G495" s="15" t="e">
        <v>#N/A</v>
      </c>
      <c r="H495" s="12">
        <v>61.0</v>
      </c>
      <c r="I495" s="13" t="s">
        <v>52</v>
      </c>
      <c r="J495" s="14" t="s">
        <v>187</v>
      </c>
      <c r="K495" s="14">
        <v>9.0</v>
      </c>
      <c r="L495" s="14" t="str">
        <f t="array" ref="L495">INDEX('School Rep'!$A$2:$A$21, MATCH(J495, 'School Rep'!$B$2:$B$21, 0))</f>
        <v>Frank Niles Thomas</v>
      </c>
      <c r="M495" s="15">
        <v>3.6</v>
      </c>
      <c r="N495" s="16" t="s">
        <v>1569</v>
      </c>
      <c r="O495" s="8" t="str">
        <f t="shared" si="1"/>
        <v>6515 S Ashland Ave </v>
      </c>
      <c r="P495" s="12">
        <v>16.0</v>
      </c>
      <c r="Q495" s="13" t="s">
        <v>193</v>
      </c>
    </row>
    <row r="496">
      <c r="A496" s="7">
        <v>610137.0</v>
      </c>
      <c r="B496" s="13" t="s">
        <v>1570</v>
      </c>
      <c r="C496" s="18" t="s">
        <v>1571</v>
      </c>
      <c r="D496" s="19">
        <v>0.103</v>
      </c>
      <c r="E496" s="18" t="s">
        <v>80</v>
      </c>
      <c r="F496" s="18" t="s">
        <v>97</v>
      </c>
      <c r="G496" s="15" t="s">
        <v>2024</v>
      </c>
      <c r="H496" s="12">
        <v>30.0</v>
      </c>
      <c r="I496" s="13" t="s">
        <v>41</v>
      </c>
      <c r="J496" s="14" t="s">
        <v>199</v>
      </c>
      <c r="K496" s="14">
        <v>1.0</v>
      </c>
      <c r="L496" s="14" t="str">
        <f t="array" ref="L496">INDEX('School Rep'!$A$2:$A$21, MATCH(J496, 'School Rep'!$B$2:$B$21, 0))</f>
        <v>Ed Bannon</v>
      </c>
      <c r="M496" s="12">
        <v>2.4</v>
      </c>
      <c r="N496" s="16" t="s">
        <v>1572</v>
      </c>
      <c r="O496" s="8" t="str">
        <f t="shared" si="1"/>
        <v>4650 N Menard Ave </v>
      </c>
      <c r="P496" s="12">
        <v>45.0</v>
      </c>
      <c r="Q496" s="13" t="s">
        <v>210</v>
      </c>
    </row>
    <row r="497">
      <c r="A497" s="7">
        <v>610138.0</v>
      </c>
      <c r="B497" s="8" t="s">
        <v>1573</v>
      </c>
      <c r="C497" s="18" t="s">
        <v>1574</v>
      </c>
      <c r="D497" s="19">
        <v>0.04</v>
      </c>
      <c r="E497" s="18" t="s">
        <v>80</v>
      </c>
      <c r="F497" s="18" t="s">
        <v>301</v>
      </c>
      <c r="G497" s="15" t="s">
        <v>2037</v>
      </c>
      <c r="H497" s="12">
        <v>35.0</v>
      </c>
      <c r="I497" s="13" t="s">
        <v>41</v>
      </c>
      <c r="J497" s="14" t="s">
        <v>462</v>
      </c>
      <c r="K497" s="14">
        <v>6.0</v>
      </c>
      <c r="L497" s="14" t="str">
        <f t="array" ref="L497">INDEX('School Rep'!$A$2:$A$21, MATCH(J497, 'School Rep'!$B$2:$B$21, 0))</f>
        <v>Anusha Thotakura</v>
      </c>
      <c r="M497" s="15">
        <v>1.9</v>
      </c>
      <c r="N497" s="16" t="s">
        <v>1575</v>
      </c>
      <c r="O497" s="8" t="str">
        <f t="shared" si="1"/>
        <v>2230 W Mclean Ave </v>
      </c>
      <c r="P497" s="12">
        <v>32.0</v>
      </c>
      <c r="Q497" s="13" t="s">
        <v>110</v>
      </c>
    </row>
    <row r="498">
      <c r="A498" s="7">
        <v>610139.0</v>
      </c>
      <c r="B498" s="12" t="s">
        <v>1576</v>
      </c>
      <c r="C498" s="18" t="s">
        <v>1577</v>
      </c>
      <c r="D498" s="19">
        <v>0.138</v>
      </c>
      <c r="E498" s="18" t="s">
        <v>80</v>
      </c>
      <c r="F498" s="18" t="s">
        <v>81</v>
      </c>
      <c r="G498" s="15" t="s">
        <v>2022</v>
      </c>
      <c r="H498" s="12">
        <v>38.0</v>
      </c>
      <c r="I498" s="13" t="s">
        <v>41</v>
      </c>
      <c r="J498" s="14" t="s">
        <v>82</v>
      </c>
      <c r="K498" s="14">
        <v>10.0</v>
      </c>
      <c r="L498" s="14" t="str">
        <f t="array" ref="L498">INDEX('School Rep'!$A$2:$A$21, MATCH(J498, 'School Rep'!$B$2:$B$21, 0))</f>
        <v>Olga Bautista</v>
      </c>
      <c r="M498" s="12">
        <v>3.0</v>
      </c>
      <c r="N498" s="16" t="s">
        <v>1578</v>
      </c>
      <c r="O498" s="8" t="str">
        <f t="shared" si="1"/>
        <v>11311 S Forrestville Ave </v>
      </c>
      <c r="P498" s="12">
        <v>9.0</v>
      </c>
      <c r="Q498" s="13" t="s">
        <v>237</v>
      </c>
    </row>
    <row r="499">
      <c r="A499" s="7">
        <v>610334.0</v>
      </c>
      <c r="B499" s="12" t="s">
        <v>1579</v>
      </c>
      <c r="C499" s="9" t="s">
        <v>1580</v>
      </c>
      <c r="D499" s="10">
        <v>0.115</v>
      </c>
      <c r="E499" s="11" t="s">
        <v>80</v>
      </c>
      <c r="F499" s="11" t="s">
        <v>108</v>
      </c>
      <c r="G499" s="15" t="s">
        <v>2026</v>
      </c>
      <c r="H499" s="12">
        <v>16.0</v>
      </c>
      <c r="I499" s="13" t="s">
        <v>30</v>
      </c>
      <c r="J499" s="14" t="s">
        <v>217</v>
      </c>
      <c r="K499" s="14">
        <v>5.0</v>
      </c>
      <c r="L499" s="14" t="str">
        <f t="array" ref="L499">INDEX('School Rep'!$A$2:$A$21, MATCH(J499, 'School Rep'!$B$2:$B$21, 0))</f>
        <v>Michilla Blaise</v>
      </c>
      <c r="M499" s="12">
        <v>4.0</v>
      </c>
      <c r="N499" s="16" t="s">
        <v>1581</v>
      </c>
      <c r="O499" s="8" t="str">
        <f t="shared" si="1"/>
        <v>3545 W Fulton Blvd </v>
      </c>
      <c r="P499" s="12">
        <v>28.0</v>
      </c>
      <c r="Q499" s="13" t="s">
        <v>399</v>
      </c>
    </row>
    <row r="500">
      <c r="A500" s="7">
        <v>609941.0</v>
      </c>
      <c r="B500" s="8" t="s">
        <v>1582</v>
      </c>
      <c r="C500" s="18" t="s">
        <v>1583</v>
      </c>
      <c r="D500" s="19">
        <v>0.198</v>
      </c>
      <c r="E500" s="18" t="s">
        <v>80</v>
      </c>
      <c r="F500" s="18" t="s">
        <v>186</v>
      </c>
      <c r="G500" s="15" t="s">
        <v>2031</v>
      </c>
      <c r="H500" s="12">
        <v>74.0</v>
      </c>
      <c r="I500" s="13" t="s">
        <v>52</v>
      </c>
      <c r="J500" s="14" t="s">
        <v>187</v>
      </c>
      <c r="K500" s="14">
        <v>9.0</v>
      </c>
      <c r="L500" s="14" t="str">
        <f t="array" ref="L500">INDEX('School Rep'!$A$2:$A$21, MATCH(J500, 'School Rep'!$B$2:$B$21, 0))</f>
        <v>Frank Niles Thomas</v>
      </c>
      <c r="M500" s="15">
        <v>3.4</v>
      </c>
      <c r="N500" s="16" t="s">
        <v>1584</v>
      </c>
      <c r="O500" s="8" t="str">
        <f t="shared" si="1"/>
        <v>7316 S Hoyne Ave </v>
      </c>
      <c r="P500" s="12">
        <v>17.0</v>
      </c>
      <c r="Q500" s="13" t="s">
        <v>189</v>
      </c>
    </row>
    <row r="501">
      <c r="A501" s="7">
        <v>610141.0</v>
      </c>
      <c r="B501" s="12" t="s">
        <v>1585</v>
      </c>
      <c r="C501" s="18" t="s">
        <v>1586</v>
      </c>
      <c r="D501" s="19">
        <v>0.032</v>
      </c>
      <c r="E501" s="18" t="s">
        <v>80</v>
      </c>
      <c r="F501" s="18" t="s">
        <v>270</v>
      </c>
      <c r="G501" s="15" t="s">
        <v>2035</v>
      </c>
      <c r="H501" s="12">
        <v>57.0</v>
      </c>
      <c r="I501" s="13" t="s">
        <v>20</v>
      </c>
      <c r="J501" s="14" t="s">
        <v>243</v>
      </c>
      <c r="K501" s="14">
        <v>4.0</v>
      </c>
      <c r="L501" s="14" t="str">
        <f t="array" ref="L501">INDEX('School Rep'!$A$2:$A$21, MATCH(J501, 'School Rep'!$B$2:$B$21, 0))</f>
        <v>Karen Zaccor</v>
      </c>
      <c r="M501" s="12">
        <v>1.8</v>
      </c>
      <c r="N501" s="16" t="s">
        <v>1587</v>
      </c>
      <c r="O501" s="8" t="str">
        <f t="shared" si="1"/>
        <v>4332 N Paulina St </v>
      </c>
      <c r="P501" s="12">
        <v>47.0</v>
      </c>
      <c r="Q501" s="13" t="s">
        <v>228</v>
      </c>
    </row>
    <row r="502">
      <c r="A502" s="7">
        <v>610142.0</v>
      </c>
      <c r="B502" s="13" t="s">
        <v>1588</v>
      </c>
      <c r="C502" s="18" t="s">
        <v>1589</v>
      </c>
      <c r="D502" s="19">
        <v>0.078</v>
      </c>
      <c r="E502" s="18" t="s">
        <v>80</v>
      </c>
      <c r="F502" s="18" t="s">
        <v>120</v>
      </c>
      <c r="G502" s="15" t="s">
        <v>2028</v>
      </c>
      <c r="H502" s="12">
        <v>69.0</v>
      </c>
      <c r="I502" s="13" t="s">
        <v>52</v>
      </c>
      <c r="J502" s="14" t="s">
        <v>121</v>
      </c>
      <c r="K502" s="14">
        <v>10.0</v>
      </c>
      <c r="L502" s="14" t="str">
        <f t="array" ref="L502">INDEX('School Rep'!$A$2:$A$21, MATCH(J502, 'School Rep'!$B$2:$B$21, 0))</f>
        <v>Che "Rhymefest" Smith</v>
      </c>
      <c r="M502" s="12">
        <v>2.3</v>
      </c>
      <c r="N502" s="16" t="s">
        <v>1590</v>
      </c>
      <c r="O502" s="8" t="str">
        <f t="shared" si="1"/>
        <v>5631 S Kimbark Ave </v>
      </c>
      <c r="P502" s="12">
        <v>5.0</v>
      </c>
      <c r="Q502" s="13" t="s">
        <v>357</v>
      </c>
    </row>
    <row r="503">
      <c r="A503" s="7">
        <v>610143.0</v>
      </c>
      <c r="B503" s="13" t="s">
        <v>1591</v>
      </c>
      <c r="C503" s="18" t="s">
        <v>1592</v>
      </c>
      <c r="D503" s="19">
        <v>0.19</v>
      </c>
      <c r="E503" s="18" t="s">
        <v>80</v>
      </c>
      <c r="F503" s="18" t="s">
        <v>120</v>
      </c>
      <c r="G503" s="15" t="s">
        <v>2028</v>
      </c>
      <c r="H503" s="12">
        <v>54.0</v>
      </c>
      <c r="I503" s="13" t="s">
        <v>20</v>
      </c>
      <c r="J503" s="14" t="s">
        <v>121</v>
      </c>
      <c r="K503" s="14">
        <v>10.0</v>
      </c>
      <c r="L503" s="14" t="str">
        <f t="array" ref="L503">INDEX('School Rep'!$A$2:$A$21, MATCH(J503, 'School Rep'!$B$2:$B$21, 0))</f>
        <v>Che "Rhymefest" Smith</v>
      </c>
      <c r="M503" s="12">
        <v>2.9</v>
      </c>
      <c r="N503" s="16" t="s">
        <v>1593</v>
      </c>
      <c r="O503" s="8" t="str">
        <f t="shared" si="1"/>
        <v>834 E 50th St </v>
      </c>
      <c r="P503" s="12">
        <v>4.0</v>
      </c>
      <c r="Q503" s="13" t="s">
        <v>123</v>
      </c>
    </row>
    <row r="504">
      <c r="A504" s="7">
        <v>610144.0</v>
      </c>
      <c r="B504" s="12" t="s">
        <v>1594</v>
      </c>
      <c r="C504" s="18" t="s">
        <v>1595</v>
      </c>
      <c r="D504" s="19">
        <v>0.095</v>
      </c>
      <c r="E504" s="18" t="s">
        <v>80</v>
      </c>
      <c r="F504" s="18" t="s">
        <v>102</v>
      </c>
      <c r="G504" s="15" t="s">
        <v>2025</v>
      </c>
      <c r="H504" s="12">
        <v>57.0</v>
      </c>
      <c r="I504" s="13" t="s">
        <v>20</v>
      </c>
      <c r="J504" s="14" t="s">
        <v>47</v>
      </c>
      <c r="K504" s="14">
        <v>3.0</v>
      </c>
      <c r="L504" s="14" t="str">
        <f t="array" ref="L504">INDEX('School Rep'!$A$2:$A$21, MATCH(J504, 'School Rep'!$B$2:$B$21, 0))</f>
        <v>Norma Rios-Sierra</v>
      </c>
      <c r="M504" s="12">
        <v>2.8</v>
      </c>
      <c r="N504" s="16" t="s">
        <v>1596</v>
      </c>
      <c r="O504" s="8" t="str">
        <f t="shared" si="1"/>
        <v>3650 W School St </v>
      </c>
      <c r="P504" s="12">
        <v>30.0</v>
      </c>
      <c r="Q504" s="13" t="s">
        <v>346</v>
      </c>
    </row>
    <row r="505">
      <c r="A505" s="7">
        <v>610145.0</v>
      </c>
      <c r="B505" s="13" t="s">
        <v>1597</v>
      </c>
      <c r="C505" s="18" t="s">
        <v>1598</v>
      </c>
      <c r="D505" s="19">
        <v>0.065</v>
      </c>
      <c r="E505" s="18" t="s">
        <v>80</v>
      </c>
      <c r="F505" s="18" t="s">
        <v>97</v>
      </c>
      <c r="G505" s="15" t="s">
        <v>2024</v>
      </c>
      <c r="H505" s="12">
        <v>40.0</v>
      </c>
      <c r="I505" s="13" t="s">
        <v>20</v>
      </c>
      <c r="J505" s="14" t="s">
        <v>222</v>
      </c>
      <c r="K505" s="14">
        <v>1.0</v>
      </c>
      <c r="L505" s="14" t="str">
        <f t="array" ref="L505">INDEX('School Rep'!$A$2:$A$21, MATCH(J505, 'School Rep'!$B$2:$B$21, 0))</f>
        <v>Jennifer Custer</v>
      </c>
      <c r="M505" s="12">
        <v>2.7</v>
      </c>
      <c r="N505" s="16" t="s">
        <v>1599</v>
      </c>
      <c r="O505" s="8" t="str">
        <f t="shared" si="1"/>
        <v>3425 N Major Ave </v>
      </c>
      <c r="P505" s="12">
        <v>30.0</v>
      </c>
      <c r="Q505" s="13" t="s">
        <v>346</v>
      </c>
    </row>
    <row r="506">
      <c r="A506" s="7">
        <v>610146.0</v>
      </c>
      <c r="B506" s="13" t="s">
        <v>1600</v>
      </c>
      <c r="C506" s="18" t="s">
        <v>1601</v>
      </c>
      <c r="D506" s="19">
        <v>0.162</v>
      </c>
      <c r="E506" s="18" t="s">
        <v>80</v>
      </c>
      <c r="F506" s="18" t="s">
        <v>144</v>
      </c>
      <c r="G506" s="15" t="s">
        <v>2030</v>
      </c>
      <c r="H506" s="12">
        <v>48.0</v>
      </c>
      <c r="I506" s="13" t="s">
        <v>20</v>
      </c>
      <c r="J506" s="14" t="s">
        <v>121</v>
      </c>
      <c r="K506" s="14">
        <v>10.0</v>
      </c>
      <c r="L506" s="14" t="str">
        <f t="array" ref="L506">INDEX('School Rep'!$A$2:$A$21, MATCH(J506, 'School Rep'!$B$2:$B$21, 0))</f>
        <v>Che "Rhymefest" Smith</v>
      </c>
      <c r="M506" s="12">
        <v>3.1</v>
      </c>
      <c r="N506" s="16" t="s">
        <v>1602</v>
      </c>
      <c r="O506" s="8" t="str">
        <f t="shared" si="1"/>
        <v>1010 E 72Nd St </v>
      </c>
      <c r="P506" s="12">
        <v>5.0</v>
      </c>
      <c r="Q506" s="13" t="s">
        <v>357</v>
      </c>
    </row>
    <row r="507">
      <c r="A507" s="7">
        <v>609682.0</v>
      </c>
      <c r="B507" s="8" t="s">
        <v>1603</v>
      </c>
      <c r="C507" s="9" t="s">
        <v>1604</v>
      </c>
      <c r="D507" s="10">
        <v>0.221</v>
      </c>
      <c r="E507" s="11" t="s">
        <v>80</v>
      </c>
      <c r="F507" s="11" t="s">
        <v>92</v>
      </c>
      <c r="G507" s="15" t="s">
        <v>2023</v>
      </c>
      <c r="H507" s="12">
        <v>52.0</v>
      </c>
      <c r="I507" s="13" t="s">
        <v>20</v>
      </c>
      <c r="J507" s="14" t="s">
        <v>26</v>
      </c>
      <c r="K507" s="14">
        <v>8.0</v>
      </c>
      <c r="L507" s="14" t="str">
        <f t="array" ref="L507">INDEX('School Rep'!$A$2:$A$21, MATCH(J507, 'School Rep'!$B$2:$B$21, 0))</f>
        <v>Cydney Wallace</v>
      </c>
      <c r="M507" s="15">
        <v>3.6</v>
      </c>
      <c r="N507" s="16" t="s">
        <v>1605</v>
      </c>
      <c r="O507" s="8" t="str">
        <f t="shared" si="1"/>
        <v>5009 S Laflin St </v>
      </c>
      <c r="P507" s="12">
        <v>20.0</v>
      </c>
      <c r="Q507" s="13" t="s">
        <v>368</v>
      </c>
    </row>
    <row r="508">
      <c r="A508" s="7">
        <v>610588.0</v>
      </c>
      <c r="B508" s="8" t="s">
        <v>1606</v>
      </c>
      <c r="C508" s="17" t="s">
        <v>1607</v>
      </c>
      <c r="D508" s="10">
        <v>0.043</v>
      </c>
      <c r="E508" s="11" t="s">
        <v>80</v>
      </c>
      <c r="F508" s="11" t="s">
        <v>138</v>
      </c>
      <c r="G508" s="15" t="s">
        <v>2029</v>
      </c>
      <c r="H508" s="12">
        <v>58.0</v>
      </c>
      <c r="I508" s="13" t="s">
        <v>20</v>
      </c>
      <c r="J508" s="14" t="s">
        <v>139</v>
      </c>
      <c r="K508" s="14">
        <v>8.0</v>
      </c>
      <c r="L508" s="14" t="str">
        <f t="array" ref="L508">INDEX('School Rep'!$A$2:$A$21, MATCH(J508, 'School Rep'!$B$2:$B$21, 0))</f>
        <v>Angel Gutierrez</v>
      </c>
      <c r="M508" s="15">
        <v>3.2</v>
      </c>
      <c r="N508" s="16" t="s">
        <v>1608</v>
      </c>
      <c r="O508" s="8" t="str">
        <f t="shared" si="1"/>
        <v>6018 S Karlov </v>
      </c>
      <c r="P508" s="12">
        <v>13.0</v>
      </c>
      <c r="Q508" s="13" t="s">
        <v>250</v>
      </c>
    </row>
    <row r="509">
      <c r="A509" s="7">
        <v>610390.0</v>
      </c>
      <c r="B509" s="13" t="s">
        <v>1609</v>
      </c>
      <c r="C509" s="18" t="s">
        <v>1610</v>
      </c>
      <c r="D509" s="19">
        <v>0.048</v>
      </c>
      <c r="E509" s="18" t="s">
        <v>80</v>
      </c>
      <c r="F509" s="18" t="s">
        <v>126</v>
      </c>
      <c r="G509" s="15" t="e">
        <v>#N/A</v>
      </c>
      <c r="H509" s="15"/>
      <c r="I509" s="8"/>
      <c r="J509" s="14" t="s">
        <v>222</v>
      </c>
      <c r="K509" s="14">
        <v>1.0</v>
      </c>
      <c r="L509" s="14" t="str">
        <f t="array" ref="L509">INDEX('School Rep'!$A$2:$A$21, MATCH(J509, 'School Rep'!$B$2:$B$21, 0))</f>
        <v>Jennifer Custer</v>
      </c>
      <c r="M509" s="12">
        <v>2.2</v>
      </c>
      <c r="N509" s="16" t="s">
        <v>1611</v>
      </c>
      <c r="O509" s="8" t="str">
        <f t="shared" si="1"/>
        <v>5700 W Berteau Ave </v>
      </c>
      <c r="P509" s="12">
        <v>38.0</v>
      </c>
      <c r="Q509" s="13" t="s">
        <v>279</v>
      </c>
    </row>
    <row r="510">
      <c r="A510" s="7">
        <v>610256.0</v>
      </c>
      <c r="B510" s="13" t="s">
        <v>1612</v>
      </c>
      <c r="C510" s="18" t="s">
        <v>1613</v>
      </c>
      <c r="D510" s="19">
        <v>0.194</v>
      </c>
      <c r="E510" s="18" t="s">
        <v>80</v>
      </c>
      <c r="F510" s="18" t="s">
        <v>120</v>
      </c>
      <c r="G510" s="15" t="s">
        <v>2028</v>
      </c>
      <c r="H510" s="12">
        <v>72.0</v>
      </c>
      <c r="I510" s="13" t="s">
        <v>52</v>
      </c>
      <c r="J510" s="14" t="s">
        <v>121</v>
      </c>
      <c r="K510" s="14">
        <v>10.0</v>
      </c>
      <c r="L510" s="14" t="str">
        <f t="array" ref="L510">INDEX('School Rep'!$A$2:$A$21, MATCH(J510, 'School Rep'!$B$2:$B$21, 0))</f>
        <v>Che "Rhymefest" Smith</v>
      </c>
      <c r="M510" s="12">
        <v>3.2</v>
      </c>
      <c r="N510" s="16" t="s">
        <v>1614</v>
      </c>
      <c r="O510" s="8" t="str">
        <f t="shared" si="1"/>
        <v>4225 S Lake Park Ave </v>
      </c>
      <c r="P510" s="12">
        <v>4.0</v>
      </c>
      <c r="Q510" s="13" t="s">
        <v>123</v>
      </c>
    </row>
    <row r="511">
      <c r="A511" s="7">
        <v>610147.0</v>
      </c>
      <c r="B511" s="13" t="s">
        <v>1615</v>
      </c>
      <c r="C511" s="18" t="s">
        <v>1616</v>
      </c>
      <c r="D511" s="19">
        <v>0.058</v>
      </c>
      <c r="E511" s="18" t="s">
        <v>80</v>
      </c>
      <c r="F511" s="18" t="s">
        <v>270</v>
      </c>
      <c r="G511" s="15" t="s">
        <v>2035</v>
      </c>
      <c r="H511" s="12">
        <v>63.0</v>
      </c>
      <c r="I511" s="13" t="s">
        <v>52</v>
      </c>
      <c r="J511" s="14" t="s">
        <v>36</v>
      </c>
      <c r="K511" s="14">
        <v>2.0</v>
      </c>
      <c r="L511" s="14" t="str">
        <f t="array" ref="L511">INDEX('School Rep'!$A$2:$A$21, MATCH(J511, 'School Rep'!$B$2:$B$21, 0))</f>
        <v>Ebony DeBerry</v>
      </c>
      <c r="M511" s="12">
        <v>2.6</v>
      </c>
      <c r="N511" s="16" t="s">
        <v>1617</v>
      </c>
      <c r="O511" s="8" t="str">
        <f t="shared" si="1"/>
        <v>7345 N Washtenaw Ave </v>
      </c>
      <c r="P511" s="12">
        <v>50.0</v>
      </c>
      <c r="Q511" s="13" t="s">
        <v>131</v>
      </c>
    </row>
    <row r="512">
      <c r="A512" s="7">
        <v>609728.0</v>
      </c>
      <c r="B512" s="13" t="s">
        <v>1618</v>
      </c>
      <c r="C512" s="9" t="s">
        <v>1619</v>
      </c>
      <c r="D512" s="10">
        <v>0.193</v>
      </c>
      <c r="E512" s="11" t="s">
        <v>80</v>
      </c>
      <c r="F512" s="11" t="s">
        <v>116</v>
      </c>
      <c r="G512" s="15" t="s">
        <v>2027</v>
      </c>
      <c r="H512" s="12">
        <v>54.0</v>
      </c>
      <c r="I512" s="13" t="s">
        <v>20</v>
      </c>
      <c r="J512" s="14" t="s">
        <v>47</v>
      </c>
      <c r="K512" s="14">
        <v>3.0</v>
      </c>
      <c r="L512" s="14" t="str">
        <f t="array" ref="L512">INDEX('School Rep'!$A$2:$A$21, MATCH(J512, 'School Rep'!$B$2:$B$21, 0))</f>
        <v>Norma Rios-Sierra</v>
      </c>
      <c r="M512" s="12">
        <v>2.2</v>
      </c>
      <c r="N512" s="16" t="s">
        <v>1620</v>
      </c>
      <c r="O512" s="8" t="str">
        <f t="shared" si="1"/>
        <v>3436 W Wilson Ave </v>
      </c>
      <c r="P512" s="12">
        <v>33.0</v>
      </c>
      <c r="Q512" s="13" t="s">
        <v>99</v>
      </c>
    </row>
    <row r="513">
      <c r="A513" s="7">
        <v>400096.0</v>
      </c>
      <c r="B513" s="8" t="s">
        <v>1621</v>
      </c>
      <c r="C513" s="9" t="s">
        <v>1622</v>
      </c>
      <c r="D513" s="10">
        <v>0.058</v>
      </c>
      <c r="E513" s="11" t="s">
        <v>19</v>
      </c>
      <c r="F513" s="11" t="s">
        <v>19</v>
      </c>
      <c r="G513" s="15" t="e">
        <v>#N/A</v>
      </c>
      <c r="H513" s="12">
        <v>45.0</v>
      </c>
      <c r="I513" s="13" t="s">
        <v>20</v>
      </c>
      <c r="J513" s="14" t="s">
        <v>462</v>
      </c>
      <c r="K513" s="14">
        <v>6.0</v>
      </c>
      <c r="L513" s="14" t="str">
        <f t="array" ref="L513">INDEX('School Rep'!$A$2:$A$21, MATCH(J513, 'School Rep'!$B$2:$B$21, 0))</f>
        <v>Anusha Thotakura</v>
      </c>
      <c r="M513" s="15">
        <v>2.7</v>
      </c>
      <c r="N513" s="16" t="s">
        <v>1623</v>
      </c>
      <c r="O513" s="8" t="str">
        <f t="shared" si="1"/>
        <v>1424 N Cleaver St </v>
      </c>
      <c r="P513" s="12">
        <v>1.0</v>
      </c>
      <c r="Q513" s="13" t="s">
        <v>275</v>
      </c>
    </row>
    <row r="514">
      <c r="A514" s="7">
        <v>610308.0</v>
      </c>
      <c r="B514" s="8" t="s">
        <v>1624</v>
      </c>
      <c r="C514" s="18" t="s">
        <v>1625</v>
      </c>
      <c r="D514" s="19">
        <v>0.0</v>
      </c>
      <c r="E514" s="18" t="s">
        <v>80</v>
      </c>
      <c r="F514" s="18" t="s">
        <v>301</v>
      </c>
      <c r="G514" s="15" t="s">
        <v>2037</v>
      </c>
      <c r="H514" s="15"/>
      <c r="I514" s="8"/>
      <c r="J514" s="15" t="s">
        <v>384</v>
      </c>
      <c r="K514" s="15" t="s">
        <v>384</v>
      </c>
      <c r="L514" s="15" t="s">
        <v>384</v>
      </c>
      <c r="M514" s="15">
        <v>2.9</v>
      </c>
      <c r="N514" s="16" t="s">
        <v>1626</v>
      </c>
      <c r="O514" s="8" t="str">
        <f t="shared" si="1"/>
        <v>1628 W Washington Blvd </v>
      </c>
      <c r="P514" s="12">
        <v>27.0</v>
      </c>
      <c r="Q514" s="13" t="s">
        <v>219</v>
      </c>
    </row>
    <row r="515">
      <c r="A515" s="7">
        <v>610152.0</v>
      </c>
      <c r="B515" s="13" t="s">
        <v>1627</v>
      </c>
      <c r="C515" s="18" t="s">
        <v>1628</v>
      </c>
      <c r="D515" s="19">
        <v>0.149</v>
      </c>
      <c r="E515" s="18" t="s">
        <v>80</v>
      </c>
      <c r="F515" s="18" t="s">
        <v>144</v>
      </c>
      <c r="G515" s="15" t="s">
        <v>2030</v>
      </c>
      <c r="H515" s="12">
        <v>46.0</v>
      </c>
      <c r="I515" s="13" t="s">
        <v>20</v>
      </c>
      <c r="J515" s="14" t="s">
        <v>121</v>
      </c>
      <c r="K515" s="14">
        <v>10.0</v>
      </c>
      <c r="L515" s="14" t="str">
        <f t="array" ref="L515">INDEX('School Rep'!$A$2:$A$21, MATCH(J515, 'School Rep'!$B$2:$B$21, 0))</f>
        <v>Che "Rhymefest" Smith</v>
      </c>
      <c r="M515" s="12">
        <v>3.3</v>
      </c>
      <c r="N515" s="16" t="s">
        <v>1629</v>
      </c>
      <c r="O515" s="8" t="str">
        <f t="shared" si="1"/>
        <v>7831 S Prairie Ave </v>
      </c>
      <c r="P515" s="12">
        <v>6.0</v>
      </c>
      <c r="Q515" s="13" t="s">
        <v>306</v>
      </c>
    </row>
    <row r="516">
      <c r="A516" s="7">
        <v>610125.0</v>
      </c>
      <c r="B516" s="8" t="s">
        <v>1630</v>
      </c>
      <c r="C516" s="18" t="s">
        <v>1631</v>
      </c>
      <c r="D516" s="19">
        <v>0.09</v>
      </c>
      <c r="E516" s="18" t="s">
        <v>80</v>
      </c>
      <c r="F516" s="18" t="s">
        <v>529</v>
      </c>
      <c r="G516" s="15" t="s">
        <v>2039</v>
      </c>
      <c r="H516" s="12">
        <v>57.0</v>
      </c>
      <c r="I516" s="13" t="s">
        <v>20</v>
      </c>
      <c r="J516" s="14" t="s">
        <v>42</v>
      </c>
      <c r="K516" s="14">
        <v>7.0</v>
      </c>
      <c r="L516" s="14" t="str">
        <f t="array" ref="L516">INDEX('School Rep'!$A$2:$A$21, MATCH(J516, 'School Rep'!$B$2:$B$21, 0))</f>
        <v>Emma Lozano</v>
      </c>
      <c r="M516" s="15">
        <v>3.8</v>
      </c>
      <c r="N516" s="16" t="s">
        <v>1632</v>
      </c>
      <c r="O516" s="8" t="str">
        <f t="shared" si="1"/>
        <v>2410 S Leavitt St </v>
      </c>
      <c r="P516" s="12">
        <v>25.0</v>
      </c>
      <c r="Q516" s="13" t="s">
        <v>44</v>
      </c>
    </row>
    <row r="517">
      <c r="A517" s="7">
        <v>610153.0</v>
      </c>
      <c r="B517" s="8" t="s">
        <v>1633</v>
      </c>
      <c r="C517" s="18" t="s">
        <v>1634</v>
      </c>
      <c r="D517" s="19">
        <v>0.148</v>
      </c>
      <c r="E517" s="18" t="s">
        <v>80</v>
      </c>
      <c r="F517" s="18" t="s">
        <v>186</v>
      </c>
      <c r="G517" s="15" t="s">
        <v>2031</v>
      </c>
      <c r="H517" s="12">
        <v>59.0</v>
      </c>
      <c r="I517" s="13" t="s">
        <v>20</v>
      </c>
      <c r="J517" s="14" t="s">
        <v>187</v>
      </c>
      <c r="K517" s="14">
        <v>9.0</v>
      </c>
      <c r="L517" s="14" t="str">
        <f t="array" ref="L517">INDEX('School Rep'!$A$2:$A$21, MATCH(J517, 'School Rep'!$B$2:$B$21, 0))</f>
        <v>Frank Niles Thomas</v>
      </c>
      <c r="M517" s="15">
        <v>3.7</v>
      </c>
      <c r="N517" s="16" t="s">
        <v>1635</v>
      </c>
      <c r="O517" s="8" t="str">
        <f t="shared" si="1"/>
        <v>8716 S Wallace St </v>
      </c>
      <c r="P517" s="12">
        <v>21.0</v>
      </c>
      <c r="Q517" s="13" t="s">
        <v>428</v>
      </c>
    </row>
    <row r="518">
      <c r="A518" s="7">
        <v>610342.0</v>
      </c>
      <c r="B518" s="8" t="s">
        <v>1636</v>
      </c>
      <c r="C518" s="18" t="s">
        <v>1637</v>
      </c>
      <c r="D518" s="19">
        <v>0.102</v>
      </c>
      <c r="E518" s="18" t="s">
        <v>80</v>
      </c>
      <c r="F518" s="18" t="s">
        <v>301</v>
      </c>
      <c r="G518" s="15" t="s">
        <v>2037</v>
      </c>
      <c r="H518" s="12">
        <v>45.0</v>
      </c>
      <c r="I518" s="13" t="s">
        <v>20</v>
      </c>
      <c r="J518" s="14" t="s">
        <v>462</v>
      </c>
      <c r="K518" s="14">
        <v>6.0</v>
      </c>
      <c r="L518" s="14" t="str">
        <f t="array" ref="L518">INDEX('School Rep'!$A$2:$A$21, MATCH(J518, 'School Rep'!$B$2:$B$21, 0))</f>
        <v>Anusha Thotakura</v>
      </c>
      <c r="M518" s="15">
        <v>2.5</v>
      </c>
      <c r="N518" s="16" t="s">
        <v>1638</v>
      </c>
      <c r="O518" s="8" t="str">
        <f t="shared" si="1"/>
        <v>2216 W Hirsch St </v>
      </c>
      <c r="P518" s="12">
        <v>1.0</v>
      </c>
      <c r="Q518" s="13" t="s">
        <v>275</v>
      </c>
    </row>
    <row r="519">
      <c r="A519" s="7">
        <v>610586.0</v>
      </c>
      <c r="B519" s="13" t="s">
        <v>1639</v>
      </c>
      <c r="C519" s="11" t="s">
        <v>1640</v>
      </c>
      <c r="D519" s="10">
        <v>0.074</v>
      </c>
      <c r="E519" s="11" t="s">
        <v>80</v>
      </c>
      <c r="F519" s="11" t="s">
        <v>81</v>
      </c>
      <c r="G519" s="15" t="s">
        <v>2022</v>
      </c>
      <c r="H519" s="12">
        <v>52.0</v>
      </c>
      <c r="I519" s="13" t="s">
        <v>20</v>
      </c>
      <c r="J519" s="14" t="s">
        <v>82</v>
      </c>
      <c r="K519" s="14">
        <v>10.0</v>
      </c>
      <c r="L519" s="14" t="str">
        <f t="array" ref="L519">INDEX('School Rep'!$A$2:$A$21, MATCH(J519, 'School Rep'!$B$2:$B$21, 0))</f>
        <v>Olga Bautista</v>
      </c>
      <c r="M519" s="12">
        <v>3.1</v>
      </c>
      <c r="N519" s="16" t="s">
        <v>1641</v>
      </c>
      <c r="O519" s="8" t="str">
        <f t="shared" si="1"/>
        <v>3930 E 105Th </v>
      </c>
      <c r="P519" s="12">
        <v>10.0</v>
      </c>
      <c r="Q519" s="13" t="s">
        <v>84</v>
      </c>
    </row>
    <row r="520">
      <c r="A520" s="7">
        <v>610572.0</v>
      </c>
      <c r="B520" s="8" t="s">
        <v>1642</v>
      </c>
      <c r="C520" s="9" t="s">
        <v>1643</v>
      </c>
      <c r="D520" s="10">
        <v>0.0</v>
      </c>
      <c r="E520" s="11" t="s">
        <v>1644</v>
      </c>
      <c r="F520" s="11" t="s">
        <v>426</v>
      </c>
      <c r="G520" s="15" t="s">
        <v>2038</v>
      </c>
      <c r="H520" s="12">
        <v>95.0</v>
      </c>
      <c r="I520" s="13" t="s">
        <v>248</v>
      </c>
      <c r="J520" s="15" t="s">
        <v>384</v>
      </c>
      <c r="K520" s="15" t="s">
        <v>384</v>
      </c>
      <c r="L520" s="15" t="s">
        <v>384</v>
      </c>
      <c r="M520" s="15" t="s">
        <v>384</v>
      </c>
      <c r="N520" s="16" t="s">
        <v>1645</v>
      </c>
      <c r="O520" s="8" t="str">
        <f t="shared" si="1"/>
        <v>7877 S Coles Ave </v>
      </c>
      <c r="P520" s="12">
        <v>7.0</v>
      </c>
      <c r="Q520" s="13" t="s">
        <v>260</v>
      </c>
    </row>
    <row r="521">
      <c r="A521" s="7">
        <v>610573.0</v>
      </c>
      <c r="B521" s="8" t="s">
        <v>1646</v>
      </c>
      <c r="C521" s="18" t="s">
        <v>1647</v>
      </c>
      <c r="D521" s="19">
        <v>0.0</v>
      </c>
      <c r="E521" s="18" t="s">
        <v>1644</v>
      </c>
      <c r="F521" s="18" t="s">
        <v>426</v>
      </c>
      <c r="G521" s="15" t="s">
        <v>2038</v>
      </c>
      <c r="H521" s="12">
        <v>95.0</v>
      </c>
      <c r="I521" s="13" t="s">
        <v>248</v>
      </c>
      <c r="J521" s="15" t="s">
        <v>384</v>
      </c>
      <c r="K521" s="15" t="s">
        <v>384</v>
      </c>
      <c r="L521" s="15" t="s">
        <v>384</v>
      </c>
      <c r="M521" s="15" t="s">
        <v>384</v>
      </c>
      <c r="N521" s="16" t="s">
        <v>1645</v>
      </c>
      <c r="O521" s="8" t="str">
        <f t="shared" si="1"/>
        <v>7877 S Coles Ave </v>
      </c>
      <c r="P521" s="12">
        <v>7.0</v>
      </c>
      <c r="Q521" s="13" t="s">
        <v>260</v>
      </c>
    </row>
    <row r="522">
      <c r="A522" s="7">
        <v>610601.0</v>
      </c>
      <c r="B522" s="8" t="s">
        <v>1648</v>
      </c>
      <c r="C522" s="18" t="s">
        <v>1649</v>
      </c>
      <c r="D522" s="19">
        <v>0.0</v>
      </c>
      <c r="E522" s="18" t="s">
        <v>1644</v>
      </c>
      <c r="F522" s="18" t="s">
        <v>426</v>
      </c>
      <c r="G522" s="15" t="s">
        <v>2038</v>
      </c>
      <c r="H522" s="12">
        <v>95.0</v>
      </c>
      <c r="I522" s="13" t="s">
        <v>248</v>
      </c>
      <c r="J522" s="15" t="s">
        <v>384</v>
      </c>
      <c r="K522" s="15" t="s">
        <v>384</v>
      </c>
      <c r="L522" s="15" t="s">
        <v>384</v>
      </c>
      <c r="M522" s="15" t="s">
        <v>384</v>
      </c>
      <c r="N522" s="16" t="s">
        <v>1645</v>
      </c>
      <c r="O522" s="8" t="str">
        <f t="shared" si="1"/>
        <v>7877 S Coles Ave </v>
      </c>
      <c r="P522" s="12">
        <v>7.0</v>
      </c>
      <c r="Q522" s="13" t="s">
        <v>260</v>
      </c>
    </row>
    <row r="523">
      <c r="A523" s="7">
        <v>610250.0</v>
      </c>
      <c r="B523" s="8" t="s">
        <v>1650</v>
      </c>
      <c r="C523" s="18" t="s">
        <v>1651</v>
      </c>
      <c r="D523" s="19">
        <v>0.344</v>
      </c>
      <c r="E523" s="18" t="s">
        <v>80</v>
      </c>
      <c r="F523" s="18" t="s">
        <v>126</v>
      </c>
      <c r="G523" s="15" t="e">
        <v>#N/A</v>
      </c>
      <c r="H523" s="12">
        <v>48.0</v>
      </c>
      <c r="I523" s="13" t="s">
        <v>20</v>
      </c>
      <c r="J523" s="14" t="s">
        <v>462</v>
      </c>
      <c r="K523" s="14">
        <v>6.0</v>
      </c>
      <c r="L523" s="14" t="str">
        <f t="array" ref="L523">INDEX('School Rep'!$A$2:$A$21, MATCH(J523, 'School Rep'!$B$2:$B$21, 0))</f>
        <v>Anusha Thotakura</v>
      </c>
      <c r="M523" s="15">
        <v>3.3</v>
      </c>
      <c r="N523" s="16" t="s">
        <v>1652</v>
      </c>
      <c r="O523" s="8" t="str">
        <f t="shared" si="1"/>
        <v>160 W Wendell St </v>
      </c>
      <c r="P523" s="12">
        <v>27.0</v>
      </c>
      <c r="Q523" s="13" t="s">
        <v>219</v>
      </c>
    </row>
    <row r="524">
      <c r="A524" s="7">
        <v>610226.0</v>
      </c>
      <c r="B524" s="8" t="s">
        <v>1653</v>
      </c>
      <c r="C524" s="9" t="s">
        <v>1654</v>
      </c>
      <c r="D524" s="10">
        <v>0.082</v>
      </c>
      <c r="E524" s="11" t="s">
        <v>80</v>
      </c>
      <c r="F524" s="11" t="s">
        <v>285</v>
      </c>
      <c r="G524" s="15" t="s">
        <v>2036</v>
      </c>
      <c r="H524" s="12">
        <v>60.0</v>
      </c>
      <c r="I524" s="13" t="s">
        <v>52</v>
      </c>
      <c r="J524" s="14" t="s">
        <v>21</v>
      </c>
      <c r="K524" s="14">
        <v>7.0</v>
      </c>
      <c r="L524" s="14" t="str">
        <f t="array" ref="L524">INDEX('School Rep'!$A$2:$A$21, MATCH(J524, 'School Rep'!$B$2:$B$21, 0))</f>
        <v>Yesenia Lopez</v>
      </c>
      <c r="M524" s="15">
        <v>3.5</v>
      </c>
      <c r="N524" s="16" t="s">
        <v>1655</v>
      </c>
      <c r="O524" s="8" t="str">
        <f t="shared" si="1"/>
        <v>5534 S Saint Louis Ave </v>
      </c>
      <c r="P524" s="12">
        <v>14.0</v>
      </c>
      <c r="Q524" s="13" t="s">
        <v>54</v>
      </c>
    </row>
    <row r="525">
      <c r="A525" s="7">
        <v>610017.0</v>
      </c>
      <c r="B525" s="8" t="s">
        <v>1656</v>
      </c>
      <c r="C525" s="18" t="s">
        <v>1657</v>
      </c>
      <c r="D525" s="19">
        <v>0.057</v>
      </c>
      <c r="E525" s="18" t="s">
        <v>80</v>
      </c>
      <c r="F525" s="18" t="s">
        <v>529</v>
      </c>
      <c r="G525" s="15" t="s">
        <v>2039</v>
      </c>
      <c r="H525" s="15"/>
      <c r="I525" s="8"/>
      <c r="J525" s="14" t="s">
        <v>42</v>
      </c>
      <c r="K525" s="14">
        <v>7.0</v>
      </c>
      <c r="L525" s="14" t="str">
        <f t="array" ref="L525">INDEX('School Rep'!$A$2:$A$21, MATCH(J525, 'School Rep'!$B$2:$B$21, 0))</f>
        <v>Emma Lozano</v>
      </c>
      <c r="M525" s="15">
        <v>3.8</v>
      </c>
      <c r="N525" s="16" t="s">
        <v>1658</v>
      </c>
      <c r="O525" s="8" t="str">
        <f t="shared" si="1"/>
        <v>2850 W 24th Blvd </v>
      </c>
      <c r="P525" s="12">
        <v>24.0</v>
      </c>
      <c r="Q525" s="13" t="s">
        <v>517</v>
      </c>
    </row>
    <row r="526">
      <c r="A526" s="7">
        <v>610155.0</v>
      </c>
      <c r="B526" s="13" t="s">
        <v>1659</v>
      </c>
      <c r="C526" s="17" t="s">
        <v>1660</v>
      </c>
      <c r="D526" s="10">
        <v>0.039</v>
      </c>
      <c r="E526" s="11" t="s">
        <v>80</v>
      </c>
      <c r="F526" s="11" t="s">
        <v>97</v>
      </c>
      <c r="G526" s="15" t="s">
        <v>2024</v>
      </c>
      <c r="H526" s="12">
        <v>64.0</v>
      </c>
      <c r="I526" s="13" t="s">
        <v>52</v>
      </c>
      <c r="J526" s="14" t="s">
        <v>199</v>
      </c>
      <c r="K526" s="14">
        <v>1.0</v>
      </c>
      <c r="L526" s="14" t="str">
        <f t="array" ref="L526">INDEX('School Rep'!$A$2:$A$21, MATCH(J526, 'School Rep'!$B$2:$B$21, 0))</f>
        <v>Ed Bannon</v>
      </c>
      <c r="M526" s="12">
        <v>1.5</v>
      </c>
      <c r="N526" s="16" t="s">
        <v>1661</v>
      </c>
      <c r="O526" s="8" t="str">
        <f t="shared" si="1"/>
        <v>6040 N Kilpatrick Ave </v>
      </c>
      <c r="P526" s="12">
        <v>39.0</v>
      </c>
      <c r="Q526" s="13" t="s">
        <v>224</v>
      </c>
    </row>
    <row r="527">
      <c r="A527" s="7">
        <v>610157.0</v>
      </c>
      <c r="B527" s="8" t="s">
        <v>1662</v>
      </c>
      <c r="C527" s="18" t="s">
        <v>1663</v>
      </c>
      <c r="D527" s="19">
        <v>0.076</v>
      </c>
      <c r="E527" s="18" t="s">
        <v>80</v>
      </c>
      <c r="F527" s="18" t="s">
        <v>285</v>
      </c>
      <c r="G527" s="15" t="s">
        <v>2036</v>
      </c>
      <c r="H527" s="12">
        <v>24.0</v>
      </c>
      <c r="I527" s="13" t="s">
        <v>41</v>
      </c>
      <c r="J527" s="14" t="s">
        <v>21</v>
      </c>
      <c r="K527" s="14">
        <v>7.0</v>
      </c>
      <c r="L527" s="14" t="str">
        <f t="array" ref="L527">INDEX('School Rep'!$A$2:$A$21, MATCH(J527, 'School Rep'!$B$2:$B$21, 0))</f>
        <v>Yesenia Lopez</v>
      </c>
      <c r="M527" s="15">
        <v>3.4</v>
      </c>
      <c r="N527" s="16" t="s">
        <v>1664</v>
      </c>
      <c r="O527" s="8" t="str">
        <f t="shared" si="1"/>
        <v>5248 S Sawyer Ave </v>
      </c>
      <c r="P527" s="12">
        <v>14.0</v>
      </c>
      <c r="Q527" s="13" t="s">
        <v>54</v>
      </c>
    </row>
    <row r="528">
      <c r="A528" s="7">
        <v>610158.0</v>
      </c>
      <c r="B528" s="12" t="s">
        <v>1665</v>
      </c>
      <c r="C528" s="18" t="s">
        <v>1666</v>
      </c>
      <c r="D528" s="19">
        <v>0.109</v>
      </c>
      <c r="E528" s="18" t="s">
        <v>80</v>
      </c>
      <c r="F528" s="18" t="s">
        <v>231</v>
      </c>
      <c r="G528" s="15" t="s">
        <v>2033</v>
      </c>
      <c r="H528" s="12">
        <v>27.0</v>
      </c>
      <c r="I528" s="13" t="s">
        <v>41</v>
      </c>
      <c r="J528" s="14" t="s">
        <v>31</v>
      </c>
      <c r="K528" s="14">
        <v>5.0</v>
      </c>
      <c r="L528" s="14" t="str">
        <f t="array" ref="L528">INDEX('School Rep'!$A$2:$A$21, MATCH(J528, 'School Rep'!$B$2:$B$21, 0))</f>
        <v>Aaron "Jitu" Brown</v>
      </c>
      <c r="M528" s="12">
        <v>2.8</v>
      </c>
      <c r="N528" s="16" t="s">
        <v>1667</v>
      </c>
      <c r="O528" s="8" t="str">
        <f t="shared" si="1"/>
        <v>1850 N Newland Ave </v>
      </c>
      <c r="P528" s="12">
        <v>29.0</v>
      </c>
      <c r="Q528" s="13" t="s">
        <v>33</v>
      </c>
    </row>
    <row r="529">
      <c r="A529" s="7">
        <v>610159.0</v>
      </c>
      <c r="B529" s="12" t="s">
        <v>1668</v>
      </c>
      <c r="C529" s="18" t="s">
        <v>1669</v>
      </c>
      <c r="D529" s="19">
        <v>0.102</v>
      </c>
      <c r="E529" s="18" t="s">
        <v>80</v>
      </c>
      <c r="F529" s="18" t="s">
        <v>97</v>
      </c>
      <c r="G529" s="15" t="s">
        <v>2024</v>
      </c>
      <c r="H529" s="12">
        <v>44.0</v>
      </c>
      <c r="I529" s="13" t="s">
        <v>20</v>
      </c>
      <c r="J529" s="14" t="s">
        <v>47</v>
      </c>
      <c r="K529" s="14">
        <v>3.0</v>
      </c>
      <c r="L529" s="14" t="str">
        <f t="array" ref="L529">INDEX('School Rep'!$A$2:$A$21, MATCH(J529, 'School Rep'!$B$2:$B$21, 0))</f>
        <v>Norma Rios-Sierra</v>
      </c>
      <c r="M529" s="12">
        <v>2.6</v>
      </c>
      <c r="N529" s="16" t="s">
        <v>1670</v>
      </c>
      <c r="O529" s="8" t="str">
        <f t="shared" si="1"/>
        <v>4201 W Henderson St </v>
      </c>
      <c r="P529" s="12">
        <v>30.0</v>
      </c>
      <c r="Q529" s="13" t="s">
        <v>346</v>
      </c>
    </row>
    <row r="530">
      <c r="A530" s="7">
        <v>610178.0</v>
      </c>
      <c r="B530" s="13" t="s">
        <v>1671</v>
      </c>
      <c r="C530" s="18" t="s">
        <v>1672</v>
      </c>
      <c r="D530" s="19">
        <v>0.112</v>
      </c>
      <c r="E530" s="18" t="s">
        <v>80</v>
      </c>
      <c r="F530" s="18" t="s">
        <v>144</v>
      </c>
      <c r="G530" s="15" t="s">
        <v>2030</v>
      </c>
      <c r="H530" s="12">
        <v>46.0</v>
      </c>
      <c r="I530" s="13" t="s">
        <v>20</v>
      </c>
      <c r="J530" s="14" t="s">
        <v>82</v>
      </c>
      <c r="K530" s="14">
        <v>10.0</v>
      </c>
      <c r="L530" s="14" t="str">
        <f t="array" ref="L530">INDEX('School Rep'!$A$2:$A$21, MATCH(J530, 'School Rep'!$B$2:$B$21, 0))</f>
        <v>Olga Bautista</v>
      </c>
      <c r="M530" s="12">
        <v>3.1</v>
      </c>
      <c r="N530" s="16" t="s">
        <v>1673</v>
      </c>
      <c r="O530" s="8" t="str">
        <f t="shared" si="1"/>
        <v>9755 S Greenwood Ave </v>
      </c>
      <c r="P530" s="12">
        <v>8.0</v>
      </c>
      <c r="Q530" s="13" t="s">
        <v>135</v>
      </c>
    </row>
    <row r="531">
      <c r="A531" s="7">
        <v>610165.0</v>
      </c>
      <c r="B531" s="12" t="s">
        <v>1674</v>
      </c>
      <c r="C531" s="18" t="s">
        <v>1675</v>
      </c>
      <c r="D531" s="19">
        <v>0.128</v>
      </c>
      <c r="E531" s="18" t="s">
        <v>80</v>
      </c>
      <c r="F531" s="18" t="s">
        <v>231</v>
      </c>
      <c r="G531" s="15" t="s">
        <v>2033</v>
      </c>
      <c r="H531" s="12">
        <v>60.0</v>
      </c>
      <c r="I531" s="13" t="s">
        <v>52</v>
      </c>
      <c r="J531" s="14" t="s">
        <v>232</v>
      </c>
      <c r="K531" s="14">
        <v>3.0</v>
      </c>
      <c r="L531" s="14" t="str">
        <f t="array" ref="L531">INDEX('School Rep'!$A$2:$A$21, MATCH(J531, 'School Rep'!$B$2:$B$21, 0))</f>
        <v>Carlos Rivas</v>
      </c>
      <c r="M531" s="12">
        <v>3.5</v>
      </c>
      <c r="N531" s="16" t="s">
        <v>1676</v>
      </c>
      <c r="O531" s="8" t="str">
        <f t="shared" si="1"/>
        <v>2727 N Long Ave </v>
      </c>
      <c r="P531" s="12">
        <v>31.0</v>
      </c>
      <c r="Q531" s="13" t="s">
        <v>152</v>
      </c>
    </row>
    <row r="532">
      <c r="A532" s="7">
        <v>609729.0</v>
      </c>
      <c r="B532" s="13" t="s">
        <v>1677</v>
      </c>
      <c r="C532" s="17" t="s">
        <v>1678</v>
      </c>
      <c r="D532" s="10">
        <v>0.148</v>
      </c>
      <c r="E532" s="11" t="s">
        <v>80</v>
      </c>
      <c r="F532" s="11" t="s">
        <v>116</v>
      </c>
      <c r="G532" s="15" t="s">
        <v>2027</v>
      </c>
      <c r="H532" s="12">
        <v>52.0</v>
      </c>
      <c r="I532" s="13" t="s">
        <v>20</v>
      </c>
      <c r="J532" s="14" t="s">
        <v>222</v>
      </c>
      <c r="K532" s="14">
        <v>1.0</v>
      </c>
      <c r="L532" s="14" t="str">
        <f t="array" ref="L532">INDEX('School Rep'!$A$2:$A$21, MATCH(J532, 'School Rep'!$B$2:$B$21, 0))</f>
        <v>Jennifer Custer</v>
      </c>
      <c r="M532" s="12">
        <v>2.5</v>
      </c>
      <c r="N532" s="16" t="s">
        <v>1679</v>
      </c>
      <c r="O532" s="8" t="str">
        <f t="shared" si="1"/>
        <v>3601 N Milwaukee Ave </v>
      </c>
      <c r="P532" s="12">
        <v>30.0</v>
      </c>
      <c r="Q532" s="13" t="s">
        <v>346</v>
      </c>
    </row>
    <row r="533">
      <c r="A533" s="7">
        <v>609730.0</v>
      </c>
      <c r="B533" s="12" t="s">
        <v>1680</v>
      </c>
      <c r="C533" s="9" t="s">
        <v>1681</v>
      </c>
      <c r="D533" s="10">
        <v>0.146</v>
      </c>
      <c r="E533" s="11" t="s">
        <v>80</v>
      </c>
      <c r="F533" s="11" t="s">
        <v>116</v>
      </c>
      <c r="G533" s="15" t="s">
        <v>2027</v>
      </c>
      <c r="H533" s="12">
        <v>61.0</v>
      </c>
      <c r="I533" s="13" t="s">
        <v>52</v>
      </c>
      <c r="J533" s="14" t="s">
        <v>87</v>
      </c>
      <c r="K533" s="14">
        <v>2.0</v>
      </c>
      <c r="L533" s="14" t="str">
        <f t="array" ref="L533">INDEX('School Rep'!$A$2:$A$21, MATCH(J533, 'School Rep'!$B$2:$B$21, 0))</f>
        <v>Debby Pope</v>
      </c>
      <c r="M533" s="12">
        <v>2.0</v>
      </c>
      <c r="N533" s="16" t="s">
        <v>1682</v>
      </c>
      <c r="O533" s="8" t="str">
        <f t="shared" si="1"/>
        <v>5900 N Glenwood Ave </v>
      </c>
      <c r="P533" s="12">
        <v>48.0</v>
      </c>
      <c r="Q533" s="13" t="s">
        <v>807</v>
      </c>
    </row>
    <row r="534">
      <c r="A534" s="7">
        <v>610167.0</v>
      </c>
      <c r="B534" s="8" t="s">
        <v>1683</v>
      </c>
      <c r="C534" s="9" t="s">
        <v>1684</v>
      </c>
      <c r="D534" s="10">
        <v>0.077</v>
      </c>
      <c r="E534" s="11" t="s">
        <v>80</v>
      </c>
      <c r="F534" s="11" t="s">
        <v>285</v>
      </c>
      <c r="G534" s="15" t="s">
        <v>2036</v>
      </c>
      <c r="H534" s="12">
        <v>37.0</v>
      </c>
      <c r="I534" s="13" t="s">
        <v>41</v>
      </c>
      <c r="J534" s="14" t="s">
        <v>26</v>
      </c>
      <c r="K534" s="14">
        <v>8.0</v>
      </c>
      <c r="L534" s="14" t="str">
        <f t="array" ref="L534">INDEX('School Rep'!$A$2:$A$21, MATCH(J534, 'School Rep'!$B$2:$B$21, 0))</f>
        <v>Cydney Wallace</v>
      </c>
      <c r="M534" s="15">
        <v>4.1</v>
      </c>
      <c r="N534" s="16" t="s">
        <v>1685</v>
      </c>
      <c r="O534" s="8" t="str">
        <f t="shared" si="1"/>
        <v>4600 S Hermitage Ave </v>
      </c>
      <c r="P534" s="12">
        <v>15.0</v>
      </c>
      <c r="Q534" s="13" t="s">
        <v>364</v>
      </c>
    </row>
    <row r="535">
      <c r="A535" s="7">
        <v>610081.0</v>
      </c>
      <c r="B535" s="8" t="s">
        <v>1686</v>
      </c>
      <c r="C535" s="9" t="s">
        <v>1687</v>
      </c>
      <c r="D535" s="10">
        <v>0.0</v>
      </c>
      <c r="E535" s="11" t="s">
        <v>80</v>
      </c>
      <c r="F535" s="11" t="s">
        <v>301</v>
      </c>
      <c r="G535" s="15" t="s">
        <v>2037</v>
      </c>
      <c r="H535" s="12">
        <v>74.0</v>
      </c>
      <c r="I535" s="13" t="s">
        <v>52</v>
      </c>
      <c r="J535" s="14" t="s">
        <v>21</v>
      </c>
      <c r="K535" s="14">
        <v>7.0</v>
      </c>
      <c r="L535" s="14" t="str">
        <f t="array" ref="L535">INDEX('School Rep'!$A$2:$A$21, MATCH(J535, 'School Rep'!$B$2:$B$21, 0))</f>
        <v>Yesenia Lopez</v>
      </c>
      <c r="M535" s="15">
        <v>2.0</v>
      </c>
      <c r="N535" s="16" t="s">
        <v>1688</v>
      </c>
      <c r="O535" s="8" t="str">
        <f t="shared" si="1"/>
        <v>533 W 27th St </v>
      </c>
      <c r="P535" s="12">
        <v>11.0</v>
      </c>
      <c r="Q535" s="13" t="s">
        <v>94</v>
      </c>
    </row>
    <row r="536">
      <c r="A536" s="7">
        <v>610172.0</v>
      </c>
      <c r="B536" s="8" t="s">
        <v>1689</v>
      </c>
      <c r="C536" s="18" t="s">
        <v>1690</v>
      </c>
      <c r="D536" s="19">
        <v>0.19</v>
      </c>
      <c r="E536" s="18" t="s">
        <v>80</v>
      </c>
      <c r="F536" s="18" t="s">
        <v>285</v>
      </c>
      <c r="G536" s="15" t="s">
        <v>2036</v>
      </c>
      <c r="H536" s="12">
        <v>74.0</v>
      </c>
      <c r="I536" s="13" t="s">
        <v>52</v>
      </c>
      <c r="J536" s="14" t="s">
        <v>187</v>
      </c>
      <c r="K536" s="14">
        <v>9.0</v>
      </c>
      <c r="L536" s="14" t="str">
        <f t="array" ref="L536">INDEX('School Rep'!$A$2:$A$21, MATCH(J536, 'School Rep'!$B$2:$B$21, 0))</f>
        <v>Frank Niles Thomas</v>
      </c>
      <c r="M536" s="15">
        <v>3.8</v>
      </c>
      <c r="N536" s="16" t="s">
        <v>1691</v>
      </c>
      <c r="O536" s="8" t="str">
        <f t="shared" si="1"/>
        <v>1000 W 52Nd St </v>
      </c>
      <c r="P536" s="12">
        <v>20.0</v>
      </c>
      <c r="Q536" s="13" t="s">
        <v>368</v>
      </c>
    </row>
    <row r="537">
      <c r="A537" s="7">
        <v>610173.0</v>
      </c>
      <c r="B537" s="8" t="s">
        <v>1692</v>
      </c>
      <c r="C537" s="18" t="s">
        <v>1693</v>
      </c>
      <c r="D537" s="19">
        <v>0.155</v>
      </c>
      <c r="E537" s="18" t="s">
        <v>80</v>
      </c>
      <c r="F537" s="18" t="s">
        <v>126</v>
      </c>
      <c r="G537" s="15" t="e">
        <v>#N/A</v>
      </c>
      <c r="H537" s="12">
        <v>54.0</v>
      </c>
      <c r="I537" s="13" t="s">
        <v>20</v>
      </c>
      <c r="J537" s="14" t="s">
        <v>204</v>
      </c>
      <c r="K537" s="14">
        <v>6.0</v>
      </c>
      <c r="L537" s="14" t="str">
        <f t="array" ref="L537">INDEX('School Rep'!$A$2:$A$21, MATCH(J537, 'School Rep'!$B$2:$B$21, 0))</f>
        <v>Jessica Biggs</v>
      </c>
      <c r="M537" s="15">
        <v>3.9</v>
      </c>
      <c r="N537" s="16" t="s">
        <v>1694</v>
      </c>
      <c r="O537" s="8" t="str">
        <f t="shared" si="1"/>
        <v>245 W 57th St </v>
      </c>
      <c r="P537" s="12">
        <v>20.0</v>
      </c>
      <c r="Q537" s="13" t="s">
        <v>368</v>
      </c>
    </row>
    <row r="538">
      <c r="A538" s="7">
        <v>610174.0</v>
      </c>
      <c r="B538" s="8" t="s">
        <v>1695</v>
      </c>
      <c r="C538" s="9" t="s">
        <v>1696</v>
      </c>
      <c r="D538" s="10">
        <v>0.105</v>
      </c>
      <c r="E538" s="11" t="s">
        <v>80</v>
      </c>
      <c r="F538" s="11" t="s">
        <v>285</v>
      </c>
      <c r="G538" s="15" t="s">
        <v>2036</v>
      </c>
      <c r="H538" s="12">
        <v>72.0</v>
      </c>
      <c r="I538" s="13" t="s">
        <v>52</v>
      </c>
      <c r="J538" s="14" t="s">
        <v>21</v>
      </c>
      <c r="K538" s="14">
        <v>7.0</v>
      </c>
      <c r="L538" s="14" t="str">
        <f t="array" ref="L538">INDEX('School Rep'!$A$2:$A$21, MATCH(J538, 'School Rep'!$B$2:$B$21, 0))</f>
        <v>Yesenia Lopez</v>
      </c>
      <c r="M538" s="15">
        <v>3.4</v>
      </c>
      <c r="N538" s="16" t="s">
        <v>1697</v>
      </c>
      <c r="O538" s="8" t="str">
        <f t="shared" si="1"/>
        <v>4250 S Rockwell St </v>
      </c>
      <c r="P538" s="12">
        <v>12.0</v>
      </c>
      <c r="Q538" s="13" t="s">
        <v>23</v>
      </c>
    </row>
    <row r="539">
      <c r="A539" s="7">
        <v>610559.0</v>
      </c>
      <c r="B539" s="8" t="s">
        <v>1698</v>
      </c>
      <c r="C539" s="17" t="s">
        <v>1699</v>
      </c>
      <c r="D539" s="10">
        <v>0.088</v>
      </c>
      <c r="E539" s="11" t="s">
        <v>80</v>
      </c>
      <c r="F539" s="11" t="s">
        <v>285</v>
      </c>
      <c r="G539" s="15" t="s">
        <v>2036</v>
      </c>
      <c r="H539" s="12">
        <v>73.0</v>
      </c>
      <c r="I539" s="13" t="s">
        <v>52</v>
      </c>
      <c r="J539" s="14" t="s">
        <v>26</v>
      </c>
      <c r="K539" s="14">
        <v>8.0</v>
      </c>
      <c r="L539" s="14" t="str">
        <f t="array" ref="L539">INDEX('School Rep'!$A$2:$A$21, MATCH(J539, 'School Rep'!$B$2:$B$21, 0))</f>
        <v>Cydney Wallace</v>
      </c>
      <c r="M539" s="15">
        <v>3.5</v>
      </c>
      <c r="N539" s="16" t="s">
        <v>1700</v>
      </c>
      <c r="O539" s="8" t="str">
        <f t="shared" si="1"/>
        <v>2611 W 48th St </v>
      </c>
      <c r="P539" s="12">
        <v>15.0</v>
      </c>
      <c r="Q539" s="13" t="s">
        <v>364</v>
      </c>
    </row>
    <row r="540">
      <c r="A540" s="7">
        <v>610175.0</v>
      </c>
      <c r="B540" s="13" t="s">
        <v>1701</v>
      </c>
      <c r="C540" s="18" t="s">
        <v>1702</v>
      </c>
      <c r="D540" s="19">
        <v>0.105</v>
      </c>
      <c r="E540" s="18" t="s">
        <v>80</v>
      </c>
      <c r="F540" s="18" t="s">
        <v>120</v>
      </c>
      <c r="G540" s="15" t="s">
        <v>2028</v>
      </c>
      <c r="H540" s="12">
        <v>38.0</v>
      </c>
      <c r="I540" s="13" t="s">
        <v>41</v>
      </c>
      <c r="J540" s="14" t="s">
        <v>121</v>
      </c>
      <c r="K540" s="14">
        <v>10.0</v>
      </c>
      <c r="L540" s="14" t="str">
        <f t="array" ref="L540">INDEX('School Rep'!$A$2:$A$21, MATCH(J540, 'School Rep'!$B$2:$B$21, 0))</f>
        <v>Che "Rhymefest" Smith</v>
      </c>
      <c r="M540" s="12">
        <v>2.8</v>
      </c>
      <c r="N540" s="16" t="s">
        <v>1703</v>
      </c>
      <c r="O540" s="8" t="str">
        <f t="shared" si="1"/>
        <v>1330 E 50th St </v>
      </c>
      <c r="P540" s="12">
        <v>4.0</v>
      </c>
      <c r="Q540" s="13" t="s">
        <v>123</v>
      </c>
    </row>
    <row r="541">
      <c r="A541" s="7">
        <v>610176.0</v>
      </c>
      <c r="B541" s="8" t="s">
        <v>1704</v>
      </c>
      <c r="C541" s="18" t="s">
        <v>1705</v>
      </c>
      <c r="D541" s="19">
        <v>0.136</v>
      </c>
      <c r="E541" s="18" t="s">
        <v>80</v>
      </c>
      <c r="F541" s="18" t="s">
        <v>81</v>
      </c>
      <c r="G541" s="15" t="s">
        <v>2022</v>
      </c>
      <c r="H541" s="12">
        <v>64.0</v>
      </c>
      <c r="I541" s="13" t="s">
        <v>52</v>
      </c>
      <c r="J541" s="14" t="s">
        <v>178</v>
      </c>
      <c r="K541" s="14">
        <v>9.0</v>
      </c>
      <c r="L541" s="14" t="str">
        <f t="array" ref="L541">INDEX('School Rep'!$A$2:$A$21, MATCH(J541, 'School Rep'!$B$2:$B$21, 0))</f>
        <v>Therese Boyle</v>
      </c>
      <c r="M541" s="15">
        <v>2.9</v>
      </c>
      <c r="N541" s="16" t="s">
        <v>1706</v>
      </c>
      <c r="O541" s="8" t="str">
        <f t="shared" si="1"/>
        <v>11140 S Bishop St </v>
      </c>
      <c r="P541" s="12">
        <v>21.0</v>
      </c>
      <c r="Q541" s="13" t="s">
        <v>428</v>
      </c>
    </row>
    <row r="542">
      <c r="A542" s="7">
        <v>609692.0</v>
      </c>
      <c r="B542" s="13" t="s">
        <v>1707</v>
      </c>
      <c r="C542" s="9" t="s">
        <v>1708</v>
      </c>
      <c r="D542" s="10">
        <v>0.08</v>
      </c>
      <c r="E542" s="11" t="s">
        <v>80</v>
      </c>
      <c r="F542" s="11" t="s">
        <v>263</v>
      </c>
      <c r="G542" s="15" t="s">
        <v>2034</v>
      </c>
      <c r="H542" s="15"/>
      <c r="I542" s="8"/>
      <c r="J542" s="14" t="s">
        <v>82</v>
      </c>
      <c r="K542" s="14">
        <v>10.0</v>
      </c>
      <c r="L542" s="14" t="str">
        <f t="array" ref="L542">INDEX('School Rep'!$A$2:$A$21, MATCH(J542, 'School Rep'!$B$2:$B$21, 0))</f>
        <v>Olga Bautista</v>
      </c>
      <c r="M542" s="12">
        <v>3.4</v>
      </c>
      <c r="N542" s="16" t="s">
        <v>1709</v>
      </c>
      <c r="O542" s="8" t="str">
        <f t="shared" si="1"/>
        <v>8147 S Vincennes Ave </v>
      </c>
      <c r="P542" s="12">
        <v>6.0</v>
      </c>
      <c r="Q542" s="13" t="s">
        <v>306</v>
      </c>
    </row>
    <row r="543">
      <c r="A543" s="7">
        <v>609750.0</v>
      </c>
      <c r="B543" s="8" t="s">
        <v>1710</v>
      </c>
      <c r="C543" s="18" t="s">
        <v>1711</v>
      </c>
      <c r="D543" s="19">
        <v>0.0</v>
      </c>
      <c r="E543" s="18" t="s">
        <v>80</v>
      </c>
      <c r="F543" s="18" t="s">
        <v>426</v>
      </c>
      <c r="G543" s="15" t="s">
        <v>2038</v>
      </c>
      <c r="H543" s="15"/>
      <c r="I543" s="8"/>
      <c r="J543" s="15" t="s">
        <v>384</v>
      </c>
      <c r="K543" s="15" t="s">
        <v>384</v>
      </c>
      <c r="L543" s="15" t="s">
        <v>384</v>
      </c>
      <c r="M543" s="15" t="s">
        <v>384</v>
      </c>
      <c r="N543" s="16" t="s">
        <v>1712</v>
      </c>
      <c r="O543" s="8" t="str">
        <f t="shared" si="1"/>
        <v>1321 S Paulina St </v>
      </c>
      <c r="P543" s="12">
        <v>28.0</v>
      </c>
      <c r="Q543" s="13" t="s">
        <v>399</v>
      </c>
    </row>
    <row r="544">
      <c r="A544" s="7">
        <v>610177.0</v>
      </c>
      <c r="B544" s="12" t="s">
        <v>1713</v>
      </c>
      <c r="C544" s="18" t="s">
        <v>1714</v>
      </c>
      <c r="D544" s="19">
        <v>0.067</v>
      </c>
      <c r="E544" s="18" t="s">
        <v>80</v>
      </c>
      <c r="F544" s="18" t="s">
        <v>301</v>
      </c>
      <c r="G544" s="15" t="s">
        <v>2037</v>
      </c>
      <c r="H544" s="12">
        <v>49.0</v>
      </c>
      <c r="I544" s="13" t="s">
        <v>20</v>
      </c>
      <c r="J544" s="14" t="s">
        <v>217</v>
      </c>
      <c r="K544" s="14">
        <v>5.0</v>
      </c>
      <c r="L544" s="14" t="str">
        <f t="array" ref="L544">INDEX('School Rep'!$A$2:$A$21, MATCH(J544, 'School Rep'!$B$2:$B$21, 0))</f>
        <v>Michilla Blaise</v>
      </c>
      <c r="M544" s="12">
        <v>2.1</v>
      </c>
      <c r="N544" s="16" t="s">
        <v>1715</v>
      </c>
      <c r="O544" s="8" t="str">
        <f t="shared" si="1"/>
        <v>1260 W Adams St </v>
      </c>
      <c r="P544" s="12">
        <v>27.0</v>
      </c>
      <c r="Q544" s="13" t="s">
        <v>219</v>
      </c>
    </row>
    <row r="545">
      <c r="A545" s="7">
        <v>610534.0</v>
      </c>
      <c r="B545" s="8" t="s">
        <v>1716</v>
      </c>
      <c r="C545" s="17" t="s">
        <v>1717</v>
      </c>
      <c r="D545" s="10">
        <v>0.0</v>
      </c>
      <c r="E545" s="11" t="s">
        <v>80</v>
      </c>
      <c r="F545" s="11" t="s">
        <v>102</v>
      </c>
      <c r="G545" s="15" t="s">
        <v>2025</v>
      </c>
      <c r="H545" s="12">
        <v>66.0</v>
      </c>
      <c r="I545" s="13" t="s">
        <v>52</v>
      </c>
      <c r="J545" s="14" t="s">
        <v>462</v>
      </c>
      <c r="K545" s="14">
        <v>6.0</v>
      </c>
      <c r="L545" s="14" t="str">
        <f t="array" ref="L545">INDEX('School Rep'!$A$2:$A$21, MATCH(J545, 'School Rep'!$B$2:$B$21, 0))</f>
        <v>Anusha Thotakura</v>
      </c>
      <c r="M545" s="15">
        <v>1.7</v>
      </c>
      <c r="N545" s="16" t="s">
        <v>1718</v>
      </c>
      <c r="O545" s="8" t="str">
        <f t="shared" si="1"/>
        <v>640 W Scott St </v>
      </c>
      <c r="P545" s="12">
        <v>27.0</v>
      </c>
      <c r="Q545" s="13" t="s">
        <v>219</v>
      </c>
    </row>
    <row r="546">
      <c r="A546" s="7">
        <v>609978.0</v>
      </c>
      <c r="B546" s="13" t="s">
        <v>1719</v>
      </c>
      <c r="C546" s="18" t="s">
        <v>1720</v>
      </c>
      <c r="D546" s="19">
        <v>0.152</v>
      </c>
      <c r="E546" s="18" t="s">
        <v>80</v>
      </c>
      <c r="F546" s="18" t="s">
        <v>81</v>
      </c>
      <c r="G546" s="15" t="s">
        <v>2022</v>
      </c>
      <c r="H546" s="12">
        <v>81.0</v>
      </c>
      <c r="I546" s="13" t="s">
        <v>248</v>
      </c>
      <c r="J546" s="14" t="s">
        <v>82</v>
      </c>
      <c r="K546" s="14">
        <v>10.0</v>
      </c>
      <c r="L546" s="14" t="str">
        <f t="array" ref="L546">INDEX('School Rep'!$A$2:$A$21, MATCH(J546, 'School Rep'!$B$2:$B$21, 0))</f>
        <v>Olga Bautista</v>
      </c>
      <c r="M546" s="12">
        <v>3.7</v>
      </c>
      <c r="N546" s="16" t="s">
        <v>1721</v>
      </c>
      <c r="O546" s="8" t="str">
        <f t="shared" si="1"/>
        <v>744 E 103rd St </v>
      </c>
      <c r="P546" s="12">
        <v>8.0</v>
      </c>
      <c r="Q546" s="13" t="s">
        <v>135</v>
      </c>
    </row>
    <row r="547">
      <c r="A547" s="7">
        <v>610179.0</v>
      </c>
      <c r="B547" s="13" t="s">
        <v>1722</v>
      </c>
      <c r="C547" s="18" t="s">
        <v>1723</v>
      </c>
      <c r="D547" s="19">
        <v>0.073</v>
      </c>
      <c r="E547" s="18" t="s">
        <v>80</v>
      </c>
      <c r="F547" s="18" t="s">
        <v>97</v>
      </c>
      <c r="G547" s="15" t="s">
        <v>2024</v>
      </c>
      <c r="H547" s="12">
        <v>56.0</v>
      </c>
      <c r="I547" s="13" t="s">
        <v>20</v>
      </c>
      <c r="J547" s="14" t="s">
        <v>222</v>
      </c>
      <c r="K547" s="14">
        <v>1.0</v>
      </c>
      <c r="L547" s="14" t="str">
        <f t="array" ref="L547">INDEX('School Rep'!$A$2:$A$21, MATCH(J547, 'School Rep'!$B$2:$B$21, 0))</f>
        <v>Jennifer Custer</v>
      </c>
      <c r="M547" s="12">
        <v>1.9</v>
      </c>
      <c r="N547" s="16" t="s">
        <v>1724</v>
      </c>
      <c r="O547" s="8" t="str">
        <f t="shared" si="1"/>
        <v>4310 N Melvina Ave </v>
      </c>
      <c r="P547" s="12">
        <v>38.0</v>
      </c>
      <c r="Q547" s="13" t="s">
        <v>279</v>
      </c>
    </row>
    <row r="548">
      <c r="A548" s="7">
        <v>610180.0</v>
      </c>
      <c r="B548" s="8" t="s">
        <v>1725</v>
      </c>
      <c r="C548" s="9" t="s">
        <v>1726</v>
      </c>
      <c r="D548" s="10">
        <v>0.134</v>
      </c>
      <c r="E548" s="11" t="s">
        <v>80</v>
      </c>
      <c r="F548" s="11" t="s">
        <v>301</v>
      </c>
      <c r="G548" s="15" t="s">
        <v>2037</v>
      </c>
      <c r="H548" s="12">
        <v>58.0</v>
      </c>
      <c r="I548" s="13" t="s">
        <v>20</v>
      </c>
      <c r="J548" s="14" t="s">
        <v>42</v>
      </c>
      <c r="K548" s="14">
        <v>7.0</v>
      </c>
      <c r="L548" s="14" t="str">
        <f t="array" ref="L548">INDEX('School Rep'!$A$2:$A$21, MATCH(J548, 'School Rep'!$B$2:$B$21, 0))</f>
        <v>Emma Lozano</v>
      </c>
      <c r="M548" s="15">
        <v>3.2</v>
      </c>
      <c r="N548" s="16" t="s">
        <v>1727</v>
      </c>
      <c r="O548" s="8" t="str">
        <f t="shared" si="1"/>
        <v>1059 W 13th St </v>
      </c>
      <c r="P548" s="12">
        <v>28.0</v>
      </c>
      <c r="Q548" s="13" t="s">
        <v>399</v>
      </c>
    </row>
    <row r="549">
      <c r="A549" s="7">
        <v>610383.0</v>
      </c>
      <c r="B549" s="8" t="s">
        <v>1728</v>
      </c>
      <c r="C549" s="17" t="s">
        <v>1729</v>
      </c>
      <c r="D549" s="10">
        <v>0.161</v>
      </c>
      <c r="E549" s="11" t="s">
        <v>80</v>
      </c>
      <c r="F549" s="11" t="s">
        <v>108</v>
      </c>
      <c r="G549" s="15" t="s">
        <v>2026</v>
      </c>
      <c r="H549" s="12">
        <v>25.0</v>
      </c>
      <c r="I549" s="13" t="s">
        <v>41</v>
      </c>
      <c r="J549" s="14" t="s">
        <v>42</v>
      </c>
      <c r="K549" s="14">
        <v>7.0</v>
      </c>
      <c r="L549" s="14" t="str">
        <f t="array" ref="L549">INDEX('School Rep'!$A$2:$A$21, MATCH(J549, 'School Rep'!$B$2:$B$21, 0))</f>
        <v>Emma Lozano</v>
      </c>
      <c r="M549" s="15">
        <v>3.5</v>
      </c>
      <c r="N549" s="16" t="s">
        <v>964</v>
      </c>
      <c r="O549" s="8" t="str">
        <f t="shared" si="1"/>
        <v>3120 S Kostner Ave </v>
      </c>
      <c r="P549" s="12">
        <v>22.0</v>
      </c>
      <c r="Q549" s="13" t="s">
        <v>353</v>
      </c>
    </row>
    <row r="550">
      <c r="A550" s="7">
        <v>610182.0</v>
      </c>
      <c r="B550" s="13" t="s">
        <v>1730</v>
      </c>
      <c r="C550" s="18" t="s">
        <v>1731</v>
      </c>
      <c r="D550" s="19">
        <v>0.093</v>
      </c>
      <c r="E550" s="18" t="s">
        <v>80</v>
      </c>
      <c r="F550" s="18" t="s">
        <v>97</v>
      </c>
      <c r="G550" s="15" t="s">
        <v>2024</v>
      </c>
      <c r="H550" s="12">
        <v>41.0</v>
      </c>
      <c r="I550" s="13" t="s">
        <v>20</v>
      </c>
      <c r="J550" s="14" t="s">
        <v>199</v>
      </c>
      <c r="K550" s="14">
        <v>1.0</v>
      </c>
      <c r="L550" s="14" t="str">
        <f t="array" ref="L550">INDEX('School Rep'!$A$2:$A$21, MATCH(J550, 'School Rep'!$B$2:$B$21, 0))</f>
        <v>Ed Bannon</v>
      </c>
      <c r="M550" s="12">
        <v>2.6</v>
      </c>
      <c r="N550" s="16" t="s">
        <v>1732</v>
      </c>
      <c r="O550" s="8" t="str">
        <f t="shared" si="1"/>
        <v>6206 N Hamlin Ave </v>
      </c>
      <c r="P550" s="12">
        <v>39.0</v>
      </c>
      <c r="Q550" s="13" t="s">
        <v>224</v>
      </c>
    </row>
    <row r="551">
      <c r="A551" s="7">
        <v>610543.0</v>
      </c>
      <c r="B551" s="8" t="s">
        <v>1733</v>
      </c>
      <c r="C551" s="9" t="s">
        <v>1734</v>
      </c>
      <c r="D551" s="10">
        <v>0.054</v>
      </c>
      <c r="E551" s="11" t="s">
        <v>80</v>
      </c>
      <c r="F551" s="11" t="s">
        <v>108</v>
      </c>
      <c r="G551" s="15" t="s">
        <v>2026</v>
      </c>
      <c r="H551" s="12">
        <v>64.0</v>
      </c>
      <c r="I551" s="13" t="s">
        <v>52</v>
      </c>
      <c r="J551" s="14" t="s">
        <v>21</v>
      </c>
      <c r="K551" s="14">
        <v>7.0</v>
      </c>
      <c r="L551" s="14" t="str">
        <f t="array" ref="L551">INDEX('School Rep'!$A$2:$A$21, MATCH(J551, 'School Rep'!$B$2:$B$21, 0))</f>
        <v>Yesenia Lopez</v>
      </c>
      <c r="M551" s="15">
        <v>3.3</v>
      </c>
      <c r="N551" s="16" t="s">
        <v>1735</v>
      </c>
      <c r="O551" s="8" t="str">
        <f t="shared" si="1"/>
        <v>5400 S St Louis Ave </v>
      </c>
      <c r="P551" s="12">
        <v>14.0</v>
      </c>
      <c r="Q551" s="13" t="s">
        <v>54</v>
      </c>
    </row>
    <row r="552">
      <c r="A552" s="7">
        <v>610589.0</v>
      </c>
      <c r="B552" s="8" t="s">
        <v>1736</v>
      </c>
      <c r="C552" s="9" t="s">
        <v>1737</v>
      </c>
      <c r="D552" s="10">
        <v>0.0</v>
      </c>
      <c r="E552" s="11" t="s">
        <v>80</v>
      </c>
      <c r="F552" s="11" t="s">
        <v>285</v>
      </c>
      <c r="G552" s="15" t="s">
        <v>2036</v>
      </c>
      <c r="H552" s="15"/>
      <c r="I552" s="8"/>
      <c r="J552" s="14" t="s">
        <v>139</v>
      </c>
      <c r="K552" s="14">
        <v>8.0</v>
      </c>
      <c r="L552" s="14" t="str">
        <f t="array" ref="L552">INDEX('School Rep'!$A$2:$A$21, MATCH(J552, 'School Rep'!$B$2:$B$21, 0))</f>
        <v>Angel Gutierrez</v>
      </c>
      <c r="M552" s="15">
        <v>2.6</v>
      </c>
      <c r="N552" s="16" t="s">
        <v>1738</v>
      </c>
      <c r="O552" s="8" t="str">
        <f t="shared" si="1"/>
        <v>4034 W 56Th </v>
      </c>
      <c r="P552" s="12">
        <v>13.0</v>
      </c>
      <c r="Q552" s="13" t="s">
        <v>250</v>
      </c>
    </row>
    <row r="553">
      <c r="A553" s="7">
        <v>609990.0</v>
      </c>
      <c r="B553" s="8" t="s">
        <v>1739</v>
      </c>
      <c r="C553" s="18" t="s">
        <v>1740</v>
      </c>
      <c r="D553" s="19">
        <v>0.069</v>
      </c>
      <c r="E553" s="18" t="s">
        <v>80</v>
      </c>
      <c r="F553" s="18" t="s">
        <v>126</v>
      </c>
      <c r="G553" s="15" t="e">
        <v>#N/A</v>
      </c>
      <c r="H553" s="15"/>
      <c r="I553" s="8"/>
      <c r="J553" s="14" t="s">
        <v>26</v>
      </c>
      <c r="K553" s="14">
        <v>8.0</v>
      </c>
      <c r="L553" s="14" t="str">
        <f t="array" ref="L553">INDEX('School Rep'!$A$2:$A$21, MATCH(J553, 'School Rep'!$B$2:$B$21, 0))</f>
        <v>Cydney Wallace</v>
      </c>
      <c r="M553" s="15">
        <v>2.2</v>
      </c>
      <c r="N553" s="16" t="s">
        <v>1741</v>
      </c>
      <c r="O553" s="8" t="str">
        <f t="shared" si="1"/>
        <v>1601 S Dearborn St </v>
      </c>
      <c r="P553" s="12">
        <v>3.0</v>
      </c>
      <c r="Q553" s="13" t="s">
        <v>206</v>
      </c>
    </row>
    <row r="554">
      <c r="A554" s="7">
        <v>610530.0</v>
      </c>
      <c r="B554" s="13" t="s">
        <v>1742</v>
      </c>
      <c r="C554" s="17" t="s">
        <v>1743</v>
      </c>
      <c r="D554" s="10">
        <v>0.087</v>
      </c>
      <c r="E554" s="11" t="s">
        <v>80</v>
      </c>
      <c r="F554" s="11" t="s">
        <v>144</v>
      </c>
      <c r="G554" s="15" t="s">
        <v>2030</v>
      </c>
      <c r="H554" s="12">
        <v>59.0</v>
      </c>
      <c r="I554" s="13" t="s">
        <v>20</v>
      </c>
      <c r="J554" s="14" t="s">
        <v>121</v>
      </c>
      <c r="K554" s="14">
        <v>10.0</v>
      </c>
      <c r="L554" s="14" t="str">
        <f t="array" ref="L554">INDEX('School Rep'!$A$2:$A$21, MATCH(J554, 'School Rep'!$B$2:$B$21, 0))</f>
        <v>Che "Rhymefest" Smith</v>
      </c>
      <c r="M554" s="12">
        <v>3.3</v>
      </c>
      <c r="N554" s="16" t="s">
        <v>1744</v>
      </c>
      <c r="O554" s="8" t="str">
        <f t="shared" si="1"/>
        <v>1415 E 70th St </v>
      </c>
      <c r="P554" s="12">
        <v>5.0</v>
      </c>
      <c r="Q554" s="13" t="s">
        <v>357</v>
      </c>
    </row>
    <row r="555">
      <c r="A555" s="7">
        <v>610547.0</v>
      </c>
      <c r="B555" s="13" t="s">
        <v>1745</v>
      </c>
      <c r="C555" s="18" t="s">
        <v>1746</v>
      </c>
      <c r="D555" s="19">
        <v>0.068</v>
      </c>
      <c r="E555" s="18" t="s">
        <v>80</v>
      </c>
      <c r="F555" s="18" t="s">
        <v>263</v>
      </c>
      <c r="G555" s="15" t="s">
        <v>2034</v>
      </c>
      <c r="H555" s="15"/>
      <c r="I555" s="8"/>
      <c r="J555" s="14" t="s">
        <v>82</v>
      </c>
      <c r="K555" s="14">
        <v>10.0</v>
      </c>
      <c r="L555" s="14" t="str">
        <f t="array" ref="L555">INDEX('School Rep'!$A$2:$A$21, MATCH(J555, 'School Rep'!$B$2:$B$21, 0))</f>
        <v>Olga Bautista</v>
      </c>
      <c r="M555" s="12">
        <v>3.3</v>
      </c>
      <c r="N555" s="16" t="s">
        <v>1747</v>
      </c>
      <c r="O555" s="8" t="str">
        <f t="shared" si="1"/>
        <v>1955 E 75th St </v>
      </c>
      <c r="P555" s="12">
        <v>8.0</v>
      </c>
      <c r="Q555" s="13" t="s">
        <v>135</v>
      </c>
    </row>
    <row r="556">
      <c r="A556" s="7">
        <v>609745.0</v>
      </c>
      <c r="B556" s="8" t="s">
        <v>1748</v>
      </c>
      <c r="C556" s="17" t="s">
        <v>1749</v>
      </c>
      <c r="D556" s="10">
        <v>0.0</v>
      </c>
      <c r="E556" s="11" t="s">
        <v>80</v>
      </c>
      <c r="F556" s="11" t="s">
        <v>92</v>
      </c>
      <c r="G556" s="15" t="s">
        <v>2023</v>
      </c>
      <c r="H556" s="12">
        <v>81.0</v>
      </c>
      <c r="I556" s="13" t="s">
        <v>248</v>
      </c>
      <c r="J556" s="15" t="s">
        <v>384</v>
      </c>
      <c r="K556" s="15" t="s">
        <v>384</v>
      </c>
      <c r="L556" s="15" t="s">
        <v>384</v>
      </c>
      <c r="M556" s="15" t="s">
        <v>384</v>
      </c>
      <c r="N556" s="16" t="s">
        <v>1750</v>
      </c>
      <c r="O556" s="8" t="str">
        <f t="shared" si="1"/>
        <v>7342 S Hoyne Ave </v>
      </c>
      <c r="P556" s="12">
        <v>17.0</v>
      </c>
      <c r="Q556" s="13" t="s">
        <v>189</v>
      </c>
    </row>
    <row r="557">
      <c r="A557" s="7">
        <v>610183.0</v>
      </c>
      <c r="B557" s="12" t="s">
        <v>1751</v>
      </c>
      <c r="C557" s="18" t="s">
        <v>1752</v>
      </c>
      <c r="D557" s="19">
        <v>0.301</v>
      </c>
      <c r="E557" s="18" t="s">
        <v>80</v>
      </c>
      <c r="F557" s="18" t="s">
        <v>231</v>
      </c>
      <c r="G557" s="15" t="s">
        <v>2033</v>
      </c>
      <c r="H557" s="12">
        <v>48.0</v>
      </c>
      <c r="I557" s="13" t="s">
        <v>20</v>
      </c>
      <c r="J557" s="14" t="s">
        <v>31</v>
      </c>
      <c r="K557" s="14">
        <v>5.0</v>
      </c>
      <c r="L557" s="14" t="str">
        <f t="array" ref="L557">INDEX('School Rep'!$A$2:$A$21, MATCH(J557, 'School Rep'!$B$2:$B$21, 0))</f>
        <v>Aaron "Jitu" Brown</v>
      </c>
      <c r="M557" s="12">
        <v>3.5</v>
      </c>
      <c r="N557" s="16" t="s">
        <v>1753</v>
      </c>
      <c r="O557" s="8" t="str">
        <f t="shared" si="1"/>
        <v>214 N Lavergne Ave </v>
      </c>
      <c r="P557" s="12">
        <v>28.0</v>
      </c>
      <c r="Q557" s="13" t="s">
        <v>399</v>
      </c>
    </row>
    <row r="558">
      <c r="A558" s="7">
        <v>610184.0</v>
      </c>
      <c r="B558" s="8" t="s">
        <v>1754</v>
      </c>
      <c r="C558" s="18" t="s">
        <v>1755</v>
      </c>
      <c r="D558" s="19">
        <v>0.112</v>
      </c>
      <c r="E558" s="18" t="s">
        <v>80</v>
      </c>
      <c r="F558" s="18" t="s">
        <v>92</v>
      </c>
      <c r="G558" s="15" t="s">
        <v>2023</v>
      </c>
      <c r="H558" s="12">
        <v>36.0</v>
      </c>
      <c r="I558" s="13" t="s">
        <v>41</v>
      </c>
      <c r="J558" s="14" t="s">
        <v>42</v>
      </c>
      <c r="K558" s="14">
        <v>7.0</v>
      </c>
      <c r="L558" s="14" t="str">
        <f t="array" ref="L558">INDEX('School Rep'!$A$2:$A$21, MATCH(J558, 'School Rep'!$B$2:$B$21, 0))</f>
        <v>Emma Lozano</v>
      </c>
      <c r="M558" s="15">
        <v>3.0</v>
      </c>
      <c r="N558" s="16" t="s">
        <v>1756</v>
      </c>
      <c r="O558" s="8" t="str">
        <f t="shared" si="1"/>
        <v>2400 S Marshall Blvd </v>
      </c>
      <c r="P558" s="12">
        <v>24.0</v>
      </c>
      <c r="Q558" s="13" t="s">
        <v>517</v>
      </c>
    </row>
    <row r="559">
      <c r="A559" s="7">
        <v>610357.0</v>
      </c>
      <c r="B559" s="8" t="s">
        <v>1757</v>
      </c>
      <c r="C559" s="9" t="s">
        <v>1758</v>
      </c>
      <c r="D559" s="10">
        <v>0.169</v>
      </c>
      <c r="E559" s="11" t="s">
        <v>80</v>
      </c>
      <c r="F559" s="11" t="s">
        <v>92</v>
      </c>
      <c r="G559" s="15" t="s">
        <v>2023</v>
      </c>
      <c r="H559" s="12">
        <v>36.0</v>
      </c>
      <c r="I559" s="13" t="s">
        <v>41</v>
      </c>
      <c r="J559" s="14" t="s">
        <v>42</v>
      </c>
      <c r="K559" s="14">
        <v>7.0</v>
      </c>
      <c r="L559" s="14" t="str">
        <f t="array" ref="L559">INDEX('School Rep'!$A$2:$A$21, MATCH(J559, 'School Rep'!$B$2:$B$21, 0))</f>
        <v>Emma Lozano</v>
      </c>
      <c r="M559" s="15">
        <v>3.1</v>
      </c>
      <c r="N559" s="16" t="s">
        <v>1756</v>
      </c>
      <c r="O559" s="8" t="str">
        <f t="shared" si="1"/>
        <v>2400 S Marshall Blvd </v>
      </c>
      <c r="P559" s="12">
        <v>24.0</v>
      </c>
      <c r="Q559" s="13" t="s">
        <v>517</v>
      </c>
    </row>
    <row r="560">
      <c r="A560" s="7">
        <v>610339.0</v>
      </c>
      <c r="B560" s="8" t="s">
        <v>1759</v>
      </c>
      <c r="C560" s="18" t="s">
        <v>1760</v>
      </c>
      <c r="D560" s="19">
        <v>0.162</v>
      </c>
      <c r="E560" s="18" t="s">
        <v>80</v>
      </c>
      <c r="F560" s="18" t="s">
        <v>186</v>
      </c>
      <c r="G560" s="15" t="s">
        <v>2031</v>
      </c>
      <c r="H560" s="12">
        <v>19.0</v>
      </c>
      <c r="I560" s="13" t="s">
        <v>30</v>
      </c>
      <c r="J560" s="14" t="s">
        <v>187</v>
      </c>
      <c r="K560" s="14">
        <v>9.0</v>
      </c>
      <c r="L560" s="14" t="str">
        <f t="array" ref="L560">INDEX('School Rep'!$A$2:$A$21, MATCH(J560, 'School Rep'!$B$2:$B$21, 0))</f>
        <v>Frank Niles Thomas</v>
      </c>
      <c r="M560" s="15">
        <v>3.8</v>
      </c>
      <c r="N560" s="16" t="s">
        <v>1761</v>
      </c>
      <c r="O560" s="8" t="str">
        <f t="shared" si="1"/>
        <v>7424 S Morgan St </v>
      </c>
      <c r="P560" s="12">
        <v>17.0</v>
      </c>
      <c r="Q560" s="13" t="s">
        <v>189</v>
      </c>
    </row>
    <row r="561">
      <c r="A561" s="7">
        <v>609732.0</v>
      </c>
      <c r="B561" s="13" t="s">
        <v>1762</v>
      </c>
      <c r="C561" s="18" t="s">
        <v>1763</v>
      </c>
      <c r="D561" s="19">
        <v>0.217</v>
      </c>
      <c r="E561" s="18" t="s">
        <v>80</v>
      </c>
      <c r="F561" s="18" t="s">
        <v>116</v>
      </c>
      <c r="G561" s="15" t="s">
        <v>2027</v>
      </c>
      <c r="H561" s="12">
        <v>4.0</v>
      </c>
      <c r="I561" s="13" t="s">
        <v>30</v>
      </c>
      <c r="J561" s="14" t="s">
        <v>222</v>
      </c>
      <c r="K561" s="14">
        <v>1.0</v>
      </c>
      <c r="L561" s="14" t="str">
        <f t="array" ref="L561">INDEX('School Rep'!$A$2:$A$21, MATCH(J561, 'School Rep'!$B$2:$B$21, 0))</f>
        <v>Jennifer Custer</v>
      </c>
      <c r="M561" s="12">
        <v>2.8</v>
      </c>
      <c r="N561" s="16" t="s">
        <v>1764</v>
      </c>
      <c r="O561" s="8" t="str">
        <f t="shared" si="1"/>
        <v>3030 N Mobile Ave </v>
      </c>
      <c r="P561" s="12">
        <v>30.0</v>
      </c>
      <c r="Q561" s="13" t="s">
        <v>346</v>
      </c>
    </row>
    <row r="562">
      <c r="A562" s="7">
        <v>610548.0</v>
      </c>
      <c r="B562" s="8" t="s">
        <v>1765</v>
      </c>
      <c r="C562" s="9" t="s">
        <v>1766</v>
      </c>
      <c r="D562" s="10">
        <v>0.0</v>
      </c>
      <c r="E562" s="11" t="s">
        <v>80</v>
      </c>
      <c r="F562" s="11" t="s">
        <v>126</v>
      </c>
      <c r="G562" s="15" t="e">
        <v>#N/A</v>
      </c>
      <c r="H562" s="12">
        <v>42.0</v>
      </c>
      <c r="I562" s="13" t="s">
        <v>20</v>
      </c>
      <c r="J562" s="14" t="s">
        <v>42</v>
      </c>
      <c r="K562" s="14">
        <v>7.0</v>
      </c>
      <c r="L562" s="14" t="str">
        <f t="array" ref="L562">INDEX('School Rep'!$A$2:$A$21, MATCH(J562, 'School Rep'!$B$2:$B$21, 0))</f>
        <v>Emma Lozano</v>
      </c>
      <c r="M562" s="15">
        <v>1.9</v>
      </c>
      <c r="N562" s="16" t="s">
        <v>1767</v>
      </c>
      <c r="O562" s="8" t="str">
        <f t="shared" si="1"/>
        <v>1522 W Fillmore St </v>
      </c>
      <c r="P562" s="12">
        <v>28.0</v>
      </c>
      <c r="Q562" s="13" t="s">
        <v>399</v>
      </c>
    </row>
    <row r="563">
      <c r="A563" s="7">
        <v>610185.0</v>
      </c>
      <c r="B563" s="8" t="s">
        <v>1768</v>
      </c>
      <c r="C563" s="18" t="s">
        <v>1769</v>
      </c>
      <c r="D563" s="19">
        <v>0.064</v>
      </c>
      <c r="E563" s="18" t="s">
        <v>80</v>
      </c>
      <c r="F563" s="18" t="s">
        <v>138</v>
      </c>
      <c r="G563" s="15" t="s">
        <v>2029</v>
      </c>
      <c r="H563" s="15"/>
      <c r="I563" s="8"/>
      <c r="J563" s="14" t="s">
        <v>139</v>
      </c>
      <c r="K563" s="14">
        <v>8.0</v>
      </c>
      <c r="L563" s="14" t="str">
        <f t="array" ref="L563">INDEX('School Rep'!$A$2:$A$21, MATCH(J563, 'School Rep'!$B$2:$B$21, 0))</f>
        <v>Angel Gutierrez</v>
      </c>
      <c r="M563" s="15">
        <v>3.5</v>
      </c>
      <c r="N563" s="16" t="s">
        <v>1770</v>
      </c>
      <c r="O563" s="8" t="str">
        <f t="shared" si="1"/>
        <v>8010 S Kostner Ave </v>
      </c>
      <c r="P563" s="12">
        <v>18.0</v>
      </c>
      <c r="Q563" s="13" t="s">
        <v>141</v>
      </c>
    </row>
    <row r="564">
      <c r="A564" s="7">
        <v>610163.0</v>
      </c>
      <c r="B564" s="12" t="s">
        <v>1771</v>
      </c>
      <c r="C564" s="18" t="s">
        <v>1772</v>
      </c>
      <c r="D564" s="19">
        <v>0.0</v>
      </c>
      <c r="E564" s="18" t="s">
        <v>80</v>
      </c>
      <c r="F564" s="18" t="s">
        <v>97</v>
      </c>
      <c r="G564" s="15" t="s">
        <v>2024</v>
      </c>
      <c r="H564" s="12">
        <v>88.0</v>
      </c>
      <c r="I564" s="13" t="s">
        <v>248</v>
      </c>
      <c r="J564" s="14" t="s">
        <v>199</v>
      </c>
      <c r="K564" s="14">
        <v>1.0</v>
      </c>
      <c r="L564" s="14" t="str">
        <f t="array" ref="L564">INDEX('School Rep'!$A$2:$A$21, MATCH(J564, 'School Rep'!$B$2:$B$21, 0))</f>
        <v>Ed Bannon</v>
      </c>
      <c r="M564" s="12">
        <v>2.0</v>
      </c>
      <c r="N564" s="16" t="s">
        <v>1773</v>
      </c>
      <c r="O564" s="8" t="str">
        <f t="shared" si="1"/>
        <v>7507 W Birchwood Ave </v>
      </c>
      <c r="P564" s="12">
        <v>41.0</v>
      </c>
      <c r="Q564" s="13" t="s">
        <v>201</v>
      </c>
    </row>
    <row r="565">
      <c r="A565" s="7">
        <v>610191.0</v>
      </c>
      <c r="B565" s="13" t="s">
        <v>1774</v>
      </c>
      <c r="C565" s="18" t="s">
        <v>1775</v>
      </c>
      <c r="D565" s="19">
        <v>0.018</v>
      </c>
      <c r="E565" s="18" t="s">
        <v>80</v>
      </c>
      <c r="F565" s="18" t="s">
        <v>270</v>
      </c>
      <c r="G565" s="15" t="s">
        <v>2035</v>
      </c>
      <c r="H565" s="12">
        <v>52.0</v>
      </c>
      <c r="I565" s="13" t="s">
        <v>20</v>
      </c>
      <c r="J565" s="14" t="s">
        <v>36</v>
      </c>
      <c r="K565" s="14">
        <v>2.0</v>
      </c>
      <c r="L565" s="14" t="str">
        <f t="array" ref="L565">INDEX('School Rep'!$A$2:$A$21, MATCH(J565, 'School Rep'!$B$2:$B$21, 0))</f>
        <v>Ebony DeBerry</v>
      </c>
      <c r="M565" s="12">
        <v>2.1</v>
      </c>
      <c r="N565" s="16" t="s">
        <v>1776</v>
      </c>
      <c r="O565" s="8" t="str">
        <f t="shared" si="1"/>
        <v>6239 N Leavitt St </v>
      </c>
      <c r="P565" s="12">
        <v>50.0</v>
      </c>
      <c r="Q565" s="13" t="s">
        <v>131</v>
      </c>
    </row>
    <row r="566">
      <c r="A566" s="7">
        <v>610192.0</v>
      </c>
      <c r="B566" s="12" t="s">
        <v>1777</v>
      </c>
      <c r="C566" s="18" t="s">
        <v>1778</v>
      </c>
      <c r="D566" s="19">
        <v>0.101</v>
      </c>
      <c r="E566" s="18" t="s">
        <v>80</v>
      </c>
      <c r="F566" s="18" t="s">
        <v>216</v>
      </c>
      <c r="G566" s="15" t="s">
        <v>2032</v>
      </c>
      <c r="H566" s="12">
        <v>49.0</v>
      </c>
      <c r="I566" s="13" t="s">
        <v>20</v>
      </c>
      <c r="J566" s="14" t="s">
        <v>232</v>
      </c>
      <c r="K566" s="14">
        <v>3.0</v>
      </c>
      <c r="L566" s="14" t="str">
        <f t="array" ref="L566">INDEX('School Rep'!$A$2:$A$21, MATCH(J566, 'School Rep'!$B$2:$B$21, 0))</f>
        <v>Carlos Rivas</v>
      </c>
      <c r="M566" s="12">
        <v>3.2</v>
      </c>
      <c r="N566" s="16" t="s">
        <v>1779</v>
      </c>
      <c r="O566" s="8" t="str">
        <f t="shared" si="1"/>
        <v>3444 W Wabansia Ave </v>
      </c>
      <c r="P566" s="12">
        <v>26.0</v>
      </c>
      <c r="Q566" s="13" t="s">
        <v>378</v>
      </c>
    </row>
    <row r="567">
      <c r="A567" s="7">
        <v>610405.0</v>
      </c>
      <c r="B567" s="12" t="s">
        <v>1780</v>
      </c>
      <c r="C567" s="18" t="s">
        <v>1781</v>
      </c>
      <c r="D567" s="19">
        <v>0.032</v>
      </c>
      <c r="E567" s="18" t="s">
        <v>80</v>
      </c>
      <c r="F567" s="18" t="s">
        <v>301</v>
      </c>
      <c r="G567" s="15" t="s">
        <v>2037</v>
      </c>
      <c r="H567" s="12">
        <v>33.0</v>
      </c>
      <c r="I567" s="13" t="s">
        <v>41</v>
      </c>
      <c r="J567" s="14" t="s">
        <v>217</v>
      </c>
      <c r="K567" s="14">
        <v>5.0</v>
      </c>
      <c r="L567" s="14" t="str">
        <f t="array" ref="L567">INDEX('School Rep'!$A$2:$A$21, MATCH(J567, 'School Rep'!$B$2:$B$21, 0))</f>
        <v>Michilla Blaise</v>
      </c>
      <c r="M567" s="12">
        <v>2.1</v>
      </c>
      <c r="N567" s="16" t="s">
        <v>1782</v>
      </c>
      <c r="O567" s="8" t="str">
        <f t="shared" si="1"/>
        <v>2022 W Washington Blvd </v>
      </c>
      <c r="P567" s="12">
        <v>27.0</v>
      </c>
      <c r="Q567" s="13" t="s">
        <v>219</v>
      </c>
    </row>
    <row r="568">
      <c r="A568" s="7">
        <v>609733.0</v>
      </c>
      <c r="B568" s="13" t="s">
        <v>1783</v>
      </c>
      <c r="C568" s="17" t="s">
        <v>1784</v>
      </c>
      <c r="D568" s="10">
        <v>0.231</v>
      </c>
      <c r="E568" s="11" t="s">
        <v>80</v>
      </c>
      <c r="F568" s="11" t="s">
        <v>116</v>
      </c>
      <c r="G568" s="15" t="s">
        <v>2027</v>
      </c>
      <c r="H568" s="12">
        <v>28.0</v>
      </c>
      <c r="I568" s="13" t="s">
        <v>41</v>
      </c>
      <c r="J568" s="14" t="s">
        <v>36</v>
      </c>
      <c r="K568" s="14">
        <v>2.0</v>
      </c>
      <c r="L568" s="14" t="str">
        <f t="array" ref="L568">INDEX('School Rep'!$A$2:$A$21, MATCH(J568, 'School Rep'!$B$2:$B$21, 0))</f>
        <v>Ebony DeBerry</v>
      </c>
      <c r="M568" s="12">
        <v>2.9</v>
      </c>
      <c r="N568" s="16" t="s">
        <v>1785</v>
      </c>
      <c r="O568" s="8" t="str">
        <f t="shared" si="1"/>
        <v>6631 N Bosworth Ave </v>
      </c>
      <c r="P568" s="12">
        <v>49.0</v>
      </c>
      <c r="Q568" s="13" t="s">
        <v>38</v>
      </c>
    </row>
    <row r="569">
      <c r="A569" s="7">
        <v>610194.0</v>
      </c>
      <c r="B569" s="12" t="s">
        <v>1786</v>
      </c>
      <c r="C569" s="18" t="s">
        <v>1787</v>
      </c>
      <c r="D569" s="19">
        <v>0.143</v>
      </c>
      <c r="E569" s="18" t="s">
        <v>80</v>
      </c>
      <c r="F569" s="18" t="s">
        <v>216</v>
      </c>
      <c r="G569" s="15" t="s">
        <v>2032</v>
      </c>
      <c r="H569" s="12">
        <v>47.0</v>
      </c>
      <c r="I569" s="13" t="s">
        <v>20</v>
      </c>
      <c r="J569" s="14" t="s">
        <v>217</v>
      </c>
      <c r="K569" s="14">
        <v>5.0</v>
      </c>
      <c r="L569" s="14" t="str">
        <f t="array" ref="L569">INDEX('School Rep'!$A$2:$A$21, MATCH(J569, 'School Rep'!$B$2:$B$21, 0))</f>
        <v>Michilla Blaise</v>
      </c>
      <c r="M569" s="12">
        <v>3.3</v>
      </c>
      <c r="N569" s="16" t="s">
        <v>1788</v>
      </c>
      <c r="O569" s="8" t="str">
        <f t="shared" si="1"/>
        <v>4320 W 5th Ave </v>
      </c>
      <c r="P569" s="12">
        <v>24.0</v>
      </c>
      <c r="Q569" s="13" t="s">
        <v>517</v>
      </c>
    </row>
    <row r="570">
      <c r="A570" s="7">
        <v>610195.0</v>
      </c>
      <c r="B570" s="8" t="s">
        <v>1789</v>
      </c>
      <c r="C570" s="18" t="s">
        <v>1790</v>
      </c>
      <c r="D570" s="19">
        <v>0.039</v>
      </c>
      <c r="E570" s="18" t="s">
        <v>80</v>
      </c>
      <c r="F570" s="18" t="s">
        <v>138</v>
      </c>
      <c r="G570" s="15" t="s">
        <v>2029</v>
      </c>
      <c r="H570" s="12">
        <v>39.0</v>
      </c>
      <c r="I570" s="13" t="s">
        <v>41</v>
      </c>
      <c r="J570" s="14" t="s">
        <v>178</v>
      </c>
      <c r="K570" s="14">
        <v>9.0</v>
      </c>
      <c r="L570" s="14" t="str">
        <f t="array" ref="L570">INDEX('School Rep'!$A$2:$A$21, MATCH(J570, 'School Rep'!$B$2:$B$21, 0))</f>
        <v>Therese Boyle</v>
      </c>
      <c r="M570" s="15">
        <v>2.6</v>
      </c>
      <c r="N570" s="16" t="s">
        <v>1791</v>
      </c>
      <c r="O570" s="8" t="str">
        <f t="shared" si="1"/>
        <v>10015 S Leavitt St </v>
      </c>
      <c r="P570" s="12">
        <v>19.0</v>
      </c>
      <c r="Q570" s="13" t="s">
        <v>180</v>
      </c>
    </row>
    <row r="571">
      <c r="A571" s="7">
        <v>610196.0</v>
      </c>
      <c r="B571" s="13" t="s">
        <v>1792</v>
      </c>
      <c r="C571" s="18" t="s">
        <v>1793</v>
      </c>
      <c r="D571" s="19">
        <v>0.213</v>
      </c>
      <c r="E571" s="18" t="s">
        <v>80</v>
      </c>
      <c r="F571" s="18" t="s">
        <v>270</v>
      </c>
      <c r="G571" s="15" t="s">
        <v>2035</v>
      </c>
      <c r="H571" s="12">
        <v>49.0</v>
      </c>
      <c r="I571" s="13" t="s">
        <v>20</v>
      </c>
      <c r="J571" s="14" t="s">
        <v>87</v>
      </c>
      <c r="K571" s="14">
        <v>2.0</v>
      </c>
      <c r="L571" s="14" t="str">
        <f t="array" ref="L571">INDEX('School Rep'!$A$2:$A$21, MATCH(J571, 'School Rep'!$B$2:$B$21, 0))</f>
        <v>Debby Pope</v>
      </c>
      <c r="M571" s="12">
        <v>2.9</v>
      </c>
      <c r="N571" s="16" t="s">
        <v>1794</v>
      </c>
      <c r="O571" s="8" t="str">
        <f t="shared" si="1"/>
        <v>5900 N Winthrop Ave </v>
      </c>
      <c r="P571" s="12">
        <v>48.0</v>
      </c>
      <c r="Q571" s="13" t="s">
        <v>807</v>
      </c>
    </row>
    <row r="572">
      <c r="A572" s="7">
        <v>609734.0</v>
      </c>
      <c r="B572" s="13" t="s">
        <v>1795</v>
      </c>
      <c r="C572" s="17" t="s">
        <v>1796</v>
      </c>
      <c r="D572" s="10">
        <v>0.084</v>
      </c>
      <c r="E572" s="11" t="s">
        <v>80</v>
      </c>
      <c r="F572" s="11" t="s">
        <v>116</v>
      </c>
      <c r="G572" s="15" t="s">
        <v>2027</v>
      </c>
      <c r="H572" s="12">
        <v>41.0</v>
      </c>
      <c r="I572" s="13" t="s">
        <v>20</v>
      </c>
      <c r="J572" s="14" t="s">
        <v>199</v>
      </c>
      <c r="K572" s="14">
        <v>1.0</v>
      </c>
      <c r="L572" s="14" t="str">
        <f t="array" ref="L572">INDEX('School Rep'!$A$2:$A$21, MATCH(J572, 'School Rep'!$B$2:$B$21, 0))</f>
        <v>Ed Bannon</v>
      </c>
      <c r="M572" s="12">
        <v>1.5</v>
      </c>
      <c r="N572" s="16" t="s">
        <v>1797</v>
      </c>
      <c r="O572" s="8" t="str">
        <f t="shared" si="1"/>
        <v>6530 W Bryn Mawr Ave </v>
      </c>
      <c r="P572" s="12">
        <v>41.0</v>
      </c>
      <c r="Q572" s="13" t="s">
        <v>201</v>
      </c>
    </row>
    <row r="573">
      <c r="A573" s="7">
        <v>610197.0</v>
      </c>
      <c r="B573" s="12" t="s">
        <v>1798</v>
      </c>
      <c r="C573" s="18" t="s">
        <v>1799</v>
      </c>
      <c r="D573" s="19">
        <v>0.118</v>
      </c>
      <c r="E573" s="18" t="s">
        <v>80</v>
      </c>
      <c r="F573" s="18" t="s">
        <v>301</v>
      </c>
      <c r="G573" s="15" t="s">
        <v>2037</v>
      </c>
      <c r="H573" s="15"/>
      <c r="I573" s="8"/>
      <c r="J573" s="14" t="s">
        <v>217</v>
      </c>
      <c r="K573" s="14">
        <v>5.0</v>
      </c>
      <c r="L573" s="14" t="str">
        <f t="array" ref="L573">INDEX('School Rep'!$A$2:$A$21, MATCH(J573, 'School Rep'!$B$2:$B$21, 0))</f>
        <v>Michilla Blaise</v>
      </c>
      <c r="M573" s="12">
        <v>3.2</v>
      </c>
      <c r="N573" s="16" t="s">
        <v>1800</v>
      </c>
      <c r="O573" s="8" t="str">
        <f t="shared" si="1"/>
        <v>1840 W Ohio St </v>
      </c>
      <c r="P573" s="12">
        <v>36.0</v>
      </c>
      <c r="Q573" s="13" t="s">
        <v>67</v>
      </c>
    </row>
    <row r="574">
      <c r="A574" s="7">
        <v>610249.0</v>
      </c>
      <c r="B574" s="8" t="s">
        <v>1801</v>
      </c>
      <c r="C574" s="18" t="s">
        <v>1802</v>
      </c>
      <c r="D574" s="19">
        <v>0.032</v>
      </c>
      <c r="E574" s="18" t="s">
        <v>80</v>
      </c>
      <c r="F574" s="18" t="s">
        <v>126</v>
      </c>
      <c r="G574" s="15" t="e">
        <v>#N/A</v>
      </c>
      <c r="H574" s="12">
        <v>58.0</v>
      </c>
      <c r="I574" s="13" t="s">
        <v>20</v>
      </c>
      <c r="J574" s="14" t="s">
        <v>21</v>
      </c>
      <c r="K574" s="14">
        <v>7.0</v>
      </c>
      <c r="L574" s="14" t="str">
        <f t="array" ref="L574">INDEX('School Rep'!$A$2:$A$21, MATCH(J574, 'School Rep'!$B$2:$B$21, 0))</f>
        <v>Yesenia Lopez</v>
      </c>
      <c r="M574" s="15">
        <v>3.4</v>
      </c>
      <c r="N574" s="16" t="s">
        <v>1803</v>
      </c>
      <c r="O574" s="8" t="str">
        <f t="shared" si="1"/>
        <v>5450 S Talman Ave </v>
      </c>
      <c r="P574" s="12">
        <v>14.0</v>
      </c>
      <c r="Q574" s="13" t="s">
        <v>54</v>
      </c>
    </row>
    <row r="575">
      <c r="A575" s="7">
        <v>610279.0</v>
      </c>
      <c r="B575" s="8" t="s">
        <v>1804</v>
      </c>
      <c r="C575" s="18" t="s">
        <v>1805</v>
      </c>
      <c r="D575" s="19">
        <v>0.208</v>
      </c>
      <c r="E575" s="18" t="s">
        <v>80</v>
      </c>
      <c r="F575" s="18" t="s">
        <v>144</v>
      </c>
      <c r="G575" s="15" t="s">
        <v>2030</v>
      </c>
      <c r="H575" s="12">
        <v>55.0</v>
      </c>
      <c r="I575" s="13" t="s">
        <v>20</v>
      </c>
      <c r="J575" s="14" t="s">
        <v>204</v>
      </c>
      <c r="K575" s="14">
        <v>6.0</v>
      </c>
      <c r="L575" s="14" t="str">
        <f t="array" ref="L575">INDEX('School Rep'!$A$2:$A$21, MATCH(J575, 'School Rep'!$B$2:$B$21, 0))</f>
        <v>Jessica Biggs</v>
      </c>
      <c r="M575" s="15">
        <v>3.3</v>
      </c>
      <c r="N575" s="16" t="s">
        <v>1806</v>
      </c>
      <c r="O575" s="8" t="str">
        <f t="shared" si="1"/>
        <v>7350 S Evans Ave </v>
      </c>
      <c r="P575" s="12">
        <v>6.0</v>
      </c>
      <c r="Q575" s="13" t="s">
        <v>306</v>
      </c>
    </row>
    <row r="576">
      <c r="A576" s="7">
        <v>610396.0</v>
      </c>
      <c r="B576" s="8" t="s">
        <v>1807</v>
      </c>
      <c r="C576" s="17" t="s">
        <v>1808</v>
      </c>
      <c r="D576" s="10">
        <v>0.046</v>
      </c>
      <c r="E576" s="11" t="s">
        <v>80</v>
      </c>
      <c r="F576" s="11" t="s">
        <v>138</v>
      </c>
      <c r="G576" s="15" t="s">
        <v>2029</v>
      </c>
      <c r="H576" s="12">
        <v>21.0</v>
      </c>
      <c r="I576" s="13" t="s">
        <v>41</v>
      </c>
      <c r="J576" s="14" t="s">
        <v>139</v>
      </c>
      <c r="K576" s="14">
        <v>8.0</v>
      </c>
      <c r="L576" s="14" t="str">
        <f t="array" ref="L576">INDEX('School Rep'!$A$2:$A$21, MATCH(J576, 'School Rep'!$B$2:$B$21, 0))</f>
        <v>Angel Gutierrez</v>
      </c>
      <c r="M576" s="15">
        <v>3.3</v>
      </c>
      <c r="N576" s="16" t="s">
        <v>1809</v>
      </c>
      <c r="O576" s="8" t="str">
        <f t="shared" si="1"/>
        <v>3330 W 71st St </v>
      </c>
      <c r="P576" s="12">
        <v>17.0</v>
      </c>
      <c r="Q576" s="13" t="s">
        <v>189</v>
      </c>
    </row>
    <row r="577">
      <c r="A577" s="7">
        <v>610198.0</v>
      </c>
      <c r="B577" s="12" t="s">
        <v>1810</v>
      </c>
      <c r="C577" s="9" t="s">
        <v>1811</v>
      </c>
      <c r="D577" s="10">
        <v>0.122</v>
      </c>
      <c r="E577" s="11" t="s">
        <v>80</v>
      </c>
      <c r="F577" s="11" t="s">
        <v>81</v>
      </c>
      <c r="G577" s="15" t="s">
        <v>2022</v>
      </c>
      <c r="H577" s="12">
        <v>59.0</v>
      </c>
      <c r="I577" s="13" t="s">
        <v>20</v>
      </c>
      <c r="J577" s="14" t="s">
        <v>82</v>
      </c>
      <c r="K577" s="14">
        <v>10.0</v>
      </c>
      <c r="L577" s="14" t="str">
        <f t="array" ref="L577">INDEX('School Rep'!$A$2:$A$21, MATCH(J577, 'School Rep'!$B$2:$B$21, 0))</f>
        <v>Olga Bautista</v>
      </c>
      <c r="M577" s="12">
        <v>3.0</v>
      </c>
      <c r="N577" s="16" t="s">
        <v>1812</v>
      </c>
      <c r="O577" s="8" t="str">
        <f t="shared" si="1"/>
        <v>9912 S Avenue H </v>
      </c>
      <c r="P577" s="12">
        <v>10.0</v>
      </c>
      <c r="Q577" s="13" t="s">
        <v>84</v>
      </c>
    </row>
    <row r="578">
      <c r="A578" s="7">
        <v>609921.0</v>
      </c>
      <c r="B578" s="8" t="s">
        <v>1813</v>
      </c>
      <c r="C578" s="18" t="s">
        <v>1814</v>
      </c>
      <c r="D578" s="19">
        <v>0.104</v>
      </c>
      <c r="E578" s="18" t="s">
        <v>80</v>
      </c>
      <c r="F578" s="18" t="s">
        <v>529</v>
      </c>
      <c r="G578" s="15" t="s">
        <v>2039</v>
      </c>
      <c r="H578" s="12">
        <v>75.0</v>
      </c>
      <c r="I578" s="13" t="s">
        <v>52</v>
      </c>
      <c r="J578" s="14" t="s">
        <v>42</v>
      </c>
      <c r="K578" s="14">
        <v>7.0</v>
      </c>
      <c r="L578" s="14" t="str">
        <f t="array" ref="L578">INDEX('School Rep'!$A$2:$A$21, MATCH(J578, 'School Rep'!$B$2:$B$21, 0))</f>
        <v>Emma Lozano</v>
      </c>
      <c r="M578" s="15">
        <v>3.7</v>
      </c>
      <c r="N578" s="16" t="s">
        <v>1815</v>
      </c>
      <c r="O578" s="8" t="str">
        <f t="shared" si="1"/>
        <v>2832 W 24th Blvd </v>
      </c>
      <c r="P578" s="12">
        <v>24.0</v>
      </c>
      <c r="Q578" s="13" t="s">
        <v>517</v>
      </c>
    </row>
    <row r="579">
      <c r="A579" s="7">
        <v>610504.0</v>
      </c>
      <c r="B579" s="8" t="s">
        <v>1816</v>
      </c>
      <c r="C579" s="18" t="s">
        <v>1817</v>
      </c>
      <c r="D579" s="19">
        <v>0.0</v>
      </c>
      <c r="E579" s="18" t="s">
        <v>80</v>
      </c>
      <c r="F579" s="18" t="s">
        <v>126</v>
      </c>
      <c r="G579" s="15" t="e">
        <v>#N/A</v>
      </c>
      <c r="H579" s="12">
        <v>51.0</v>
      </c>
      <c r="I579" s="13" t="s">
        <v>20</v>
      </c>
      <c r="J579" s="14" t="s">
        <v>26</v>
      </c>
      <c r="K579" s="14">
        <v>8.0</v>
      </c>
      <c r="L579" s="14" t="str">
        <f t="array" ref="L579">INDEX('School Rep'!$A$2:$A$21, MATCH(J579, 'School Rep'!$B$2:$B$21, 0))</f>
        <v>Cydney Wallace</v>
      </c>
      <c r="M579" s="15">
        <v>2.5</v>
      </c>
      <c r="N579" s="16" t="s">
        <v>1818</v>
      </c>
      <c r="O579" s="8" t="str">
        <f t="shared" si="1"/>
        <v>3625 S Hoyne Ave </v>
      </c>
      <c r="P579" s="12">
        <v>12.0</v>
      </c>
      <c r="Q579" s="13" t="s">
        <v>23</v>
      </c>
    </row>
    <row r="580">
      <c r="A580" s="7">
        <v>610200.0</v>
      </c>
      <c r="B580" s="13" t="s">
        <v>1819</v>
      </c>
      <c r="C580" s="17" t="s">
        <v>1820</v>
      </c>
      <c r="D580" s="10">
        <v>0.249</v>
      </c>
      <c r="E580" s="11" t="s">
        <v>80</v>
      </c>
      <c r="F580" s="11" t="s">
        <v>144</v>
      </c>
      <c r="G580" s="15" t="s">
        <v>2030</v>
      </c>
      <c r="H580" s="12">
        <v>61.0</v>
      </c>
      <c r="I580" s="13" t="s">
        <v>52</v>
      </c>
      <c r="J580" s="14" t="s">
        <v>82</v>
      </c>
      <c r="K580" s="14">
        <v>10.0</v>
      </c>
      <c r="L580" s="14" t="str">
        <f t="array" ref="L580">INDEX('School Rep'!$A$2:$A$21, MATCH(J580, 'School Rep'!$B$2:$B$21, 0))</f>
        <v>Olga Bautista</v>
      </c>
      <c r="M580" s="12">
        <v>3.8</v>
      </c>
      <c r="N580" s="16" t="s">
        <v>1115</v>
      </c>
      <c r="O580" s="8" t="str">
        <f t="shared" si="1"/>
        <v>8914 S Buffalo Ave </v>
      </c>
      <c r="P580" s="12">
        <v>10.0</v>
      </c>
      <c r="Q580" s="13" t="s">
        <v>84</v>
      </c>
    </row>
    <row r="581">
      <c r="A581" s="7">
        <v>610201.0</v>
      </c>
      <c r="B581" s="13" t="s">
        <v>1821</v>
      </c>
      <c r="C581" s="18" t="s">
        <v>1822</v>
      </c>
      <c r="D581" s="19">
        <v>0.0</v>
      </c>
      <c r="E581" s="18" t="s">
        <v>80</v>
      </c>
      <c r="F581" s="18" t="s">
        <v>126</v>
      </c>
      <c r="G581" s="15" t="e">
        <v>#N/A</v>
      </c>
      <c r="H581" s="12">
        <v>48.0</v>
      </c>
      <c r="I581" s="13" t="s">
        <v>20</v>
      </c>
      <c r="J581" s="14" t="s">
        <v>222</v>
      </c>
      <c r="K581" s="14">
        <v>1.0</v>
      </c>
      <c r="L581" s="14" t="str">
        <f t="array" ref="L581">INDEX('School Rep'!$A$2:$A$21, MATCH(J581, 'School Rep'!$B$2:$B$21, 0))</f>
        <v>Jennifer Custer</v>
      </c>
      <c r="M581" s="12">
        <v>2.7</v>
      </c>
      <c r="N581" s="16" t="s">
        <v>1823</v>
      </c>
      <c r="O581" s="8" t="str">
        <f t="shared" si="1"/>
        <v>6024 W Warwick Ave </v>
      </c>
      <c r="P581" s="12">
        <v>38.0</v>
      </c>
      <c r="Q581" s="13" t="s">
        <v>279</v>
      </c>
    </row>
    <row r="582">
      <c r="A582" s="7">
        <v>609735.0</v>
      </c>
      <c r="B582" s="8" t="s">
        <v>1824</v>
      </c>
      <c r="C582" s="18" t="s">
        <v>1825</v>
      </c>
      <c r="D582" s="19">
        <v>0.214</v>
      </c>
      <c r="E582" s="18" t="s">
        <v>80</v>
      </c>
      <c r="F582" s="18" t="s">
        <v>92</v>
      </c>
      <c r="G582" s="15" t="s">
        <v>2023</v>
      </c>
      <c r="H582" s="12">
        <v>46.0</v>
      </c>
      <c r="I582" s="13" t="s">
        <v>20</v>
      </c>
      <c r="J582" s="14" t="s">
        <v>187</v>
      </c>
      <c r="K582" s="14">
        <v>9.0</v>
      </c>
      <c r="L582" s="14" t="str">
        <f t="array" ref="L582">INDEX('School Rep'!$A$2:$A$21, MATCH(J582, 'School Rep'!$B$2:$B$21, 0))</f>
        <v>Frank Niles Thomas</v>
      </c>
      <c r="M582" s="15">
        <v>3.5</v>
      </c>
      <c r="N582" s="16" t="s">
        <v>1826</v>
      </c>
      <c r="O582" s="8" t="str">
        <f t="shared" si="1"/>
        <v>4747 S Union Ave </v>
      </c>
      <c r="P582" s="12">
        <v>15.0</v>
      </c>
      <c r="Q582" s="13" t="s">
        <v>364</v>
      </c>
    </row>
    <row r="583">
      <c r="A583" s="7">
        <v>610065.0</v>
      </c>
      <c r="B583" s="8" t="s">
        <v>1827</v>
      </c>
      <c r="C583" s="18" t="s">
        <v>1828</v>
      </c>
      <c r="D583" s="19">
        <v>0.186</v>
      </c>
      <c r="E583" s="18" t="s">
        <v>80</v>
      </c>
      <c r="F583" s="18" t="s">
        <v>120</v>
      </c>
      <c r="G583" s="15" t="s">
        <v>2028</v>
      </c>
      <c r="H583" s="12">
        <v>39.0</v>
      </c>
      <c r="I583" s="13" t="s">
        <v>41</v>
      </c>
      <c r="J583" s="14" t="s">
        <v>204</v>
      </c>
      <c r="K583" s="14">
        <v>6.0</v>
      </c>
      <c r="L583" s="14" t="str">
        <f t="array" ref="L583">INDEX('School Rep'!$A$2:$A$21, MATCH(J583, 'School Rep'!$B$2:$B$21, 0))</f>
        <v>Jessica Biggs</v>
      </c>
      <c r="M583" s="15">
        <v>2.9</v>
      </c>
      <c r="N583" s="16" t="s">
        <v>1829</v>
      </c>
      <c r="O583" s="8" t="str">
        <f t="shared" si="1"/>
        <v>6543 S Champlain Ave </v>
      </c>
      <c r="P583" s="12">
        <v>20.0</v>
      </c>
      <c r="Q583" s="13" t="s">
        <v>368</v>
      </c>
    </row>
    <row r="584">
      <c r="A584" s="7">
        <v>610202.0</v>
      </c>
      <c r="B584" s="8" t="s">
        <v>1830</v>
      </c>
      <c r="C584" s="18" t="s">
        <v>1831</v>
      </c>
      <c r="D584" s="19">
        <v>0.245</v>
      </c>
      <c r="E584" s="18" t="s">
        <v>80</v>
      </c>
      <c r="F584" s="18" t="s">
        <v>216</v>
      </c>
      <c r="G584" s="15" t="s">
        <v>2032</v>
      </c>
      <c r="H584" s="12">
        <v>45.0</v>
      </c>
      <c r="I584" s="13" t="s">
        <v>20</v>
      </c>
      <c r="J584" s="14" t="s">
        <v>217</v>
      </c>
      <c r="K584" s="14">
        <v>5.0</v>
      </c>
      <c r="L584" s="14" t="str">
        <f t="array" ref="L584">INDEX('School Rep'!$A$2:$A$21, MATCH(J584, 'School Rep'!$B$2:$B$21, 0))</f>
        <v>Michilla Blaise</v>
      </c>
      <c r="M584" s="15">
        <v>3.8</v>
      </c>
      <c r="N584" s="16" t="s">
        <v>1832</v>
      </c>
      <c r="O584" s="8" t="str">
        <f t="shared" si="1"/>
        <v>223 N Keeler Ave </v>
      </c>
      <c r="P584" s="12">
        <v>28.0</v>
      </c>
      <c r="Q584" s="13" t="s">
        <v>399</v>
      </c>
    </row>
    <row r="585">
      <c r="A585" s="7">
        <v>609773.0</v>
      </c>
      <c r="B585" s="12" t="s">
        <v>1833</v>
      </c>
      <c r="C585" s="11" t="s">
        <v>1834</v>
      </c>
      <c r="D585" s="10">
        <v>0.066</v>
      </c>
      <c r="E585" s="11" t="s">
        <v>80</v>
      </c>
      <c r="F585" s="11" t="s">
        <v>102</v>
      </c>
      <c r="G585" s="15" t="s">
        <v>2025</v>
      </c>
      <c r="H585" s="12">
        <v>37.0</v>
      </c>
      <c r="I585" s="13" t="s">
        <v>41</v>
      </c>
      <c r="J585" s="14" t="s">
        <v>103</v>
      </c>
      <c r="K585" s="14">
        <v>4.0</v>
      </c>
      <c r="L585" s="14" t="str">
        <f t="array" ref="L585">INDEX('School Rep'!$A$2:$A$21, MATCH(J585, 'School Rep'!$B$2:$B$21, 0))</f>
        <v>Ellen Rosenfeld</v>
      </c>
      <c r="M585" s="12">
        <v>2.1</v>
      </c>
      <c r="N585" s="16" t="s">
        <v>1835</v>
      </c>
      <c r="O585" s="8" t="str">
        <f t="shared" si="1"/>
        <v>2851 N Seminary Ave </v>
      </c>
      <c r="P585" s="12">
        <v>44.0</v>
      </c>
      <c r="Q585" s="13" t="s">
        <v>886</v>
      </c>
    </row>
    <row r="586">
      <c r="A586" s="7">
        <v>609895.0</v>
      </c>
      <c r="B586" s="8" t="s">
        <v>1836</v>
      </c>
      <c r="C586" s="18" t="s">
        <v>1837</v>
      </c>
      <c r="D586" s="19">
        <v>0.0</v>
      </c>
      <c r="E586" s="18" t="s">
        <v>80</v>
      </c>
      <c r="F586" s="18" t="s">
        <v>186</v>
      </c>
      <c r="G586" s="15" t="s">
        <v>2031</v>
      </c>
      <c r="H586" s="12">
        <v>77.0</v>
      </c>
      <c r="I586" s="13" t="s">
        <v>52</v>
      </c>
      <c r="J586" s="14" t="s">
        <v>178</v>
      </c>
      <c r="K586" s="14">
        <v>9.0</v>
      </c>
      <c r="L586" s="14" t="str">
        <f t="array" ref="L586">INDEX('School Rep'!$A$2:$A$21, MATCH(J586, 'School Rep'!$B$2:$B$21, 0))</f>
        <v>Therese Boyle</v>
      </c>
      <c r="M586" s="15">
        <v>3.2</v>
      </c>
      <c r="N586" s="16" t="s">
        <v>1838</v>
      </c>
      <c r="O586" s="8" t="str">
        <f t="shared" si="1"/>
        <v>9300 S Princeton Ave </v>
      </c>
      <c r="P586" s="12">
        <v>9.0</v>
      </c>
      <c r="Q586" s="13" t="s">
        <v>237</v>
      </c>
    </row>
    <row r="587">
      <c r="A587" s="7">
        <v>610206.0</v>
      </c>
      <c r="B587" s="8" t="s">
        <v>1839</v>
      </c>
      <c r="C587" s="18" t="s">
        <v>1840</v>
      </c>
      <c r="D587" s="19">
        <v>0.053</v>
      </c>
      <c r="E587" s="18" t="s">
        <v>80</v>
      </c>
      <c r="F587" s="18" t="s">
        <v>138</v>
      </c>
      <c r="G587" s="15" t="s">
        <v>2029</v>
      </c>
      <c r="H587" s="12">
        <v>49.0</v>
      </c>
      <c r="I587" s="13" t="s">
        <v>20</v>
      </c>
      <c r="J587" s="14" t="s">
        <v>139</v>
      </c>
      <c r="K587" s="14">
        <v>8.0</v>
      </c>
      <c r="L587" s="14" t="str">
        <f t="array" ref="L587">INDEX('School Rep'!$A$2:$A$21, MATCH(J587, 'School Rep'!$B$2:$B$21, 0))</f>
        <v>Angel Gutierrez</v>
      </c>
      <c r="M587" s="15">
        <v>2.5</v>
      </c>
      <c r="N587" s="16" t="s">
        <v>1841</v>
      </c>
      <c r="O587" s="8" t="str">
        <f t="shared" si="1"/>
        <v>5134 S Lotus Ave </v>
      </c>
      <c r="P587" s="12">
        <v>23.0</v>
      </c>
      <c r="Q587" s="13" t="s">
        <v>172</v>
      </c>
    </row>
    <row r="588">
      <c r="A588" s="7">
        <v>400075.0</v>
      </c>
      <c r="B588" s="13" t="s">
        <v>1842</v>
      </c>
      <c r="C588" s="11" t="s">
        <v>1843</v>
      </c>
      <c r="D588" s="10">
        <v>0.048</v>
      </c>
      <c r="E588" s="11" t="s">
        <v>19</v>
      </c>
      <c r="F588" s="11" t="s">
        <v>19</v>
      </c>
      <c r="G588" s="15" t="e">
        <v>#N/A</v>
      </c>
      <c r="H588" s="15"/>
      <c r="I588" s="8"/>
      <c r="J588" s="14" t="s">
        <v>121</v>
      </c>
      <c r="K588" s="14">
        <v>10.0</v>
      </c>
      <c r="L588" s="14" t="str">
        <f t="array" ref="L588">INDEX('School Rep'!$A$2:$A$21, MATCH(J588, 'School Rep'!$B$2:$B$21, 0))</f>
        <v>Che "Rhymefest" Smith</v>
      </c>
      <c r="M588" s="12">
        <v>3.2</v>
      </c>
      <c r="N588" s="16" t="s">
        <v>1844</v>
      </c>
      <c r="O588" s="8" t="str">
        <f t="shared" si="1"/>
        <v>707 E 37th St </v>
      </c>
      <c r="P588" s="12">
        <v>4.0</v>
      </c>
      <c r="Q588" s="13" t="s">
        <v>123</v>
      </c>
    </row>
    <row r="589">
      <c r="A589" s="7">
        <v>400076.0</v>
      </c>
      <c r="B589" s="13" t="s">
        <v>1845</v>
      </c>
      <c r="C589" s="11" t="s">
        <v>1846</v>
      </c>
      <c r="D589" s="10">
        <v>0.033</v>
      </c>
      <c r="E589" s="11" t="s">
        <v>19</v>
      </c>
      <c r="F589" s="11" t="s">
        <v>19</v>
      </c>
      <c r="G589" s="15" t="e">
        <v>#N/A</v>
      </c>
      <c r="H589" s="12">
        <v>62.0</v>
      </c>
      <c r="I589" s="13" t="s">
        <v>52</v>
      </c>
      <c r="J589" s="14" t="s">
        <v>121</v>
      </c>
      <c r="K589" s="14">
        <v>10.0</v>
      </c>
      <c r="L589" s="14" t="str">
        <f t="array" ref="L589">INDEX('School Rep'!$A$2:$A$21, MATCH(J589, 'School Rep'!$B$2:$B$21, 0))</f>
        <v>Che "Rhymefest" Smith</v>
      </c>
      <c r="M589" s="12">
        <v>2.9</v>
      </c>
      <c r="N589" s="16" t="s">
        <v>122</v>
      </c>
      <c r="O589" s="8" t="str">
        <f t="shared" si="1"/>
        <v>1119 E 46th St </v>
      </c>
      <c r="P589" s="12">
        <v>4.0</v>
      </c>
      <c r="Q589" s="13" t="s">
        <v>123</v>
      </c>
    </row>
    <row r="590">
      <c r="A590" s="7">
        <v>400077.0</v>
      </c>
      <c r="B590" s="8" t="s">
        <v>1847</v>
      </c>
      <c r="C590" s="18" t="s">
        <v>1848</v>
      </c>
      <c r="D590" s="19">
        <v>0.063</v>
      </c>
      <c r="E590" s="18" t="s">
        <v>19</v>
      </c>
      <c r="F590" s="18" t="s">
        <v>19</v>
      </c>
      <c r="G590" s="15" t="e">
        <v>#N/A</v>
      </c>
      <c r="H590" s="12">
        <v>42.0</v>
      </c>
      <c r="I590" s="13" t="s">
        <v>20</v>
      </c>
      <c r="J590" s="14" t="s">
        <v>204</v>
      </c>
      <c r="K590" s="14">
        <v>6.0</v>
      </c>
      <c r="L590" s="14" t="str">
        <f t="array" ref="L590">INDEX('School Rep'!$A$2:$A$21, MATCH(J590, 'School Rep'!$B$2:$B$21, 0))</f>
        <v>Jessica Biggs</v>
      </c>
      <c r="M590" s="15">
        <v>3.1</v>
      </c>
      <c r="N590" s="16" t="s">
        <v>1849</v>
      </c>
      <c r="O590" s="8" t="str">
        <f t="shared" si="1"/>
        <v>6300 S University Ave </v>
      </c>
      <c r="P590" s="12">
        <v>20.0</v>
      </c>
      <c r="Q590" s="13" t="s">
        <v>368</v>
      </c>
    </row>
    <row r="591">
      <c r="A591" s="7">
        <v>610394.0</v>
      </c>
      <c r="B591" s="12" t="s">
        <v>1850</v>
      </c>
      <c r="C591" s="9" t="s">
        <v>1851</v>
      </c>
      <c r="D591" s="10">
        <v>0.191</v>
      </c>
      <c r="E591" s="11" t="s">
        <v>80</v>
      </c>
      <c r="F591" s="11" t="s">
        <v>116</v>
      </c>
      <c r="G591" s="15" t="s">
        <v>2027</v>
      </c>
      <c r="H591" s="12">
        <v>34.0</v>
      </c>
      <c r="I591" s="13" t="s">
        <v>41</v>
      </c>
      <c r="J591" s="14" t="s">
        <v>243</v>
      </c>
      <c r="K591" s="14">
        <v>4.0</v>
      </c>
      <c r="L591" s="14" t="str">
        <f t="array" ref="L591">INDEX('School Rep'!$A$2:$A$21, MATCH(J591, 'School Rep'!$B$2:$B$21, 0))</f>
        <v>Karen Zaccor</v>
      </c>
      <c r="M591" s="12">
        <v>2.9</v>
      </c>
      <c r="N591" s="16" t="s">
        <v>1852</v>
      </c>
      <c r="O591" s="8" t="str">
        <f t="shared" si="1"/>
        <v>900 W Wilson Ave </v>
      </c>
      <c r="P591" s="12">
        <v>46.0</v>
      </c>
      <c r="Q591" s="13" t="s">
        <v>245</v>
      </c>
    </row>
    <row r="592">
      <c r="A592" s="7">
        <v>400105.0</v>
      </c>
      <c r="B592" s="13" t="s">
        <v>1853</v>
      </c>
      <c r="C592" s="11" t="s">
        <v>1854</v>
      </c>
      <c r="D592" s="10">
        <v>0.139</v>
      </c>
      <c r="E592" s="11" t="s">
        <v>19</v>
      </c>
      <c r="F592" s="11" t="s">
        <v>19</v>
      </c>
      <c r="G592" s="15" t="e">
        <v>#N/A</v>
      </c>
      <c r="H592" s="12">
        <v>64.0</v>
      </c>
      <c r="I592" s="13" t="s">
        <v>52</v>
      </c>
      <c r="J592" s="14" t="s">
        <v>121</v>
      </c>
      <c r="K592" s="14">
        <v>10.0</v>
      </c>
      <c r="L592" s="14" t="str">
        <f t="array" ref="L592">INDEX('School Rep'!$A$2:$A$21, MATCH(J592, 'School Rep'!$B$2:$B$21, 0))</f>
        <v>Che "Rhymefest" Smith</v>
      </c>
      <c r="M592" s="12">
        <v>3.2</v>
      </c>
      <c r="N592" s="16" t="s">
        <v>1855</v>
      </c>
      <c r="O592" s="8" t="str">
        <f t="shared" si="1"/>
        <v>521 E 35th St </v>
      </c>
      <c r="P592" s="12">
        <v>4.0</v>
      </c>
      <c r="Q592" s="13" t="s">
        <v>123</v>
      </c>
    </row>
    <row r="593">
      <c r="A593" s="7">
        <v>400086.0</v>
      </c>
      <c r="B593" s="8" t="s">
        <v>1856</v>
      </c>
      <c r="C593" s="11" t="s">
        <v>1857</v>
      </c>
      <c r="D593" s="10">
        <v>0.178</v>
      </c>
      <c r="E593" s="11" t="s">
        <v>19</v>
      </c>
      <c r="F593" s="11" t="s">
        <v>19</v>
      </c>
      <c r="G593" s="15" t="e">
        <v>#N/A</v>
      </c>
      <c r="H593" s="12">
        <v>63.0</v>
      </c>
      <c r="I593" s="13" t="s">
        <v>52</v>
      </c>
      <c r="J593" s="14" t="s">
        <v>204</v>
      </c>
      <c r="K593" s="14">
        <v>6.0</v>
      </c>
      <c r="L593" s="14" t="str">
        <f t="array" ref="L593">INDEX('School Rep'!$A$2:$A$21, MATCH(J593, 'School Rep'!$B$2:$B$21, 0))</f>
        <v>Jessica Biggs</v>
      </c>
      <c r="M593" s="15">
        <v>3.4</v>
      </c>
      <c r="N593" s="16" t="s">
        <v>1858</v>
      </c>
      <c r="O593" s="8" t="str">
        <f t="shared" si="1"/>
        <v>6201 S Stewart Ave </v>
      </c>
      <c r="P593" s="12">
        <v>20.0</v>
      </c>
      <c r="Q593" s="13" t="s">
        <v>368</v>
      </c>
    </row>
    <row r="594">
      <c r="A594" s="7">
        <v>610207.0</v>
      </c>
      <c r="B594" s="8" t="s">
        <v>1859</v>
      </c>
      <c r="C594" s="18" t="s">
        <v>1860</v>
      </c>
      <c r="D594" s="19">
        <v>0.0</v>
      </c>
      <c r="E594" s="18" t="s">
        <v>80</v>
      </c>
      <c r="F594" s="18" t="s">
        <v>138</v>
      </c>
      <c r="G594" s="15" t="s">
        <v>2029</v>
      </c>
      <c r="H594" s="12">
        <v>39.0</v>
      </c>
      <c r="I594" s="13" t="s">
        <v>41</v>
      </c>
      <c r="J594" s="14" t="s">
        <v>178</v>
      </c>
      <c r="K594" s="14">
        <v>9.0</v>
      </c>
      <c r="L594" s="14" t="str">
        <f t="array" ref="L594">INDEX('School Rep'!$A$2:$A$21, MATCH(J594, 'School Rep'!$B$2:$B$21, 0))</f>
        <v>Therese Boyle</v>
      </c>
      <c r="M594" s="15">
        <v>2.8</v>
      </c>
      <c r="N594" s="16" t="s">
        <v>1861</v>
      </c>
      <c r="O594" s="8" t="str">
        <f t="shared" si="1"/>
        <v>9510 S Prospect Ave </v>
      </c>
      <c r="P594" s="12">
        <v>19.0</v>
      </c>
      <c r="Q594" s="13" t="s">
        <v>180</v>
      </c>
    </row>
    <row r="595">
      <c r="A595" s="7">
        <v>609766.0</v>
      </c>
      <c r="B595" s="8" t="s">
        <v>1862</v>
      </c>
      <c r="C595" s="17" t="s">
        <v>1863</v>
      </c>
      <c r="D595" s="10">
        <v>0.0</v>
      </c>
      <c r="E595" s="11" t="s">
        <v>80</v>
      </c>
      <c r="F595" s="11" t="s">
        <v>116</v>
      </c>
      <c r="G595" s="15" t="s">
        <v>2027</v>
      </c>
      <c r="H595" s="12">
        <v>67.0</v>
      </c>
      <c r="I595" s="13" t="s">
        <v>52</v>
      </c>
      <c r="J595" s="15" t="s">
        <v>384</v>
      </c>
      <c r="K595" s="15" t="s">
        <v>384</v>
      </c>
      <c r="L595" s="15" t="s">
        <v>384</v>
      </c>
      <c r="M595" s="15" t="s">
        <v>384</v>
      </c>
      <c r="N595" s="16" t="s">
        <v>1864</v>
      </c>
      <c r="O595" s="8" t="str">
        <f t="shared" si="1"/>
        <v>4355 N Linder Ave </v>
      </c>
      <c r="P595" s="12">
        <v>45.0</v>
      </c>
      <c r="Q595" s="13" t="s">
        <v>210</v>
      </c>
    </row>
    <row r="596">
      <c r="A596" s="7">
        <v>609871.0</v>
      </c>
      <c r="B596" s="8" t="s">
        <v>1865</v>
      </c>
      <c r="C596" s="17" t="s">
        <v>1866</v>
      </c>
      <c r="D596" s="10">
        <v>0.0</v>
      </c>
      <c r="E596" s="11" t="s">
        <v>80</v>
      </c>
      <c r="F596" s="11" t="s">
        <v>138</v>
      </c>
      <c r="G596" s="15" t="s">
        <v>2029</v>
      </c>
      <c r="H596" s="12">
        <v>63.0</v>
      </c>
      <c r="I596" s="13" t="s">
        <v>52</v>
      </c>
      <c r="J596" s="14" t="s">
        <v>178</v>
      </c>
      <c r="K596" s="14">
        <v>9.0</v>
      </c>
      <c r="L596" s="14" t="str">
        <f t="array" ref="L596">INDEX('School Rep'!$A$2:$A$21, MATCH(J596, 'School Rep'!$B$2:$B$21, 0))</f>
        <v>Therese Boyle</v>
      </c>
      <c r="M596" s="15">
        <v>2.5</v>
      </c>
      <c r="N596" s="16" t="s">
        <v>1867</v>
      </c>
      <c r="O596" s="8" t="str">
        <f t="shared" si="1"/>
        <v>2554 W 113th St </v>
      </c>
      <c r="P596" s="12">
        <v>19.0</v>
      </c>
      <c r="Q596" s="13" t="s">
        <v>180</v>
      </c>
    </row>
    <row r="597">
      <c r="A597" s="7">
        <v>610209.0</v>
      </c>
      <c r="B597" s="13" t="s">
        <v>1868</v>
      </c>
      <c r="C597" s="18" t="s">
        <v>1869</v>
      </c>
      <c r="D597" s="19">
        <v>0.128</v>
      </c>
      <c r="E597" s="18" t="s">
        <v>80</v>
      </c>
      <c r="F597" s="18" t="s">
        <v>97</v>
      </c>
      <c r="G597" s="15" t="s">
        <v>2024</v>
      </c>
      <c r="H597" s="12">
        <v>27.0</v>
      </c>
      <c r="I597" s="13" t="s">
        <v>41</v>
      </c>
      <c r="J597" s="14" t="s">
        <v>87</v>
      </c>
      <c r="K597" s="14">
        <v>2.0</v>
      </c>
      <c r="L597" s="14" t="str">
        <f t="array" ref="L597">INDEX('School Rep'!$A$2:$A$21, MATCH(J597, 'School Rep'!$B$2:$B$21, 0))</f>
        <v>Debby Pope</v>
      </c>
      <c r="M597" s="12">
        <v>2.7</v>
      </c>
      <c r="N597" s="16" t="s">
        <v>1870</v>
      </c>
      <c r="O597" s="8" t="str">
        <f t="shared" si="1"/>
        <v>4950 N Avers Ave </v>
      </c>
      <c r="P597" s="12">
        <v>39.0</v>
      </c>
      <c r="Q597" s="13" t="s">
        <v>224</v>
      </c>
    </row>
    <row r="598">
      <c r="A598" s="7">
        <v>610039.0</v>
      </c>
      <c r="B598" s="12" t="s">
        <v>1871</v>
      </c>
      <c r="C598" s="9" t="s">
        <v>1872</v>
      </c>
      <c r="D598" s="10">
        <v>0.031</v>
      </c>
      <c r="E598" s="11" t="s">
        <v>80</v>
      </c>
      <c r="F598" s="11" t="s">
        <v>102</v>
      </c>
      <c r="G598" s="15" t="s">
        <v>2025</v>
      </c>
      <c r="H598" s="12">
        <v>50.0</v>
      </c>
      <c r="I598" s="13" t="s">
        <v>20</v>
      </c>
      <c r="J598" s="14" t="s">
        <v>47</v>
      </c>
      <c r="K598" s="14">
        <v>3.0</v>
      </c>
      <c r="L598" s="14" t="str">
        <f t="array" ref="L598">INDEX('School Rep'!$A$2:$A$21, MATCH(J598, 'School Rep'!$B$2:$B$21, 0))</f>
        <v>Norma Rios-Sierra</v>
      </c>
      <c r="M598" s="12">
        <v>2.0</v>
      </c>
      <c r="N598" s="16" t="s">
        <v>1873</v>
      </c>
      <c r="O598" s="8" t="str">
        <f t="shared" si="1"/>
        <v>3221 N Sacramento Ave </v>
      </c>
      <c r="P598" s="12">
        <v>33.0</v>
      </c>
      <c r="Q598" s="13" t="s">
        <v>99</v>
      </c>
    </row>
    <row r="599">
      <c r="A599" s="7">
        <v>609737.0</v>
      </c>
      <c r="B599" s="13" t="s">
        <v>1874</v>
      </c>
      <c r="C599" s="18" t="s">
        <v>1875</v>
      </c>
      <c r="D599" s="19">
        <v>0.031</v>
      </c>
      <c r="E599" s="18" t="s">
        <v>80</v>
      </c>
      <c r="F599" s="18" t="s">
        <v>116</v>
      </c>
      <c r="G599" s="15" t="s">
        <v>2027</v>
      </c>
      <c r="H599" s="12">
        <v>21.0</v>
      </c>
      <c r="I599" s="13" t="s">
        <v>41</v>
      </c>
      <c r="J599" s="14" t="s">
        <v>87</v>
      </c>
      <c r="K599" s="14">
        <v>2.0</v>
      </c>
      <c r="L599" s="14" t="str">
        <f t="array" ref="L599">INDEX('School Rep'!$A$2:$A$21, MATCH(J599, 'School Rep'!$B$2:$B$21, 0))</f>
        <v>Debby Pope</v>
      </c>
      <c r="M599" s="12">
        <v>1.5</v>
      </c>
      <c r="N599" s="16" t="s">
        <v>1876</v>
      </c>
      <c r="O599" s="8" t="str">
        <f t="shared" si="1"/>
        <v>5039 N Kimball Ave </v>
      </c>
      <c r="P599" s="12">
        <v>39.0</v>
      </c>
      <c r="Q599" s="13" t="s">
        <v>224</v>
      </c>
    </row>
    <row r="600">
      <c r="A600" s="7">
        <v>610366.0</v>
      </c>
      <c r="B600" s="8" t="s">
        <v>1877</v>
      </c>
      <c r="C600" s="18" t="s">
        <v>1878</v>
      </c>
      <c r="D600" s="19">
        <v>0.094</v>
      </c>
      <c r="E600" s="18" t="s">
        <v>80</v>
      </c>
      <c r="F600" s="18" t="s">
        <v>126</v>
      </c>
      <c r="G600" s="15" t="e">
        <v>#N/A</v>
      </c>
      <c r="H600" s="12">
        <v>64.0</v>
      </c>
      <c r="I600" s="13" t="s">
        <v>52</v>
      </c>
      <c r="J600" s="14" t="s">
        <v>178</v>
      </c>
      <c r="K600" s="14">
        <v>9.0</v>
      </c>
      <c r="L600" s="14" t="str">
        <f t="array" ref="L600">INDEX('School Rep'!$A$2:$A$21, MATCH(J600, 'School Rep'!$B$2:$B$21, 0))</f>
        <v>Therese Boyle</v>
      </c>
      <c r="M600" s="15">
        <v>3.3</v>
      </c>
      <c r="N600" s="16" t="s">
        <v>1879</v>
      </c>
      <c r="O600" s="8" t="str">
        <f t="shared" si="1"/>
        <v>9746 S Morgan St </v>
      </c>
      <c r="P600" s="12">
        <v>21.0</v>
      </c>
      <c r="Q600" s="13" t="s">
        <v>428</v>
      </c>
    </row>
    <row r="601">
      <c r="A601" s="7">
        <v>610213.0</v>
      </c>
      <c r="B601" s="8" t="s">
        <v>1880</v>
      </c>
      <c r="C601" s="18" t="s">
        <v>1881</v>
      </c>
      <c r="D601" s="19">
        <v>0.232</v>
      </c>
      <c r="E601" s="18" t="s">
        <v>80</v>
      </c>
      <c r="F601" s="18" t="s">
        <v>120</v>
      </c>
      <c r="G601" s="15" t="s">
        <v>2028</v>
      </c>
      <c r="H601" s="12">
        <v>54.0</v>
      </c>
      <c r="I601" s="13" t="s">
        <v>20</v>
      </c>
      <c r="J601" s="14" t="s">
        <v>204</v>
      </c>
      <c r="K601" s="14">
        <v>6.0</v>
      </c>
      <c r="L601" s="14" t="str">
        <f t="array" ref="L601">INDEX('School Rep'!$A$2:$A$21, MATCH(J601, 'School Rep'!$B$2:$B$21, 0))</f>
        <v>Jessica Biggs</v>
      </c>
      <c r="M601" s="15">
        <v>2.8</v>
      </c>
      <c r="N601" s="16" t="s">
        <v>1882</v>
      </c>
      <c r="O601" s="8" t="str">
        <f t="shared" si="1"/>
        <v>6650 S Ellis Ave </v>
      </c>
      <c r="P601" s="12">
        <v>20.0</v>
      </c>
      <c r="Q601" s="13" t="s">
        <v>368</v>
      </c>
    </row>
    <row r="602">
      <c r="A602" s="7">
        <v>610216.0</v>
      </c>
      <c r="B602" s="8" t="s">
        <v>1883</v>
      </c>
      <c r="C602" s="17" t="s">
        <v>1884</v>
      </c>
      <c r="D602" s="10">
        <v>0.052</v>
      </c>
      <c r="E602" s="11" t="s">
        <v>80</v>
      </c>
      <c r="F602" s="11" t="s">
        <v>529</v>
      </c>
      <c r="G602" s="15" t="s">
        <v>2039</v>
      </c>
      <c r="H602" s="12">
        <v>36.0</v>
      </c>
      <c r="I602" s="13" t="s">
        <v>41</v>
      </c>
      <c r="J602" s="14" t="s">
        <v>42</v>
      </c>
      <c r="K602" s="14">
        <v>7.0</v>
      </c>
      <c r="L602" s="14" t="str">
        <f t="array" ref="L602">INDEX('School Rep'!$A$2:$A$21, MATCH(J602, 'School Rep'!$B$2:$B$21, 0))</f>
        <v>Emma Lozano</v>
      </c>
      <c r="M602" s="15">
        <v>3.2</v>
      </c>
      <c r="N602" s="16" t="s">
        <v>1885</v>
      </c>
      <c r="O602" s="8" t="str">
        <f t="shared" si="1"/>
        <v>2015 S Peoria St </v>
      </c>
      <c r="P602" s="12">
        <v>25.0</v>
      </c>
      <c r="Q602" s="13" t="s">
        <v>44</v>
      </c>
    </row>
    <row r="603">
      <c r="A603" s="7">
        <v>610217.0</v>
      </c>
      <c r="B603" s="8" t="s">
        <v>1886</v>
      </c>
      <c r="C603" s="17" t="s">
        <v>1887</v>
      </c>
      <c r="D603" s="10">
        <v>0.043</v>
      </c>
      <c r="E603" s="11" t="s">
        <v>80</v>
      </c>
      <c r="F603" s="11" t="s">
        <v>301</v>
      </c>
      <c r="G603" s="15" t="s">
        <v>2037</v>
      </c>
      <c r="H603" s="12">
        <v>59.0</v>
      </c>
      <c r="I603" s="13" t="s">
        <v>20</v>
      </c>
      <c r="J603" s="14" t="s">
        <v>21</v>
      </c>
      <c r="K603" s="14">
        <v>7.0</v>
      </c>
      <c r="L603" s="14" t="str">
        <f t="array" ref="L603">INDEX('School Rep'!$A$2:$A$21, MATCH(J603, 'School Rep'!$B$2:$B$21, 0))</f>
        <v>Yesenia Lopez</v>
      </c>
      <c r="M603" s="15">
        <v>2.8</v>
      </c>
      <c r="N603" s="16" t="s">
        <v>1888</v>
      </c>
      <c r="O603" s="8" t="str">
        <f t="shared" si="1"/>
        <v>2701 S Shields Ave </v>
      </c>
      <c r="P603" s="12">
        <v>11.0</v>
      </c>
      <c r="Q603" s="13" t="s">
        <v>94</v>
      </c>
    </row>
    <row r="604">
      <c r="A604" s="7">
        <v>610133.0</v>
      </c>
      <c r="B604" s="12" t="s">
        <v>1889</v>
      </c>
      <c r="C604" s="18" t="s">
        <v>1890</v>
      </c>
      <c r="D604" s="19">
        <v>0.169</v>
      </c>
      <c r="E604" s="18" t="s">
        <v>80</v>
      </c>
      <c r="F604" s="18" t="s">
        <v>216</v>
      </c>
      <c r="G604" s="15" t="s">
        <v>2032</v>
      </c>
      <c r="H604" s="12">
        <v>34.0</v>
      </c>
      <c r="I604" s="13" t="s">
        <v>41</v>
      </c>
      <c r="J604" s="14" t="s">
        <v>31</v>
      </c>
      <c r="K604" s="14">
        <v>5.0</v>
      </c>
      <c r="L604" s="14" t="str">
        <f t="array" ref="L604">INDEX('School Rep'!$A$2:$A$21, MATCH(J604, 'School Rep'!$B$2:$B$21, 0))</f>
        <v>Aaron "Jitu" Brown</v>
      </c>
      <c r="M604" s="12">
        <v>3.9</v>
      </c>
      <c r="N604" s="16" t="s">
        <v>1891</v>
      </c>
      <c r="O604" s="8" t="str">
        <f t="shared" si="1"/>
        <v>646 N Lawndale Ave </v>
      </c>
      <c r="P604" s="12">
        <v>27.0</v>
      </c>
      <c r="Q604" s="13" t="s">
        <v>219</v>
      </c>
    </row>
    <row r="605">
      <c r="A605" s="7">
        <v>610218.0</v>
      </c>
      <c r="B605" s="13" t="s">
        <v>1892</v>
      </c>
      <c r="C605" s="17" t="s">
        <v>1893</v>
      </c>
      <c r="D605" s="10">
        <v>0.201</v>
      </c>
      <c r="E605" s="11" t="s">
        <v>80</v>
      </c>
      <c r="F605" s="11" t="s">
        <v>144</v>
      </c>
      <c r="G605" s="15" t="s">
        <v>2030</v>
      </c>
      <c r="H605" s="12">
        <v>72.0</v>
      </c>
      <c r="I605" s="13" t="s">
        <v>52</v>
      </c>
      <c r="J605" s="14" t="s">
        <v>82</v>
      </c>
      <c r="K605" s="14">
        <v>10.0</v>
      </c>
      <c r="L605" s="14" t="str">
        <f t="array" ref="L605">INDEX('School Rep'!$A$2:$A$21, MATCH(J605, 'School Rep'!$B$2:$B$21, 0))</f>
        <v>Olga Bautista</v>
      </c>
      <c r="M605" s="12">
        <v>3.1</v>
      </c>
      <c r="N605" s="16" t="s">
        <v>1894</v>
      </c>
      <c r="O605" s="8" t="str">
        <f t="shared" si="1"/>
        <v>9239 S Jeffery Ave </v>
      </c>
      <c r="P605" s="12">
        <v>7.0</v>
      </c>
      <c r="Q605" s="13" t="s">
        <v>260</v>
      </c>
    </row>
    <row r="606">
      <c r="A606" s="7">
        <v>610219.0</v>
      </c>
      <c r="B606" s="13" t="s">
        <v>1895</v>
      </c>
      <c r="C606" s="18" t="s">
        <v>1896</v>
      </c>
      <c r="D606" s="19">
        <v>0.033</v>
      </c>
      <c r="E606" s="18" t="s">
        <v>80</v>
      </c>
      <c r="F606" s="18" t="s">
        <v>81</v>
      </c>
      <c r="G606" s="15" t="s">
        <v>2022</v>
      </c>
      <c r="H606" s="12">
        <v>58.0</v>
      </c>
      <c r="I606" s="13" t="s">
        <v>20</v>
      </c>
      <c r="J606" s="14" t="s">
        <v>82</v>
      </c>
      <c r="K606" s="14">
        <v>10.0</v>
      </c>
      <c r="L606" s="14" t="str">
        <f t="array" ref="L606">INDEX('School Rep'!$A$2:$A$21, MATCH(J606, 'School Rep'!$B$2:$B$21, 0))</f>
        <v>Olga Bautista</v>
      </c>
      <c r="M606" s="12">
        <v>3.2</v>
      </c>
      <c r="N606" s="16" t="s">
        <v>1897</v>
      </c>
      <c r="O606" s="8" t="str">
        <f t="shared" si="1"/>
        <v>3611 E 114th St </v>
      </c>
      <c r="P606" s="12">
        <v>10.0</v>
      </c>
      <c r="Q606" s="13" t="s">
        <v>84</v>
      </c>
    </row>
    <row r="607">
      <c r="A607" s="7">
        <v>610124.0</v>
      </c>
      <c r="B607" s="13" t="s">
        <v>1898</v>
      </c>
      <c r="C607" s="18" t="s">
        <v>1899</v>
      </c>
      <c r="D607" s="19">
        <v>0.137</v>
      </c>
      <c r="E607" s="18" t="s">
        <v>80</v>
      </c>
      <c r="F607" s="18" t="s">
        <v>144</v>
      </c>
      <c r="G607" s="15" t="s">
        <v>2030</v>
      </c>
      <c r="H607" s="12">
        <v>49.0</v>
      </c>
      <c r="I607" s="13" t="s">
        <v>20</v>
      </c>
      <c r="J607" s="14" t="s">
        <v>82</v>
      </c>
      <c r="K607" s="14">
        <v>10.0</v>
      </c>
      <c r="L607" s="14" t="str">
        <f t="array" ref="L607">INDEX('School Rep'!$A$2:$A$21, MATCH(J607, 'School Rep'!$B$2:$B$21, 0))</f>
        <v>Olga Bautista</v>
      </c>
      <c r="M607" s="12">
        <v>3.3</v>
      </c>
      <c r="N607" s="16" t="s">
        <v>1900</v>
      </c>
      <c r="O607" s="8" t="str">
        <f t="shared" si="1"/>
        <v>9130 S University Ave </v>
      </c>
      <c r="P607" s="12">
        <v>8.0</v>
      </c>
      <c r="Q607" s="13" t="s">
        <v>135</v>
      </c>
    </row>
    <row r="608">
      <c r="A608" s="7">
        <v>609739.0</v>
      </c>
      <c r="B608" s="13" t="s">
        <v>1901</v>
      </c>
      <c r="C608" s="9" t="s">
        <v>1902</v>
      </c>
      <c r="D608" s="10">
        <v>0.095</v>
      </c>
      <c r="E608" s="11" t="s">
        <v>80</v>
      </c>
      <c r="F608" s="11" t="s">
        <v>263</v>
      </c>
      <c r="G608" s="15" t="s">
        <v>2034</v>
      </c>
      <c r="H608" s="15"/>
      <c r="I608" s="8"/>
      <c r="J608" s="14" t="s">
        <v>82</v>
      </c>
      <c r="K608" s="14">
        <v>10.0</v>
      </c>
      <c r="L608" s="14" t="str">
        <f t="array" ref="L608">INDEX('School Rep'!$A$2:$A$21, MATCH(J608, 'School Rep'!$B$2:$B$21, 0))</f>
        <v>Olga Bautista</v>
      </c>
      <c r="M608" s="12">
        <v>2.6</v>
      </c>
      <c r="N608" s="16" t="s">
        <v>1903</v>
      </c>
      <c r="O608" s="8" t="str">
        <f t="shared" si="1"/>
        <v>3535 E 114th St </v>
      </c>
      <c r="P608" s="12">
        <v>10.0</v>
      </c>
      <c r="Q608" s="13" t="s">
        <v>84</v>
      </c>
    </row>
    <row r="609">
      <c r="A609" s="7">
        <v>610220.0</v>
      </c>
      <c r="B609" s="13" t="s">
        <v>1904</v>
      </c>
      <c r="C609" s="18" t="s">
        <v>1905</v>
      </c>
      <c r="D609" s="19">
        <v>0.041</v>
      </c>
      <c r="E609" s="18" t="s">
        <v>80</v>
      </c>
      <c r="F609" s="18" t="s">
        <v>270</v>
      </c>
      <c r="G609" s="15" t="s">
        <v>2035</v>
      </c>
      <c r="H609" s="12">
        <v>53.0</v>
      </c>
      <c r="I609" s="13" t="s">
        <v>20</v>
      </c>
      <c r="J609" s="14" t="s">
        <v>87</v>
      </c>
      <c r="K609" s="14">
        <v>2.0</v>
      </c>
      <c r="L609" s="14" t="str">
        <f t="array" ref="L609">INDEX('School Rep'!$A$2:$A$21, MATCH(J609, 'School Rep'!$B$2:$B$21, 0))</f>
        <v>Debby Pope</v>
      </c>
      <c r="M609" s="12">
        <v>1.8</v>
      </c>
      <c r="N609" s="16" t="s">
        <v>1906</v>
      </c>
      <c r="O609" s="8" t="str">
        <f t="shared" si="1"/>
        <v>4540 N Campbell Ave </v>
      </c>
      <c r="P609" s="12">
        <v>47.0</v>
      </c>
      <c r="Q609" s="13" t="s">
        <v>228</v>
      </c>
    </row>
    <row r="610">
      <c r="A610" s="7">
        <v>610221.0</v>
      </c>
      <c r="B610" s="8" t="s">
        <v>1907</v>
      </c>
      <c r="C610" s="18" t="s">
        <v>1908</v>
      </c>
      <c r="D610" s="19">
        <v>0.088</v>
      </c>
      <c r="E610" s="18" t="s">
        <v>80</v>
      </c>
      <c r="F610" s="18" t="s">
        <v>216</v>
      </c>
      <c r="G610" s="15" t="s">
        <v>2032</v>
      </c>
      <c r="H610" s="12">
        <v>55.0</v>
      </c>
      <c r="I610" s="13" t="s">
        <v>20</v>
      </c>
      <c r="J610" s="14" t="s">
        <v>217</v>
      </c>
      <c r="K610" s="14">
        <v>5.0</v>
      </c>
      <c r="L610" s="14" t="str">
        <f t="array" ref="L610">INDEX('School Rep'!$A$2:$A$21, MATCH(J610, 'School Rep'!$B$2:$B$21, 0))</f>
        <v>Michilla Blaise</v>
      </c>
      <c r="M610" s="15">
        <v>3.3</v>
      </c>
      <c r="N610" s="16" t="s">
        <v>1909</v>
      </c>
      <c r="O610" s="8" t="str">
        <f t="shared" si="1"/>
        <v>4055 W Arthington St </v>
      </c>
      <c r="P610" s="12">
        <v>24.0</v>
      </c>
      <c r="Q610" s="13" t="s">
        <v>517</v>
      </c>
    </row>
    <row r="611">
      <c r="A611" s="7">
        <v>610110.0</v>
      </c>
      <c r="B611" s="8" t="s">
        <v>1910</v>
      </c>
      <c r="C611" s="18" t="s">
        <v>1911</v>
      </c>
      <c r="D611" s="19">
        <v>0.114</v>
      </c>
      <c r="E611" s="18" t="s">
        <v>80</v>
      </c>
      <c r="F611" s="18" t="s">
        <v>120</v>
      </c>
      <c r="G611" s="15" t="s">
        <v>2028</v>
      </c>
      <c r="H611" s="12">
        <v>65.0</v>
      </c>
      <c r="I611" s="13" t="s">
        <v>52</v>
      </c>
      <c r="J611" s="14" t="s">
        <v>204</v>
      </c>
      <c r="K611" s="14">
        <v>6.0</v>
      </c>
      <c r="L611" s="14" t="str">
        <f t="array" ref="L611">INDEX('School Rep'!$A$2:$A$21, MATCH(J611, 'School Rep'!$B$2:$B$21, 0))</f>
        <v>Jessica Biggs</v>
      </c>
      <c r="M611" s="15">
        <v>2.8</v>
      </c>
      <c r="N611" s="16" t="s">
        <v>1912</v>
      </c>
      <c r="O611" s="8" t="str">
        <f t="shared" si="1"/>
        <v>249 E 37th St </v>
      </c>
      <c r="P611" s="12">
        <v>3.0</v>
      </c>
      <c r="Q611" s="13" t="s">
        <v>206</v>
      </c>
    </row>
    <row r="612">
      <c r="A612" s="7">
        <v>609740.0</v>
      </c>
      <c r="B612" s="12" t="s">
        <v>1913</v>
      </c>
      <c r="C612" s="17" t="s">
        <v>1914</v>
      </c>
      <c r="D612" s="10">
        <v>0.268</v>
      </c>
      <c r="E612" s="11" t="s">
        <v>80</v>
      </c>
      <c r="F612" s="11" t="s">
        <v>108</v>
      </c>
      <c r="G612" s="15" t="s">
        <v>2026</v>
      </c>
      <c r="H612" s="12">
        <v>40.0</v>
      </c>
      <c r="I612" s="13" t="s">
        <v>20</v>
      </c>
      <c r="J612" s="14" t="s">
        <v>217</v>
      </c>
      <c r="K612" s="14">
        <v>5.0</v>
      </c>
      <c r="L612" s="14" t="str">
        <f t="array" ref="L612">INDEX('School Rep'!$A$2:$A$21, MATCH(J612, 'School Rep'!$B$2:$B$21, 0))</f>
        <v>Michilla Blaise</v>
      </c>
      <c r="M612" s="12">
        <v>2.6</v>
      </c>
      <c r="N612" s="16" t="s">
        <v>1915</v>
      </c>
      <c r="O612" s="8" t="str">
        <f t="shared" si="1"/>
        <v>936 N Ashland Ave </v>
      </c>
      <c r="P612" s="12">
        <v>1.0</v>
      </c>
      <c r="Q612" s="13" t="s">
        <v>275</v>
      </c>
    </row>
    <row r="613">
      <c r="A613" s="7">
        <v>610223.0</v>
      </c>
      <c r="B613" s="8" t="s">
        <v>1916</v>
      </c>
      <c r="C613" s="18" t="s">
        <v>1917</v>
      </c>
      <c r="D613" s="19">
        <v>0.235</v>
      </c>
      <c r="E613" s="18" t="s">
        <v>80</v>
      </c>
      <c r="F613" s="18" t="s">
        <v>186</v>
      </c>
      <c r="G613" s="15" t="s">
        <v>2031</v>
      </c>
      <c r="H613" s="12">
        <v>18.0</v>
      </c>
      <c r="I613" s="13" t="s">
        <v>30</v>
      </c>
      <c r="J613" s="14" t="s">
        <v>187</v>
      </c>
      <c r="K613" s="14">
        <v>9.0</v>
      </c>
      <c r="L613" s="14" t="str">
        <f t="array" ref="L613">INDEX('School Rep'!$A$2:$A$21, MATCH(J613, 'School Rep'!$B$2:$B$21, 0))</f>
        <v>Frank Niles Thomas</v>
      </c>
      <c r="M613" s="15">
        <v>4.2</v>
      </c>
      <c r="N613" s="16" t="s">
        <v>1918</v>
      </c>
      <c r="O613" s="8" t="str">
        <f t="shared" si="1"/>
        <v>1340 W 71st St </v>
      </c>
      <c r="P613" s="12">
        <v>17.0</v>
      </c>
      <c r="Q613" s="13" t="s">
        <v>189</v>
      </c>
    </row>
    <row r="614">
      <c r="A614" s="7">
        <v>610100.0</v>
      </c>
      <c r="B614" s="12" t="s">
        <v>1919</v>
      </c>
      <c r="C614" s="18" t="s">
        <v>1920</v>
      </c>
      <c r="D614" s="19">
        <v>0.137</v>
      </c>
      <c r="E614" s="18" t="s">
        <v>80</v>
      </c>
      <c r="F614" s="18" t="s">
        <v>216</v>
      </c>
      <c r="G614" s="15" t="s">
        <v>2032</v>
      </c>
      <c r="H614" s="12">
        <v>67.0</v>
      </c>
      <c r="I614" s="13" t="s">
        <v>52</v>
      </c>
      <c r="J614" s="14" t="s">
        <v>232</v>
      </c>
      <c r="K614" s="14">
        <v>3.0</v>
      </c>
      <c r="L614" s="14" t="str">
        <f t="array" ref="L614">INDEX('School Rep'!$A$2:$A$21, MATCH(J614, 'School Rep'!$B$2:$B$21, 0))</f>
        <v>Carlos Rivas</v>
      </c>
      <c r="M614" s="12">
        <v>3.7</v>
      </c>
      <c r="N614" s="16" t="s">
        <v>1921</v>
      </c>
      <c r="O614" s="8" t="str">
        <f t="shared" si="1"/>
        <v>1425 N Tripp Ave </v>
      </c>
      <c r="P614" s="12">
        <v>36.0</v>
      </c>
      <c r="Q614" s="13" t="s">
        <v>67</v>
      </c>
    </row>
    <row r="615">
      <c r="A615" s="7">
        <v>610542.0</v>
      </c>
      <c r="B615" s="13" t="s">
        <v>1922</v>
      </c>
      <c r="C615" s="17" t="s">
        <v>1923</v>
      </c>
      <c r="D615" s="10">
        <v>0.166</v>
      </c>
      <c r="E615" s="11" t="s">
        <v>80</v>
      </c>
      <c r="F615" s="11" t="s">
        <v>126</v>
      </c>
      <c r="G615" s="15" t="e">
        <v>#N/A</v>
      </c>
      <c r="H615" s="12">
        <v>34.0</v>
      </c>
      <c r="I615" s="13" t="s">
        <v>41</v>
      </c>
      <c r="J615" s="14" t="s">
        <v>36</v>
      </c>
      <c r="K615" s="14">
        <v>2.0</v>
      </c>
      <c r="L615" s="14" t="str">
        <f t="array" ref="L615">INDEX('School Rep'!$A$2:$A$21, MATCH(J615, 'School Rep'!$B$2:$B$21, 0))</f>
        <v>Ebony DeBerry</v>
      </c>
      <c r="M615" s="12">
        <v>2.4</v>
      </c>
      <c r="N615" s="16" t="s">
        <v>1924</v>
      </c>
      <c r="O615" s="8" t="str">
        <f t="shared" si="1"/>
        <v>6700 N Whipple St </v>
      </c>
      <c r="P615" s="12">
        <v>50.0</v>
      </c>
      <c r="Q615" s="13" t="s">
        <v>131</v>
      </c>
    </row>
    <row r="616">
      <c r="A616" s="7">
        <v>610300.0</v>
      </c>
      <c r="B616" s="13" t="s">
        <v>1925</v>
      </c>
      <c r="C616" s="9" t="s">
        <v>1926</v>
      </c>
      <c r="D616" s="10">
        <v>0.122</v>
      </c>
      <c r="E616" s="11" t="s">
        <v>80</v>
      </c>
      <c r="F616" s="11" t="s">
        <v>186</v>
      </c>
      <c r="G616" s="15" t="s">
        <v>2031</v>
      </c>
      <c r="H616" s="12">
        <v>51.0</v>
      </c>
      <c r="I616" s="13" t="s">
        <v>20</v>
      </c>
      <c r="J616" s="14" t="s">
        <v>82</v>
      </c>
      <c r="K616" s="14">
        <v>10.0</v>
      </c>
      <c r="L616" s="14" t="str">
        <f t="array" ref="L616">INDEX('School Rep'!$A$2:$A$21, MATCH(J616, 'School Rep'!$B$2:$B$21, 0))</f>
        <v>Olga Bautista</v>
      </c>
      <c r="M616" s="12">
        <v>4.1</v>
      </c>
      <c r="N616" s="16" t="s">
        <v>1927</v>
      </c>
      <c r="O616" s="8" t="str">
        <f t="shared" si="1"/>
        <v>409 W 80th St </v>
      </c>
      <c r="P616" s="12">
        <v>6.0</v>
      </c>
      <c r="Q616" s="13" t="s">
        <v>306</v>
      </c>
    </row>
    <row r="617">
      <c r="A617" s="7">
        <v>609693.0</v>
      </c>
      <c r="B617" s="12" t="s">
        <v>1928</v>
      </c>
      <c r="C617" s="18" t="s">
        <v>1929</v>
      </c>
      <c r="D617" s="19">
        <v>0.032</v>
      </c>
      <c r="E617" s="18" t="s">
        <v>80</v>
      </c>
      <c r="F617" s="18" t="s">
        <v>108</v>
      </c>
      <c r="G617" s="15" t="s">
        <v>2026</v>
      </c>
      <c r="H617" s="12">
        <v>65.0</v>
      </c>
      <c r="I617" s="13" t="s">
        <v>52</v>
      </c>
      <c r="J617" s="14" t="s">
        <v>217</v>
      </c>
      <c r="K617" s="14">
        <v>5.0</v>
      </c>
      <c r="L617" s="14" t="str">
        <f t="array" ref="L617">INDEX('School Rep'!$A$2:$A$21, MATCH(J617, 'School Rep'!$B$2:$B$21, 0))</f>
        <v>Michilla Blaise</v>
      </c>
      <c r="M617" s="12">
        <v>2.8</v>
      </c>
      <c r="N617" s="16" t="s">
        <v>1930</v>
      </c>
      <c r="O617" s="8" t="str">
        <f t="shared" si="1"/>
        <v>3223 W Franklin Blvd </v>
      </c>
      <c r="P617" s="12">
        <v>28.0</v>
      </c>
      <c r="Q617" s="13" t="s">
        <v>399</v>
      </c>
    </row>
    <row r="618">
      <c r="A618" s="7">
        <v>610225.0</v>
      </c>
      <c r="B618" s="8" t="s">
        <v>1931</v>
      </c>
      <c r="C618" s="9" t="s">
        <v>1932</v>
      </c>
      <c r="D618" s="10">
        <v>0.112</v>
      </c>
      <c r="E618" s="11" t="s">
        <v>80</v>
      </c>
      <c r="F618" s="11" t="s">
        <v>81</v>
      </c>
      <c r="G618" s="15" t="s">
        <v>2022</v>
      </c>
      <c r="H618" s="12">
        <v>30.0</v>
      </c>
      <c r="I618" s="13" t="s">
        <v>41</v>
      </c>
      <c r="J618" s="14" t="s">
        <v>178</v>
      </c>
      <c r="K618" s="14">
        <v>9.0</v>
      </c>
      <c r="L618" s="14" t="str">
        <f t="array" ref="L618">INDEX('School Rep'!$A$2:$A$21, MATCH(J618, 'School Rep'!$B$2:$B$21, 0))</f>
        <v>Therese Boyle</v>
      </c>
      <c r="M618" s="15">
        <v>3.9</v>
      </c>
      <c r="N618" s="16" t="s">
        <v>1933</v>
      </c>
      <c r="O618" s="8" t="str">
        <f t="shared" si="1"/>
        <v>11533 S Ada St </v>
      </c>
      <c r="P618" s="12">
        <v>21.0</v>
      </c>
      <c r="Q618" s="13" t="s">
        <v>428</v>
      </c>
    </row>
    <row r="619">
      <c r="A619" s="7">
        <v>610315.0</v>
      </c>
      <c r="B619" s="8" t="s">
        <v>1934</v>
      </c>
      <c r="C619" s="18" t="s">
        <v>1935</v>
      </c>
      <c r="D619" s="19">
        <v>0.254</v>
      </c>
      <c r="E619" s="18" t="s">
        <v>80</v>
      </c>
      <c r="F619" s="18" t="s">
        <v>81</v>
      </c>
      <c r="G619" s="15" t="s">
        <v>2022</v>
      </c>
      <c r="H619" s="12">
        <v>73.0</v>
      </c>
      <c r="I619" s="13" t="s">
        <v>52</v>
      </c>
      <c r="J619" s="14" t="s">
        <v>178</v>
      </c>
      <c r="K619" s="14">
        <v>9.0</v>
      </c>
      <c r="L619" s="14" t="str">
        <f t="array" ref="L619">INDEX('School Rep'!$A$2:$A$21, MATCH(J619, 'School Rep'!$B$2:$B$21, 0))</f>
        <v>Therese Boyle</v>
      </c>
      <c r="M619" s="15">
        <v>3.1</v>
      </c>
      <c r="N619" s="16" t="s">
        <v>1936</v>
      </c>
      <c r="O619" s="8" t="str">
        <f t="shared" si="1"/>
        <v>1136 W 122Nd St </v>
      </c>
      <c r="P619" s="12">
        <v>21.0</v>
      </c>
      <c r="Q619" s="13" t="s">
        <v>428</v>
      </c>
    </row>
    <row r="620">
      <c r="A620" s="7">
        <v>610227.0</v>
      </c>
      <c r="B620" s="8" t="s">
        <v>1937</v>
      </c>
      <c r="C620" s="18" t="s">
        <v>1938</v>
      </c>
      <c r="D620" s="19">
        <v>0.088</v>
      </c>
      <c r="E620" s="18" t="s">
        <v>80</v>
      </c>
      <c r="F620" s="18" t="s">
        <v>529</v>
      </c>
      <c r="G620" s="15" t="s">
        <v>2039</v>
      </c>
      <c r="H620" s="12">
        <v>53.0</v>
      </c>
      <c r="I620" s="13" t="s">
        <v>20</v>
      </c>
      <c r="J620" s="14" t="s">
        <v>42</v>
      </c>
      <c r="K620" s="14">
        <v>7.0</v>
      </c>
      <c r="L620" s="14" t="str">
        <f t="array" ref="L620">INDEX('School Rep'!$A$2:$A$21, MATCH(J620, 'School Rep'!$B$2:$B$21, 0))</f>
        <v>Emma Lozano</v>
      </c>
      <c r="M620" s="15">
        <v>3.3</v>
      </c>
      <c r="N620" s="16" t="s">
        <v>1939</v>
      </c>
      <c r="O620" s="8" t="str">
        <f t="shared" si="1"/>
        <v>2815 S Komensky Ave </v>
      </c>
      <c r="P620" s="12">
        <v>22.0</v>
      </c>
      <c r="Q620" s="13" t="s">
        <v>353</v>
      </c>
    </row>
    <row r="621">
      <c r="A621" s="7">
        <v>610228.0</v>
      </c>
      <c r="B621" s="8" t="s">
        <v>1940</v>
      </c>
      <c r="C621" s="18" t="s">
        <v>1941</v>
      </c>
      <c r="D621" s="19">
        <v>0.112</v>
      </c>
      <c r="E621" s="18" t="s">
        <v>80</v>
      </c>
      <c r="F621" s="18" t="s">
        <v>529</v>
      </c>
      <c r="G621" s="15" t="s">
        <v>2039</v>
      </c>
      <c r="H621" s="12">
        <v>60.0</v>
      </c>
      <c r="I621" s="13" t="s">
        <v>52</v>
      </c>
      <c r="J621" s="14" t="s">
        <v>42</v>
      </c>
      <c r="K621" s="14">
        <v>7.0</v>
      </c>
      <c r="L621" s="14" t="str">
        <f t="array" ref="L621">INDEX('School Rep'!$A$2:$A$21, MATCH(J621, 'School Rep'!$B$2:$B$21, 0))</f>
        <v>Emma Lozano</v>
      </c>
      <c r="M621" s="15">
        <v>3.4</v>
      </c>
      <c r="N621" s="16" t="s">
        <v>1942</v>
      </c>
      <c r="O621" s="8" t="str">
        <f t="shared" si="1"/>
        <v>1900 W 23rd St </v>
      </c>
      <c r="P621" s="12">
        <v>25.0</v>
      </c>
      <c r="Q621" s="13" t="s">
        <v>44</v>
      </c>
    </row>
    <row r="622">
      <c r="A622" s="7">
        <v>610230.0</v>
      </c>
      <c r="B622" s="13" t="s">
        <v>1943</v>
      </c>
      <c r="C622" s="18" t="s">
        <v>1944</v>
      </c>
      <c r="D622" s="19">
        <v>0.028</v>
      </c>
      <c r="E622" s="18" t="s">
        <v>80</v>
      </c>
      <c r="F622" s="18" t="s">
        <v>97</v>
      </c>
      <c r="G622" s="15" t="s">
        <v>2024</v>
      </c>
      <c r="H622" s="12">
        <v>35.0</v>
      </c>
      <c r="I622" s="13" t="s">
        <v>41</v>
      </c>
      <c r="J622" s="14" t="s">
        <v>199</v>
      </c>
      <c r="K622" s="14">
        <v>1.0</v>
      </c>
      <c r="L622" s="14" t="str">
        <f t="array" ref="L622">INDEX('School Rep'!$A$2:$A$21, MATCH(J622, 'School Rep'!$B$2:$B$21, 0))</f>
        <v>Ed Bannon</v>
      </c>
      <c r="M622" s="12">
        <v>1.6</v>
      </c>
      <c r="N622" s="16" t="s">
        <v>1945</v>
      </c>
      <c r="O622" s="8" t="str">
        <f t="shared" si="1"/>
        <v>6950 N Hiawatha Ave </v>
      </c>
      <c r="P622" s="12">
        <v>45.0</v>
      </c>
      <c r="Q622" s="13" t="s">
        <v>210</v>
      </c>
    </row>
    <row r="623">
      <c r="A623" s="7">
        <v>610380.0</v>
      </c>
      <c r="B623" s="8" t="s">
        <v>1946</v>
      </c>
      <c r="C623" s="9" t="s">
        <v>1947</v>
      </c>
      <c r="D623" s="10">
        <v>0.0</v>
      </c>
      <c r="E623" s="11" t="s">
        <v>80</v>
      </c>
      <c r="F623" s="11" t="s">
        <v>263</v>
      </c>
      <c r="G623" s="15" t="s">
        <v>2034</v>
      </c>
      <c r="H623" s="12">
        <v>49.0</v>
      </c>
      <c r="I623" s="13" t="s">
        <v>20</v>
      </c>
      <c r="J623" s="14" t="s">
        <v>204</v>
      </c>
      <c r="K623" s="14">
        <v>6.0</v>
      </c>
      <c r="L623" s="14" t="str">
        <f t="array" ref="L623">INDEX('School Rep'!$A$2:$A$21, MATCH(J623, 'School Rep'!$B$2:$B$21, 0))</f>
        <v>Jessica Biggs</v>
      </c>
      <c r="M623" s="15">
        <v>3.3</v>
      </c>
      <c r="N623" s="16" t="s">
        <v>292</v>
      </c>
      <c r="O623" s="8" t="str">
        <f t="shared" si="1"/>
        <v>4934 S Wabash Ave </v>
      </c>
      <c r="P623" s="12">
        <v>3.0</v>
      </c>
      <c r="Q623" s="13" t="s">
        <v>206</v>
      </c>
    </row>
    <row r="624">
      <c r="A624" s="7">
        <v>609977.0</v>
      </c>
      <c r="B624" s="13" t="s">
        <v>1948</v>
      </c>
      <c r="C624" s="18" t="s">
        <v>1949</v>
      </c>
      <c r="D624" s="19">
        <v>0.08</v>
      </c>
      <c r="E624" s="18" t="s">
        <v>80</v>
      </c>
      <c r="F624" s="18" t="s">
        <v>120</v>
      </c>
      <c r="G624" s="15" t="s">
        <v>2028</v>
      </c>
      <c r="H624" s="12">
        <v>69.0</v>
      </c>
      <c r="I624" s="13" t="s">
        <v>52</v>
      </c>
      <c r="J624" s="14" t="s">
        <v>121</v>
      </c>
      <c r="K624" s="14">
        <v>10.0</v>
      </c>
      <c r="L624" s="14" t="str">
        <f t="array" ref="L624">INDEX('School Rep'!$A$2:$A$21, MATCH(J624, 'School Rep'!$B$2:$B$21, 0))</f>
        <v>Che "Rhymefest" Smith</v>
      </c>
      <c r="M624" s="12">
        <v>3.3</v>
      </c>
      <c r="N624" s="16" t="s">
        <v>1950</v>
      </c>
      <c r="O624" s="8" t="str">
        <f t="shared" si="1"/>
        <v>6657 S Kimbark Ave </v>
      </c>
      <c r="P624" s="12">
        <v>20.0</v>
      </c>
      <c r="Q624" s="13" t="s">
        <v>368</v>
      </c>
    </row>
    <row r="625">
      <c r="A625" s="7">
        <v>610345.0</v>
      </c>
      <c r="B625" s="8" t="s">
        <v>1951</v>
      </c>
      <c r="C625" s="18" t="s">
        <v>1952</v>
      </c>
      <c r="D625" s="19">
        <v>0.244</v>
      </c>
      <c r="E625" s="18" t="s">
        <v>80</v>
      </c>
      <c r="F625" s="18" t="s">
        <v>120</v>
      </c>
      <c r="G625" s="15" t="s">
        <v>2028</v>
      </c>
      <c r="H625" s="12">
        <v>65.0</v>
      </c>
      <c r="I625" s="13" t="s">
        <v>52</v>
      </c>
      <c r="J625" s="14" t="s">
        <v>204</v>
      </c>
      <c r="K625" s="14">
        <v>6.0</v>
      </c>
      <c r="L625" s="14" t="str">
        <f t="array" ref="L625">INDEX('School Rep'!$A$2:$A$21, MATCH(J625, 'School Rep'!$B$2:$B$21, 0))</f>
        <v>Jessica Biggs</v>
      </c>
      <c r="M625" s="15">
        <v>3.6</v>
      </c>
      <c r="N625" s="16" t="s">
        <v>1953</v>
      </c>
      <c r="O625" s="8" t="str">
        <f t="shared" si="1"/>
        <v>4414 S Evans Ave </v>
      </c>
      <c r="P625" s="12">
        <v>3.0</v>
      </c>
      <c r="Q625" s="13" t="s">
        <v>206</v>
      </c>
    </row>
    <row r="626">
      <c r="A626" s="7">
        <v>610392.0</v>
      </c>
      <c r="B626" s="8" t="s">
        <v>1954</v>
      </c>
      <c r="C626" s="11" t="s">
        <v>1955</v>
      </c>
      <c r="D626" s="10">
        <v>0.045</v>
      </c>
      <c r="E626" s="11" t="s">
        <v>80</v>
      </c>
      <c r="F626" s="11" t="s">
        <v>108</v>
      </c>
      <c r="G626" s="15" t="s">
        <v>2026</v>
      </c>
      <c r="H626" s="12">
        <v>25.0</v>
      </c>
      <c r="I626" s="13" t="s">
        <v>41</v>
      </c>
      <c r="J626" s="14" t="s">
        <v>42</v>
      </c>
      <c r="K626" s="14">
        <v>7.0</v>
      </c>
      <c r="L626" s="14" t="str">
        <f t="array" ref="L626">INDEX('School Rep'!$A$2:$A$21, MATCH(J626, 'School Rep'!$B$2:$B$21, 0))</f>
        <v>Emma Lozano</v>
      </c>
      <c r="M626" s="15">
        <v>3.2</v>
      </c>
      <c r="N626" s="16" t="s">
        <v>964</v>
      </c>
      <c r="O626" s="8" t="str">
        <f t="shared" si="1"/>
        <v>3120 S Kostner Ave </v>
      </c>
      <c r="P626" s="12">
        <v>22.0</v>
      </c>
      <c r="Q626" s="13" t="s">
        <v>353</v>
      </c>
    </row>
    <row r="627">
      <c r="A627" s="7">
        <v>610234.0</v>
      </c>
      <c r="B627" s="12" t="s">
        <v>1956</v>
      </c>
      <c r="C627" s="17" t="s">
        <v>1957</v>
      </c>
      <c r="D627" s="10">
        <v>0.208</v>
      </c>
      <c r="E627" s="11" t="s">
        <v>80</v>
      </c>
      <c r="F627" s="11" t="s">
        <v>216</v>
      </c>
      <c r="G627" s="15" t="s">
        <v>2032</v>
      </c>
      <c r="H627" s="12">
        <v>42.0</v>
      </c>
      <c r="I627" s="13" t="s">
        <v>20</v>
      </c>
      <c r="J627" s="14" t="s">
        <v>232</v>
      </c>
      <c r="K627" s="14">
        <v>3.0</v>
      </c>
      <c r="L627" s="14" t="str">
        <f t="array" ref="L627">INDEX('School Rep'!$A$2:$A$21, MATCH(J627, 'School Rep'!$B$2:$B$21, 0))</f>
        <v>Carlos Rivas</v>
      </c>
      <c r="M627" s="12">
        <v>3.6</v>
      </c>
      <c r="N627" s="16" t="s">
        <v>1958</v>
      </c>
      <c r="O627" s="8" t="str">
        <f t="shared" si="1"/>
        <v>1839 N Richmond St </v>
      </c>
      <c r="P627" s="12">
        <v>26.0</v>
      </c>
      <c r="Q627" s="13" t="s">
        <v>378</v>
      </c>
    </row>
    <row r="628">
      <c r="A628" s="7">
        <v>400125.0</v>
      </c>
      <c r="B628" s="13" t="s">
        <v>1959</v>
      </c>
      <c r="C628" s="18" t="s">
        <v>1960</v>
      </c>
      <c r="D628" s="19">
        <v>0.884</v>
      </c>
      <c r="E628" s="18" t="s">
        <v>19</v>
      </c>
      <c r="F628" s="18" t="s">
        <v>426</v>
      </c>
      <c r="G628" s="15" t="s">
        <v>2038</v>
      </c>
      <c r="H628" s="12">
        <v>29.0</v>
      </c>
      <c r="I628" s="13" t="s">
        <v>41</v>
      </c>
      <c r="J628" s="14" t="s">
        <v>47</v>
      </c>
      <c r="K628" s="14">
        <v>3.0</v>
      </c>
      <c r="L628" s="14" t="str">
        <f t="array" ref="L628">INDEX('School Rep'!$A$2:$A$21, MATCH(J628, 'School Rep'!$B$2:$B$21, 0))</f>
        <v>Norma Rios-Sierra</v>
      </c>
      <c r="M628" s="12" t="s">
        <v>384</v>
      </c>
      <c r="N628" s="16" t="s">
        <v>1961</v>
      </c>
      <c r="O628" s="8" t="str">
        <f t="shared" si="1"/>
        <v>3121 N Pulaski Rd </v>
      </c>
      <c r="P628" s="12">
        <v>31.0</v>
      </c>
      <c r="Q628" s="13" t="s">
        <v>152</v>
      </c>
    </row>
    <row r="629">
      <c r="A629" s="7">
        <v>400126.0</v>
      </c>
      <c r="B629" s="13" t="s">
        <v>1962</v>
      </c>
      <c r="C629" s="18" t="s">
        <v>1963</v>
      </c>
      <c r="D629" s="19">
        <v>0.877</v>
      </c>
      <c r="E629" s="18" t="s">
        <v>19</v>
      </c>
      <c r="F629" s="18" t="s">
        <v>426</v>
      </c>
      <c r="G629" s="15" t="s">
        <v>2038</v>
      </c>
      <c r="H629" s="12">
        <v>75.0</v>
      </c>
      <c r="I629" s="13" t="s">
        <v>52</v>
      </c>
      <c r="J629" s="14" t="s">
        <v>232</v>
      </c>
      <c r="K629" s="14">
        <v>3.0</v>
      </c>
      <c r="L629" s="14" t="str">
        <f t="array" ref="L629">INDEX('School Rep'!$A$2:$A$21, MATCH(J629, 'School Rep'!$B$2:$B$21, 0))</f>
        <v>Carlos Rivas</v>
      </c>
      <c r="M629" s="12" t="s">
        <v>384</v>
      </c>
      <c r="N629" s="16" t="s">
        <v>1964</v>
      </c>
      <c r="O629" s="8" t="str">
        <f t="shared" si="1"/>
        <v>1116 N Kedzie, 4th Floor Ave </v>
      </c>
      <c r="P629" s="12">
        <v>26.0</v>
      </c>
      <c r="Q629" s="13" t="s">
        <v>378</v>
      </c>
    </row>
    <row r="630">
      <c r="A630" s="7">
        <v>400131.0</v>
      </c>
      <c r="B630" s="13" t="s">
        <v>1965</v>
      </c>
      <c r="C630" s="18" t="s">
        <v>1966</v>
      </c>
      <c r="D630" s="19">
        <v>0.903</v>
      </c>
      <c r="E630" s="18" t="s">
        <v>19</v>
      </c>
      <c r="F630" s="18" t="s">
        <v>426</v>
      </c>
      <c r="G630" s="15" t="s">
        <v>2038</v>
      </c>
      <c r="H630" s="12">
        <v>55.0</v>
      </c>
      <c r="I630" s="13" t="s">
        <v>20</v>
      </c>
      <c r="J630" s="14" t="s">
        <v>232</v>
      </c>
      <c r="K630" s="14">
        <v>3.0</v>
      </c>
      <c r="L630" s="14" t="str">
        <f t="array" ref="L630">INDEX('School Rep'!$A$2:$A$21, MATCH(J630, 'School Rep'!$B$2:$B$21, 0))</f>
        <v>Carlos Rivas</v>
      </c>
      <c r="M630" s="12" t="s">
        <v>384</v>
      </c>
      <c r="N630" s="16" t="s">
        <v>1967</v>
      </c>
      <c r="O630" s="8" t="str">
        <f t="shared" si="1"/>
        <v>2739 W Division St </v>
      </c>
      <c r="P630" s="12">
        <v>26.0</v>
      </c>
      <c r="Q630" s="13" t="s">
        <v>378</v>
      </c>
    </row>
    <row r="631">
      <c r="A631" s="7">
        <v>400128.0</v>
      </c>
      <c r="B631" s="12" t="s">
        <v>1968</v>
      </c>
      <c r="C631" s="18" t="s">
        <v>1969</v>
      </c>
      <c r="D631" s="19">
        <v>0.961</v>
      </c>
      <c r="E631" s="18" t="s">
        <v>19</v>
      </c>
      <c r="F631" s="18" t="s">
        <v>426</v>
      </c>
      <c r="G631" s="15" t="s">
        <v>2038</v>
      </c>
      <c r="H631" s="12">
        <v>70.0</v>
      </c>
      <c r="I631" s="13" t="s">
        <v>52</v>
      </c>
      <c r="J631" s="14" t="s">
        <v>217</v>
      </c>
      <c r="K631" s="14">
        <v>5.0</v>
      </c>
      <c r="L631" s="14" t="str">
        <f t="array" ref="L631">INDEX('School Rep'!$A$2:$A$21, MATCH(J631, 'School Rep'!$B$2:$B$21, 0))</f>
        <v>Michilla Blaise</v>
      </c>
      <c r="M631" s="12" t="s">
        <v>384</v>
      </c>
      <c r="N631" s="16" t="s">
        <v>1970</v>
      </c>
      <c r="O631" s="8" t="str">
        <f t="shared" si="1"/>
        <v>1231 S Pulaski Rd </v>
      </c>
      <c r="P631" s="12">
        <v>24.0</v>
      </c>
      <c r="Q631" s="13" t="s">
        <v>517</v>
      </c>
    </row>
    <row r="632">
      <c r="A632" s="7">
        <v>400150.0</v>
      </c>
      <c r="B632" s="13" t="s">
        <v>1971</v>
      </c>
      <c r="C632" s="18" t="s">
        <v>1972</v>
      </c>
      <c r="D632" s="19">
        <v>0.736</v>
      </c>
      <c r="E632" s="18" t="s">
        <v>19</v>
      </c>
      <c r="F632" s="18" t="s">
        <v>426</v>
      </c>
      <c r="G632" s="15" t="s">
        <v>2038</v>
      </c>
      <c r="H632" s="12">
        <v>66.0</v>
      </c>
      <c r="I632" s="13" t="s">
        <v>52</v>
      </c>
      <c r="J632" s="14" t="s">
        <v>82</v>
      </c>
      <c r="K632" s="14">
        <v>10.0</v>
      </c>
      <c r="L632" s="14" t="str">
        <f t="array" ref="L632">INDEX('School Rep'!$A$2:$A$21, MATCH(J632, 'School Rep'!$B$2:$B$21, 0))</f>
        <v>Olga Bautista</v>
      </c>
      <c r="M632" s="12" t="s">
        <v>384</v>
      </c>
      <c r="N632" s="16" t="s">
        <v>1973</v>
      </c>
      <c r="O632" s="8" t="str">
        <f t="shared" si="1"/>
        <v>9035 S Langley Ave </v>
      </c>
      <c r="P632" s="12">
        <v>8.0</v>
      </c>
      <c r="Q632" s="13" t="s">
        <v>135</v>
      </c>
    </row>
    <row r="633">
      <c r="A633" s="7">
        <v>400133.0</v>
      </c>
      <c r="B633" s="8" t="s">
        <v>1974</v>
      </c>
      <c r="C633" s="18" t="s">
        <v>1975</v>
      </c>
      <c r="D633" s="19">
        <v>0.838</v>
      </c>
      <c r="E633" s="18" t="s">
        <v>19</v>
      </c>
      <c r="F633" s="18" t="s">
        <v>426</v>
      </c>
      <c r="G633" s="15" t="s">
        <v>2038</v>
      </c>
      <c r="H633" s="12">
        <v>68.0</v>
      </c>
      <c r="I633" s="13" t="s">
        <v>52</v>
      </c>
      <c r="J633" s="14" t="s">
        <v>204</v>
      </c>
      <c r="K633" s="14">
        <v>6.0</v>
      </c>
      <c r="L633" s="14" t="str">
        <f t="array" ref="L633">INDEX('School Rep'!$A$2:$A$21, MATCH(J633, 'School Rep'!$B$2:$B$21, 0))</f>
        <v>Jessica Biggs</v>
      </c>
      <c r="M633" s="15" t="s">
        <v>384</v>
      </c>
      <c r="N633" s="16" t="s">
        <v>1976</v>
      </c>
      <c r="O633" s="8" t="str">
        <f t="shared" si="1"/>
        <v>17 N State St </v>
      </c>
      <c r="P633" s="12">
        <v>34.0</v>
      </c>
      <c r="Q633" s="13" t="s">
        <v>444</v>
      </c>
    </row>
    <row r="634">
      <c r="A634" s="7">
        <v>400135.0</v>
      </c>
      <c r="B634" s="8" t="s">
        <v>1977</v>
      </c>
      <c r="C634" s="18" t="s">
        <v>1978</v>
      </c>
      <c r="D634" s="19">
        <v>0.951</v>
      </c>
      <c r="E634" s="18" t="s">
        <v>19</v>
      </c>
      <c r="F634" s="18" t="s">
        <v>426</v>
      </c>
      <c r="G634" s="15" t="s">
        <v>2038</v>
      </c>
      <c r="H634" s="12">
        <v>69.0</v>
      </c>
      <c r="I634" s="13" t="s">
        <v>52</v>
      </c>
      <c r="J634" s="14" t="s">
        <v>42</v>
      </c>
      <c r="K634" s="14">
        <v>7.0</v>
      </c>
      <c r="L634" s="14" t="str">
        <f t="array" ref="L634">INDEX('School Rep'!$A$2:$A$21, MATCH(J634, 'School Rep'!$B$2:$B$21, 0))</f>
        <v>Emma Lozano</v>
      </c>
      <c r="M634" s="15" t="s">
        <v>384</v>
      </c>
      <c r="N634" s="16" t="s">
        <v>1979</v>
      </c>
      <c r="O634" s="8" t="str">
        <f t="shared" si="1"/>
        <v>2001 S California Ave </v>
      </c>
      <c r="P634" s="12">
        <v>25.0</v>
      </c>
      <c r="Q634" s="13" t="s">
        <v>44</v>
      </c>
    </row>
    <row r="635">
      <c r="A635" s="7">
        <v>400124.0</v>
      </c>
      <c r="B635" s="8" t="s">
        <v>1980</v>
      </c>
      <c r="C635" s="9" t="s">
        <v>1981</v>
      </c>
      <c r="D635" s="10">
        <v>0.917</v>
      </c>
      <c r="E635" s="11" t="s">
        <v>19</v>
      </c>
      <c r="F635" s="11" t="s">
        <v>426</v>
      </c>
      <c r="G635" s="15" t="s">
        <v>2038</v>
      </c>
      <c r="H635" s="12">
        <v>56.0</v>
      </c>
      <c r="I635" s="13" t="s">
        <v>20</v>
      </c>
      <c r="J635" s="14" t="s">
        <v>204</v>
      </c>
      <c r="K635" s="14">
        <v>6.0</v>
      </c>
      <c r="L635" s="14" t="str">
        <f t="array" ref="L635">INDEX('School Rep'!$A$2:$A$21, MATCH(J635, 'School Rep'!$B$2:$B$21, 0))</f>
        <v>Jessica Biggs</v>
      </c>
      <c r="M635" s="15" t="s">
        <v>384</v>
      </c>
      <c r="N635" s="16" t="s">
        <v>1982</v>
      </c>
      <c r="O635" s="8" t="str">
        <f t="shared" si="1"/>
        <v>2920 S Wabash Ave </v>
      </c>
      <c r="P635" s="12">
        <v>3.0</v>
      </c>
      <c r="Q635" s="13" t="s">
        <v>206</v>
      </c>
    </row>
    <row r="636">
      <c r="A636" s="7">
        <v>400136.0</v>
      </c>
      <c r="B636" s="13" t="s">
        <v>1983</v>
      </c>
      <c r="C636" s="18" t="s">
        <v>1984</v>
      </c>
      <c r="D636" s="19">
        <v>0.795</v>
      </c>
      <c r="E636" s="18" t="s">
        <v>19</v>
      </c>
      <c r="F636" s="18" t="s">
        <v>426</v>
      </c>
      <c r="G636" s="15" t="s">
        <v>2038</v>
      </c>
      <c r="H636" s="12">
        <v>50.0</v>
      </c>
      <c r="I636" s="13" t="s">
        <v>20</v>
      </c>
      <c r="J636" s="14" t="s">
        <v>82</v>
      </c>
      <c r="K636" s="14">
        <v>10.0</v>
      </c>
      <c r="L636" s="14" t="str">
        <f t="array" ref="L636">INDEX('School Rep'!$A$2:$A$21, MATCH(J636, 'School Rep'!$B$2:$B$21, 0))</f>
        <v>Olga Bautista</v>
      </c>
      <c r="M636" s="12" t="s">
        <v>384</v>
      </c>
      <c r="N636" s="16" t="s">
        <v>1985</v>
      </c>
      <c r="O636" s="8" t="str">
        <f t="shared" si="1"/>
        <v>10001 S Woodlawn Ave </v>
      </c>
      <c r="P636" s="12">
        <v>8.0</v>
      </c>
      <c r="Q636" s="13" t="s">
        <v>135</v>
      </c>
    </row>
    <row r="637">
      <c r="A637" s="7">
        <v>400129.0</v>
      </c>
      <c r="B637" s="8" t="s">
        <v>1986</v>
      </c>
      <c r="C637" s="17" t="s">
        <v>1987</v>
      </c>
      <c r="D637" s="10">
        <v>0.893</v>
      </c>
      <c r="E637" s="11" t="s">
        <v>19</v>
      </c>
      <c r="F637" s="11" t="s">
        <v>426</v>
      </c>
      <c r="G637" s="15" t="s">
        <v>2038</v>
      </c>
      <c r="H637" s="12">
        <v>68.0</v>
      </c>
      <c r="I637" s="13" t="s">
        <v>52</v>
      </c>
      <c r="J637" s="14" t="s">
        <v>204</v>
      </c>
      <c r="K637" s="14">
        <v>6.0</v>
      </c>
      <c r="L637" s="14" t="str">
        <f t="array" ref="L637">INDEX('School Rep'!$A$2:$A$21, MATCH(J637, 'School Rep'!$B$2:$B$21, 0))</f>
        <v>Jessica Biggs</v>
      </c>
      <c r="M637" s="15" t="s">
        <v>384</v>
      </c>
      <c r="N637" s="16" t="s">
        <v>1988</v>
      </c>
      <c r="O637" s="8" t="str">
        <f t="shared" si="1"/>
        <v>6620 S Dr Martin Luther King Jr Dr </v>
      </c>
      <c r="P637" s="12">
        <v>20.0</v>
      </c>
      <c r="Q637" s="13" t="s">
        <v>368</v>
      </c>
    </row>
    <row r="638">
      <c r="A638" s="7">
        <v>400123.0</v>
      </c>
      <c r="B638" s="12" t="s">
        <v>1989</v>
      </c>
      <c r="C638" s="18" t="s">
        <v>1990</v>
      </c>
      <c r="D638" s="19">
        <v>0.762</v>
      </c>
      <c r="E638" s="18" t="s">
        <v>19</v>
      </c>
      <c r="F638" s="18" t="s">
        <v>426</v>
      </c>
      <c r="G638" s="15" t="s">
        <v>2038</v>
      </c>
      <c r="H638" s="12">
        <v>82.0</v>
      </c>
      <c r="I638" s="13" t="s">
        <v>248</v>
      </c>
      <c r="J638" s="14" t="s">
        <v>31</v>
      </c>
      <c r="K638" s="14">
        <v>5.0</v>
      </c>
      <c r="L638" s="14" t="str">
        <f t="array" ref="L638">INDEX('School Rep'!$A$2:$A$21, MATCH(J638, 'School Rep'!$B$2:$B$21, 0))</f>
        <v>Aaron "Jitu" Brown</v>
      </c>
      <c r="M638" s="12" t="s">
        <v>384</v>
      </c>
      <c r="N638" s="16" t="s">
        <v>1991</v>
      </c>
      <c r="O638" s="8" t="str">
        <f t="shared" si="1"/>
        <v>4651 W Madison St </v>
      </c>
      <c r="P638" s="12">
        <v>28.0</v>
      </c>
      <c r="Q638" s="13" t="s">
        <v>399</v>
      </c>
    </row>
    <row r="639">
      <c r="A639" s="7">
        <v>400139.0</v>
      </c>
      <c r="B639" s="13" t="s">
        <v>1992</v>
      </c>
      <c r="C639" s="18" t="s">
        <v>1993</v>
      </c>
      <c r="D639" s="19">
        <v>0.574</v>
      </c>
      <c r="E639" s="18" t="s">
        <v>19</v>
      </c>
      <c r="F639" s="18" t="s">
        <v>426</v>
      </c>
      <c r="G639" s="15" t="s">
        <v>2038</v>
      </c>
      <c r="H639" s="12">
        <v>72.0</v>
      </c>
      <c r="I639" s="13" t="s">
        <v>52</v>
      </c>
      <c r="J639" s="14" t="s">
        <v>82</v>
      </c>
      <c r="K639" s="14">
        <v>10.0</v>
      </c>
      <c r="L639" s="14" t="str">
        <f t="array" ref="L639">INDEX('School Rep'!$A$2:$A$21, MATCH(J639, 'School Rep'!$B$2:$B$21, 0))</f>
        <v>Olga Bautista</v>
      </c>
      <c r="M639" s="12" t="s">
        <v>384</v>
      </c>
      <c r="N639" s="16" t="s">
        <v>1994</v>
      </c>
      <c r="O639" s="8" t="str">
        <f t="shared" si="1"/>
        <v>8164 S South Chicago Ave </v>
      </c>
      <c r="P639" s="12">
        <v>8.0</v>
      </c>
      <c r="Q639" s="13" t="s">
        <v>135</v>
      </c>
    </row>
    <row r="640">
      <c r="A640" s="7">
        <v>400141.0</v>
      </c>
      <c r="B640" s="12" t="s">
        <v>1995</v>
      </c>
      <c r="C640" s="18" t="s">
        <v>1996</v>
      </c>
      <c r="D640" s="19">
        <v>0.925</v>
      </c>
      <c r="E640" s="18" t="s">
        <v>19</v>
      </c>
      <c r="F640" s="18" t="s">
        <v>426</v>
      </c>
      <c r="G640" s="15" t="s">
        <v>2038</v>
      </c>
      <c r="H640" s="12">
        <v>36.0</v>
      </c>
      <c r="I640" s="13" t="s">
        <v>41</v>
      </c>
      <c r="J640" s="14" t="s">
        <v>243</v>
      </c>
      <c r="K640" s="14">
        <v>4.0</v>
      </c>
      <c r="L640" s="14" t="str">
        <f t="array" ref="L640">INDEX('School Rep'!$A$2:$A$21, MATCH(J640, 'School Rep'!$B$2:$B$21, 0))</f>
        <v>Karen Zaccor</v>
      </c>
      <c r="M640" s="12" t="s">
        <v>384</v>
      </c>
      <c r="N640" s="16" t="s">
        <v>1997</v>
      </c>
      <c r="O640" s="8" t="str">
        <f t="shared" si="1"/>
        <v>1145 W Wilson Ave </v>
      </c>
      <c r="P640" s="12">
        <v>46.0</v>
      </c>
      <c r="Q640" s="13" t="s">
        <v>245</v>
      </c>
    </row>
    <row r="641">
      <c r="A641" s="7">
        <v>400144.0</v>
      </c>
      <c r="B641" s="12" t="s">
        <v>1998</v>
      </c>
      <c r="C641" s="18" t="s">
        <v>1999</v>
      </c>
      <c r="D641" s="19">
        <v>0.85</v>
      </c>
      <c r="E641" s="18" t="s">
        <v>19</v>
      </c>
      <c r="F641" s="18" t="s">
        <v>426</v>
      </c>
      <c r="G641" s="15" t="s">
        <v>2038</v>
      </c>
      <c r="H641" s="12">
        <v>59.0</v>
      </c>
      <c r="I641" s="13" t="s">
        <v>20</v>
      </c>
      <c r="J641" s="14" t="s">
        <v>31</v>
      </c>
      <c r="K641" s="14">
        <v>5.0</v>
      </c>
      <c r="L641" s="14" t="str">
        <f t="array" ref="L641">INDEX('School Rep'!$A$2:$A$21, MATCH(J641, 'School Rep'!$B$2:$B$21, 0))</f>
        <v>Aaron "Jitu" Brown</v>
      </c>
      <c r="M641" s="12" t="s">
        <v>384</v>
      </c>
      <c r="N641" s="16" t="s">
        <v>2000</v>
      </c>
      <c r="O641" s="8" t="str">
        <f t="shared" si="1"/>
        <v>4909 W Division St </v>
      </c>
      <c r="P641" s="12">
        <v>37.0</v>
      </c>
      <c r="Q641" s="13" t="s">
        <v>162</v>
      </c>
    </row>
    <row r="642">
      <c r="A642" s="7">
        <v>400143.0</v>
      </c>
      <c r="B642" s="12" t="s">
        <v>2001</v>
      </c>
      <c r="C642" s="18" t="s">
        <v>2002</v>
      </c>
      <c r="D642" s="19">
        <v>0.915</v>
      </c>
      <c r="E642" s="18" t="s">
        <v>19</v>
      </c>
      <c r="F642" s="18" t="s">
        <v>426</v>
      </c>
      <c r="G642" s="15" t="s">
        <v>2038</v>
      </c>
      <c r="H642" s="12">
        <v>98.0</v>
      </c>
      <c r="I642" s="13" t="s">
        <v>248</v>
      </c>
      <c r="J642" s="14" t="s">
        <v>217</v>
      </c>
      <c r="K642" s="14">
        <v>5.0</v>
      </c>
      <c r="L642" s="14" t="str">
        <f t="array" ref="L642">INDEX('School Rep'!$A$2:$A$21, MATCH(J642, 'School Rep'!$B$2:$B$21, 0))</f>
        <v>Michilla Blaise</v>
      </c>
      <c r="M642" s="12" t="s">
        <v>384</v>
      </c>
      <c r="N642" s="16" t="s">
        <v>2003</v>
      </c>
      <c r="O642" s="8" t="str">
        <f t="shared" si="1"/>
        <v>500 N Sacramento Blvd </v>
      </c>
      <c r="P642" s="12">
        <v>27.0</v>
      </c>
      <c r="Q642" s="13" t="s">
        <v>219</v>
      </c>
    </row>
    <row r="643">
      <c r="A643" s="7">
        <v>400145.0</v>
      </c>
      <c r="B643" s="8" t="s">
        <v>2004</v>
      </c>
      <c r="C643" s="18" t="s">
        <v>2005</v>
      </c>
      <c r="D643" s="19">
        <v>0.847</v>
      </c>
      <c r="E643" s="18" t="s">
        <v>19</v>
      </c>
      <c r="F643" s="18" t="s">
        <v>426</v>
      </c>
      <c r="G643" s="15" t="s">
        <v>2038</v>
      </c>
      <c r="H643" s="15"/>
      <c r="I643" s="8"/>
      <c r="J643" s="14" t="s">
        <v>21</v>
      </c>
      <c r="K643" s="14">
        <v>7.0</v>
      </c>
      <c r="L643" s="14" t="str">
        <f t="array" ref="L643">INDEX('School Rep'!$A$2:$A$21, MATCH(J643, 'School Rep'!$B$2:$B$21, 0))</f>
        <v>Yesenia Lopez</v>
      </c>
      <c r="M643" s="15" t="s">
        <v>384</v>
      </c>
      <c r="N643" s="16" t="s">
        <v>2006</v>
      </c>
      <c r="O643" s="8" t="str">
        <f t="shared" si="1"/>
        <v>1814 S Union Ave </v>
      </c>
      <c r="P643" s="12">
        <v>25.0</v>
      </c>
      <c r="Q643" s="13" t="s">
        <v>44</v>
      </c>
    </row>
    <row r="644">
      <c r="A644" s="7">
        <v>400130.0</v>
      </c>
      <c r="B644" s="8" t="s">
        <v>2007</v>
      </c>
      <c r="C644" s="18" t="s">
        <v>2008</v>
      </c>
      <c r="D644" s="19">
        <v>0.853</v>
      </c>
      <c r="E644" s="18" t="s">
        <v>19</v>
      </c>
      <c r="F644" s="18" t="s">
        <v>426</v>
      </c>
      <c r="G644" s="15" t="s">
        <v>2038</v>
      </c>
      <c r="H644" s="12">
        <v>50.0</v>
      </c>
      <c r="I644" s="13" t="s">
        <v>20</v>
      </c>
      <c r="J644" s="14" t="s">
        <v>187</v>
      </c>
      <c r="K644" s="14">
        <v>9.0</v>
      </c>
      <c r="L644" s="14" t="str">
        <f t="array" ref="L644">INDEX('School Rep'!$A$2:$A$21, MATCH(J644, 'School Rep'!$B$2:$B$21, 0))</f>
        <v>Frank Niles Thomas</v>
      </c>
      <c r="M644" s="15" t="s">
        <v>384</v>
      </c>
      <c r="N644" s="16" t="s">
        <v>2009</v>
      </c>
      <c r="O644" s="8" t="str">
        <f t="shared" si="1"/>
        <v>7836 S Union Ave </v>
      </c>
      <c r="P644" s="12">
        <v>17.0</v>
      </c>
      <c r="Q644" s="13" t="s">
        <v>189</v>
      </c>
    </row>
    <row r="645">
      <c r="A645" s="7">
        <v>609748.0</v>
      </c>
      <c r="B645" s="8" t="s">
        <v>2010</v>
      </c>
      <c r="C645" s="18" t="s">
        <v>2011</v>
      </c>
      <c r="D645" s="19">
        <v>0.0</v>
      </c>
      <c r="E645" s="18" t="s">
        <v>80</v>
      </c>
      <c r="F645" s="18" t="s">
        <v>426</v>
      </c>
      <c r="G645" s="15" t="s">
        <v>2038</v>
      </c>
      <c r="H645" s="12">
        <v>63.0</v>
      </c>
      <c r="I645" s="13" t="s">
        <v>52</v>
      </c>
      <c r="J645" s="15" t="s">
        <v>384</v>
      </c>
      <c r="K645" s="15" t="s">
        <v>384</v>
      </c>
      <c r="L645" s="15" t="s">
        <v>384</v>
      </c>
      <c r="M645" s="15" t="s">
        <v>384</v>
      </c>
      <c r="N645" s="16" t="s">
        <v>2012</v>
      </c>
      <c r="O645" s="8" t="str">
        <f t="shared" si="1"/>
        <v>2700 S California Ave </v>
      </c>
      <c r="P645" s="12">
        <v>24.0</v>
      </c>
      <c r="Q645" s="13" t="s">
        <v>517</v>
      </c>
    </row>
    <row r="646">
      <c r="A646" s="7">
        <v>610235.0</v>
      </c>
      <c r="B646" s="12" t="s">
        <v>2013</v>
      </c>
      <c r="C646" s="18" t="s">
        <v>2014</v>
      </c>
      <c r="D646" s="19">
        <v>0.179</v>
      </c>
      <c r="E646" s="18" t="s">
        <v>80</v>
      </c>
      <c r="F646" s="18" t="s">
        <v>231</v>
      </c>
      <c r="G646" s="15" t="s">
        <v>2033</v>
      </c>
      <c r="H646" s="12">
        <v>47.0</v>
      </c>
      <c r="I646" s="13" t="s">
        <v>20</v>
      </c>
      <c r="J646" s="14" t="s">
        <v>31</v>
      </c>
      <c r="K646" s="14">
        <v>5.0</v>
      </c>
      <c r="L646" s="14" t="str">
        <f t="array" ref="L646">INDEX('School Rep'!$A$2:$A$21, MATCH(J646, 'School Rep'!$B$2:$B$21, 0))</f>
        <v>Aaron "Jitu" Brown</v>
      </c>
      <c r="M646" s="12">
        <v>3.2</v>
      </c>
      <c r="N646" s="16" t="s">
        <v>2015</v>
      </c>
      <c r="O646" s="8" t="str">
        <f t="shared" si="1"/>
        <v>1434 N Parkside Ave </v>
      </c>
      <c r="P646" s="12">
        <v>29.0</v>
      </c>
      <c r="Q646" s="13" t="s">
        <v>33</v>
      </c>
    </row>
    <row r="647">
      <c r="A647" s="7">
        <v>609755.0</v>
      </c>
      <c r="B647" s="12" t="s">
        <v>2016</v>
      </c>
      <c r="C647" s="9" t="s">
        <v>2017</v>
      </c>
      <c r="D647" s="10">
        <v>0.011</v>
      </c>
      <c r="E647" s="11" t="s">
        <v>80</v>
      </c>
      <c r="F647" s="11" t="s">
        <v>108</v>
      </c>
      <c r="G647" s="15" t="s">
        <v>2026</v>
      </c>
      <c r="H647" s="12">
        <v>67.0</v>
      </c>
      <c r="I647" s="13" t="s">
        <v>52</v>
      </c>
      <c r="J647" s="14" t="s">
        <v>217</v>
      </c>
      <c r="K647" s="14">
        <v>5.0</v>
      </c>
      <c r="L647" s="14" t="str">
        <f t="array" ref="L647">INDEX('School Rep'!$A$2:$A$21, MATCH(J647, 'School Rep'!$B$2:$B$21, 0))</f>
        <v>Michilla Blaise</v>
      </c>
      <c r="M647" s="12">
        <v>1.7</v>
      </c>
      <c r="N647" s="16" t="s">
        <v>2018</v>
      </c>
      <c r="O647" s="8" t="str">
        <f t="shared" si="1"/>
        <v>211 S Laflin St </v>
      </c>
      <c r="P647" s="12">
        <v>27.0</v>
      </c>
      <c r="Q647" s="13" t="s">
        <v>219</v>
      </c>
    </row>
    <row r="648">
      <c r="A648" s="7">
        <v>609973.0</v>
      </c>
      <c r="B648" s="8" t="s">
        <v>2019</v>
      </c>
      <c r="C648" s="18" t="s">
        <v>2020</v>
      </c>
      <c r="D648" s="19">
        <v>0.068</v>
      </c>
      <c r="E648" s="18" t="s">
        <v>80</v>
      </c>
      <c r="F648" s="18" t="s">
        <v>529</v>
      </c>
      <c r="G648" s="15" t="s">
        <v>2039</v>
      </c>
      <c r="H648" s="12">
        <v>72.0</v>
      </c>
      <c r="I648" s="13" t="s">
        <v>52</v>
      </c>
      <c r="J648" s="14" t="s">
        <v>42</v>
      </c>
      <c r="K648" s="14">
        <v>7.0</v>
      </c>
      <c r="L648" s="14" t="str">
        <f t="array" ref="L648">INDEX('School Rep'!$A$2:$A$21, MATCH(J648, 'School Rep'!$B$2:$B$21, 0))</f>
        <v>Emma Lozano</v>
      </c>
      <c r="M648" s="15">
        <v>3.3</v>
      </c>
      <c r="N648" s="16" t="s">
        <v>2021</v>
      </c>
      <c r="O648" s="8" t="str">
        <f t="shared" si="1"/>
        <v>2728 S Kostner Ave </v>
      </c>
      <c r="P648" s="12">
        <v>22.0</v>
      </c>
      <c r="Q648" s="13" t="s">
        <v>353</v>
      </c>
    </row>
    <row r="649">
      <c r="A649" s="15"/>
      <c r="B649" s="8"/>
      <c r="C649" s="9"/>
      <c r="D649" s="9"/>
      <c r="E649" s="9"/>
      <c r="F649" s="9"/>
      <c r="G649" s="15"/>
      <c r="H649" s="15"/>
      <c r="I649" s="8"/>
      <c r="J649" s="14"/>
      <c r="K649" s="14"/>
      <c r="L649" s="14"/>
      <c r="M649" s="15"/>
      <c r="N649" s="8"/>
      <c r="O649" s="8"/>
      <c r="P649" s="15"/>
      <c r="Q649" s="8"/>
    </row>
    <row r="650">
      <c r="A650" s="15"/>
      <c r="B650" s="8"/>
      <c r="C650" s="9"/>
      <c r="D650" s="9"/>
      <c r="E650" s="9"/>
      <c r="F650" s="9"/>
      <c r="G650" s="15"/>
      <c r="H650" s="15"/>
      <c r="I650" s="8"/>
      <c r="J650" s="14"/>
      <c r="K650" s="14"/>
      <c r="L650" s="14"/>
      <c r="M650" s="15"/>
      <c r="N650" s="8"/>
      <c r="O650" s="8"/>
      <c r="P650" s="15"/>
      <c r="Q650" s="8"/>
    </row>
    <row r="651">
      <c r="A651" s="15"/>
      <c r="B651" s="8"/>
      <c r="C651" s="9"/>
      <c r="D651" s="9"/>
      <c r="E651" s="9"/>
      <c r="F651" s="9"/>
      <c r="G651" s="15"/>
      <c r="H651" s="15"/>
      <c r="I651" s="8"/>
      <c r="J651" s="14"/>
      <c r="K651" s="14"/>
      <c r="L651" s="14"/>
      <c r="M651" s="15"/>
      <c r="N651" s="8"/>
      <c r="O651" s="8"/>
      <c r="P651" s="15"/>
      <c r="Q651" s="8"/>
    </row>
    <row r="652">
      <c r="A652" s="15"/>
      <c r="B652" s="8"/>
      <c r="C652" s="9"/>
      <c r="D652" s="9"/>
      <c r="E652" s="9"/>
      <c r="F652" s="9"/>
      <c r="G652" s="15"/>
      <c r="H652" s="15"/>
      <c r="I652" s="8"/>
      <c r="J652" s="14"/>
      <c r="K652" s="14"/>
      <c r="L652" s="14"/>
      <c r="M652" s="15"/>
      <c r="N652" s="8"/>
      <c r="O652" s="8"/>
      <c r="P652" s="15"/>
      <c r="Q652" s="8"/>
    </row>
    <row r="653">
      <c r="A653" s="15"/>
      <c r="B653" s="8"/>
      <c r="C653" s="9"/>
      <c r="D653" s="9"/>
      <c r="E653" s="9"/>
      <c r="F653" s="9"/>
      <c r="G653" s="15"/>
      <c r="H653" s="15"/>
      <c r="I653" s="8"/>
      <c r="J653" s="14"/>
      <c r="K653" s="14"/>
      <c r="L653" s="14"/>
      <c r="M653" s="15"/>
      <c r="N653" s="8"/>
      <c r="O653" s="8"/>
      <c r="P653" s="15"/>
      <c r="Q653" s="8"/>
    </row>
    <row r="654">
      <c r="A654" s="15"/>
      <c r="B654" s="8"/>
      <c r="C654" s="9"/>
      <c r="D654" s="9"/>
      <c r="E654" s="9"/>
      <c r="F654" s="9"/>
      <c r="G654" s="15"/>
      <c r="H654" s="15"/>
      <c r="I654" s="8"/>
      <c r="J654" s="14"/>
      <c r="K654" s="14"/>
      <c r="L654" s="14"/>
      <c r="M654" s="15"/>
      <c r="N654" s="8"/>
      <c r="O654" s="8"/>
      <c r="P654" s="15"/>
      <c r="Q654" s="8"/>
    </row>
    <row r="655">
      <c r="A655" s="15"/>
      <c r="B655" s="8"/>
      <c r="C655" s="9"/>
      <c r="D655" s="9"/>
      <c r="E655" s="9"/>
      <c r="F655" s="9"/>
      <c r="G655" s="15"/>
      <c r="H655" s="15"/>
      <c r="I655" s="8"/>
      <c r="J655" s="14"/>
      <c r="K655" s="14"/>
      <c r="L655" s="14"/>
      <c r="M655" s="15"/>
      <c r="N655" s="8"/>
      <c r="O655" s="8"/>
      <c r="P655" s="15"/>
      <c r="Q65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5" t="s">
        <v>5</v>
      </c>
      <c r="B1" s="25" t="s">
        <v>6</v>
      </c>
    </row>
    <row r="2">
      <c r="A2" s="26" t="s">
        <v>97</v>
      </c>
      <c r="B2" s="26" t="s">
        <v>2024</v>
      </c>
    </row>
    <row r="3">
      <c r="A3" s="26" t="s">
        <v>270</v>
      </c>
      <c r="B3" s="26" t="s">
        <v>2035</v>
      </c>
    </row>
    <row r="4">
      <c r="A4" s="26" t="s">
        <v>231</v>
      </c>
      <c r="B4" s="26" t="s">
        <v>2033</v>
      </c>
    </row>
    <row r="5">
      <c r="A5" s="26" t="s">
        <v>102</v>
      </c>
      <c r="B5" s="26" t="s">
        <v>2025</v>
      </c>
    </row>
    <row r="6">
      <c r="A6" s="26" t="s">
        <v>216</v>
      </c>
      <c r="B6" s="26" t="s">
        <v>2032</v>
      </c>
    </row>
    <row r="7">
      <c r="A7" s="26" t="s">
        <v>301</v>
      </c>
      <c r="B7" s="26" t="s">
        <v>2037</v>
      </c>
    </row>
    <row r="8">
      <c r="A8" s="26" t="s">
        <v>529</v>
      </c>
      <c r="B8" s="26" t="s">
        <v>2039</v>
      </c>
    </row>
    <row r="9">
      <c r="A9" s="26" t="s">
        <v>285</v>
      </c>
      <c r="B9" s="26" t="s">
        <v>2036</v>
      </c>
    </row>
    <row r="10">
      <c r="A10" s="26" t="s">
        <v>120</v>
      </c>
      <c r="B10" s="26" t="s">
        <v>2028</v>
      </c>
    </row>
    <row r="11">
      <c r="A11" s="26" t="s">
        <v>138</v>
      </c>
      <c r="B11" s="26" t="s">
        <v>2029</v>
      </c>
    </row>
    <row r="12">
      <c r="A12" s="26" t="s">
        <v>186</v>
      </c>
      <c r="B12" s="26" t="s">
        <v>2031</v>
      </c>
    </row>
    <row r="13">
      <c r="A13" s="26" t="s">
        <v>144</v>
      </c>
      <c r="B13" s="26" t="s">
        <v>2030</v>
      </c>
    </row>
    <row r="14">
      <c r="A14" s="26" t="s">
        <v>81</v>
      </c>
      <c r="B14" s="26" t="s">
        <v>2022</v>
      </c>
    </row>
    <row r="15">
      <c r="A15" s="26" t="s">
        <v>116</v>
      </c>
      <c r="B15" s="26" t="s">
        <v>2027</v>
      </c>
    </row>
    <row r="16">
      <c r="A16" s="26" t="s">
        <v>108</v>
      </c>
      <c r="B16" s="26" t="s">
        <v>2026</v>
      </c>
    </row>
    <row r="17">
      <c r="A17" s="26" t="s">
        <v>92</v>
      </c>
      <c r="B17" s="26" t="s">
        <v>2023</v>
      </c>
    </row>
    <row r="18">
      <c r="A18" s="26" t="s">
        <v>263</v>
      </c>
      <c r="B18" s="26" t="s">
        <v>2034</v>
      </c>
    </row>
    <row r="19">
      <c r="A19" s="26" t="s">
        <v>426</v>
      </c>
      <c r="B19" s="26" t="s">
        <v>2038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18.88"/>
  </cols>
  <sheetData>
    <row r="1">
      <c r="A1" s="27" t="s">
        <v>2040</v>
      </c>
      <c r="B1" s="27" t="s">
        <v>2041</v>
      </c>
      <c r="C1" s="27" t="s">
        <v>2042</v>
      </c>
      <c r="D1" s="27" t="s">
        <v>2043</v>
      </c>
    </row>
    <row r="2">
      <c r="A2" s="28" t="s">
        <v>17</v>
      </c>
      <c r="B2" s="28" t="s">
        <v>2044</v>
      </c>
      <c r="C2" s="28" t="s">
        <v>19</v>
      </c>
      <c r="D2" s="28" t="s">
        <v>19</v>
      </c>
    </row>
    <row r="3">
      <c r="A3" s="29" t="s">
        <v>24</v>
      </c>
      <c r="B3" s="29" t="s">
        <v>2045</v>
      </c>
      <c r="C3" s="29" t="s">
        <v>19</v>
      </c>
      <c r="D3" s="29" t="s">
        <v>19</v>
      </c>
    </row>
    <row r="4">
      <c r="A4" s="29" t="s">
        <v>28</v>
      </c>
      <c r="B4" s="29" t="s">
        <v>2046</v>
      </c>
      <c r="C4" s="29" t="s">
        <v>19</v>
      </c>
      <c r="D4" s="29" t="s">
        <v>19</v>
      </c>
    </row>
    <row r="5">
      <c r="A5" s="29" t="s">
        <v>34</v>
      </c>
      <c r="B5" s="29" t="s">
        <v>2047</v>
      </c>
      <c r="C5" s="29" t="s">
        <v>19</v>
      </c>
      <c r="D5" s="29" t="s">
        <v>19</v>
      </c>
    </row>
    <row r="6">
      <c r="A6" s="29" t="s">
        <v>39</v>
      </c>
      <c r="B6" s="29" t="s">
        <v>2048</v>
      </c>
      <c r="C6" s="29" t="s">
        <v>19</v>
      </c>
      <c r="D6" s="29" t="s">
        <v>19</v>
      </c>
    </row>
    <row r="7">
      <c r="A7" s="29" t="s">
        <v>45</v>
      </c>
      <c r="B7" s="29" t="s">
        <v>2049</v>
      </c>
      <c r="C7" s="29" t="s">
        <v>19</v>
      </c>
      <c r="D7" s="29" t="s">
        <v>19</v>
      </c>
    </row>
    <row r="8">
      <c r="A8" s="29" t="s">
        <v>50</v>
      </c>
      <c r="B8" s="29" t="s">
        <v>2050</v>
      </c>
      <c r="C8" s="29" t="s">
        <v>19</v>
      </c>
      <c r="D8" s="29" t="s">
        <v>19</v>
      </c>
    </row>
    <row r="9">
      <c r="A9" s="29" t="s">
        <v>55</v>
      </c>
      <c r="B9" s="29" t="s">
        <v>2051</v>
      </c>
      <c r="C9" s="29" t="s">
        <v>19</v>
      </c>
      <c r="D9" s="29" t="s">
        <v>19</v>
      </c>
    </row>
    <row r="10">
      <c r="A10" s="29" t="s">
        <v>58</v>
      </c>
      <c r="B10" s="29" t="s">
        <v>2052</v>
      </c>
      <c r="C10" s="29" t="s">
        <v>19</v>
      </c>
      <c r="D10" s="29" t="s">
        <v>19</v>
      </c>
    </row>
    <row r="11">
      <c r="A11" s="29" t="s">
        <v>61</v>
      </c>
      <c r="B11" s="29" t="s">
        <v>2053</v>
      </c>
      <c r="C11" s="29" t="s">
        <v>19</v>
      </c>
      <c r="D11" s="29" t="s">
        <v>19</v>
      </c>
    </row>
    <row r="12">
      <c r="A12" s="29" t="s">
        <v>64</v>
      </c>
      <c r="B12" s="29" t="s">
        <v>2054</v>
      </c>
      <c r="C12" s="29" t="s">
        <v>19</v>
      </c>
      <c r="D12" s="29" t="s">
        <v>19</v>
      </c>
    </row>
    <row r="13">
      <c r="A13" s="29" t="s">
        <v>68</v>
      </c>
      <c r="B13" s="29" t="s">
        <v>2055</v>
      </c>
      <c r="C13" s="29" t="s">
        <v>19</v>
      </c>
      <c r="D13" s="29" t="s">
        <v>19</v>
      </c>
    </row>
    <row r="14">
      <c r="A14" s="29" t="s">
        <v>71</v>
      </c>
      <c r="B14" s="29" t="s">
        <v>2056</v>
      </c>
      <c r="C14" s="29" t="s">
        <v>19</v>
      </c>
      <c r="D14" s="29" t="s">
        <v>19</v>
      </c>
    </row>
    <row r="15">
      <c r="A15" s="29" t="s">
        <v>74</v>
      </c>
      <c r="B15" s="29" t="s">
        <v>2050</v>
      </c>
      <c r="C15" s="29" t="s">
        <v>19</v>
      </c>
      <c r="D15" s="29" t="s">
        <v>19</v>
      </c>
    </row>
    <row r="16">
      <c r="A16" s="29" t="s">
        <v>76</v>
      </c>
      <c r="B16" s="29" t="s">
        <v>2050</v>
      </c>
      <c r="C16" s="29" t="s">
        <v>19</v>
      </c>
      <c r="D16" s="29" t="s">
        <v>19</v>
      </c>
    </row>
    <row r="17">
      <c r="A17" s="29" t="s">
        <v>78</v>
      </c>
      <c r="B17" s="29" t="s">
        <v>2057</v>
      </c>
      <c r="C17" s="29" t="s">
        <v>126</v>
      </c>
      <c r="D17" s="29" t="s">
        <v>80</v>
      </c>
    </row>
    <row r="18">
      <c r="A18" s="29" t="s">
        <v>85</v>
      </c>
      <c r="B18" s="29" t="s">
        <v>2058</v>
      </c>
      <c r="C18" s="29" t="s">
        <v>19</v>
      </c>
      <c r="D18" s="29" t="s">
        <v>19</v>
      </c>
    </row>
    <row r="19">
      <c r="A19" s="29" t="s">
        <v>90</v>
      </c>
      <c r="B19" s="29" t="s">
        <v>2059</v>
      </c>
      <c r="C19" s="29" t="s">
        <v>92</v>
      </c>
      <c r="D19" s="29" t="s">
        <v>80</v>
      </c>
    </row>
    <row r="20">
      <c r="A20" s="29" t="s">
        <v>95</v>
      </c>
      <c r="B20" s="29" t="s">
        <v>2060</v>
      </c>
      <c r="C20" s="29" t="s">
        <v>97</v>
      </c>
      <c r="D20" s="29" t="s">
        <v>80</v>
      </c>
    </row>
    <row r="21">
      <c r="A21" s="29" t="s">
        <v>100</v>
      </c>
      <c r="B21" s="29" t="s">
        <v>2061</v>
      </c>
      <c r="C21" s="29" t="s">
        <v>102</v>
      </c>
      <c r="D21" s="29" t="s">
        <v>80</v>
      </c>
    </row>
    <row r="22">
      <c r="A22" s="29" t="s">
        <v>106</v>
      </c>
      <c r="B22" s="29" t="s">
        <v>2062</v>
      </c>
      <c r="C22" s="29" t="s">
        <v>108</v>
      </c>
      <c r="D22" s="29" t="s">
        <v>80</v>
      </c>
    </row>
    <row r="23">
      <c r="A23" s="29" t="s">
        <v>111</v>
      </c>
      <c r="B23" s="29" t="s">
        <v>2063</v>
      </c>
      <c r="C23" s="29" t="s">
        <v>81</v>
      </c>
      <c r="D23" s="29" t="s">
        <v>80</v>
      </c>
    </row>
    <row r="24">
      <c r="A24" s="29" t="s">
        <v>114</v>
      </c>
      <c r="B24" s="29" t="s">
        <v>2064</v>
      </c>
      <c r="C24" s="29" t="s">
        <v>126</v>
      </c>
      <c r="D24" s="29" t="s">
        <v>80</v>
      </c>
    </row>
    <row r="25">
      <c r="A25" s="29" t="s">
        <v>118</v>
      </c>
      <c r="B25" s="29" t="s">
        <v>2065</v>
      </c>
      <c r="C25" s="29" t="s">
        <v>120</v>
      </c>
      <c r="D25" s="29" t="s">
        <v>80</v>
      </c>
    </row>
    <row r="26">
      <c r="A26" s="29" t="s">
        <v>124</v>
      </c>
      <c r="B26" s="29" t="s">
        <v>2066</v>
      </c>
      <c r="C26" s="29" t="s">
        <v>126</v>
      </c>
      <c r="D26" s="29" t="s">
        <v>80</v>
      </c>
    </row>
    <row r="27">
      <c r="A27" s="29" t="s">
        <v>128</v>
      </c>
      <c r="B27" s="29" t="s">
        <v>2067</v>
      </c>
      <c r="C27" s="29" t="s">
        <v>126</v>
      </c>
      <c r="D27" s="29" t="s">
        <v>80</v>
      </c>
    </row>
    <row r="28">
      <c r="A28" s="29" t="s">
        <v>132</v>
      </c>
      <c r="B28" s="29" t="s">
        <v>2068</v>
      </c>
      <c r="C28" s="29" t="s">
        <v>19</v>
      </c>
      <c r="D28" s="29" t="s">
        <v>19</v>
      </c>
    </row>
    <row r="29">
      <c r="A29" s="29" t="s">
        <v>136</v>
      </c>
      <c r="B29" s="29" t="s">
        <v>2069</v>
      </c>
      <c r="C29" s="29" t="s">
        <v>138</v>
      </c>
      <c r="D29" s="29" t="s">
        <v>80</v>
      </c>
    </row>
    <row r="30">
      <c r="A30" s="29" t="s">
        <v>142</v>
      </c>
      <c r="B30" s="29" t="s">
        <v>2070</v>
      </c>
      <c r="C30" s="29" t="s">
        <v>144</v>
      </c>
      <c r="D30" s="29" t="s">
        <v>80</v>
      </c>
    </row>
    <row r="31">
      <c r="A31" s="29" t="s">
        <v>146</v>
      </c>
      <c r="B31" s="29" t="s">
        <v>2071</v>
      </c>
      <c r="C31" s="29" t="s">
        <v>19</v>
      </c>
      <c r="D31" s="29" t="s">
        <v>19</v>
      </c>
    </row>
    <row r="32">
      <c r="A32" s="29" t="s">
        <v>149</v>
      </c>
      <c r="B32" s="29" t="s">
        <v>2072</v>
      </c>
      <c r="C32" s="29" t="s">
        <v>19</v>
      </c>
      <c r="D32" s="29" t="s">
        <v>19</v>
      </c>
    </row>
    <row r="33">
      <c r="A33" s="29" t="s">
        <v>153</v>
      </c>
      <c r="B33" s="29" t="s">
        <v>2073</v>
      </c>
      <c r="C33" s="29" t="s">
        <v>19</v>
      </c>
      <c r="D33" s="29" t="s">
        <v>19</v>
      </c>
    </row>
    <row r="34">
      <c r="A34" s="29" t="s">
        <v>156</v>
      </c>
      <c r="B34" s="29" t="s">
        <v>2074</v>
      </c>
      <c r="C34" s="29" t="s">
        <v>102</v>
      </c>
      <c r="D34" s="29" t="s">
        <v>80</v>
      </c>
    </row>
    <row r="35">
      <c r="A35" s="29" t="s">
        <v>159</v>
      </c>
      <c r="B35" s="29" t="s">
        <v>2075</v>
      </c>
      <c r="C35" s="29" t="s">
        <v>108</v>
      </c>
      <c r="D35" s="29" t="s">
        <v>80</v>
      </c>
    </row>
    <row r="36">
      <c r="A36" s="29" t="s">
        <v>163</v>
      </c>
      <c r="B36" s="29" t="s">
        <v>2076</v>
      </c>
      <c r="C36" s="29" t="s">
        <v>144</v>
      </c>
      <c r="D36" s="29" t="s">
        <v>80</v>
      </c>
    </row>
    <row r="37">
      <c r="A37" s="29" t="s">
        <v>166</v>
      </c>
      <c r="B37" s="29" t="s">
        <v>2077</v>
      </c>
      <c r="C37" s="29" t="s">
        <v>102</v>
      </c>
      <c r="D37" s="29" t="s">
        <v>80</v>
      </c>
    </row>
    <row r="38">
      <c r="A38" s="29" t="s">
        <v>169</v>
      </c>
      <c r="B38" s="29" t="s">
        <v>2078</v>
      </c>
      <c r="C38" s="29" t="s">
        <v>126</v>
      </c>
      <c r="D38" s="29" t="s">
        <v>80</v>
      </c>
    </row>
    <row r="39">
      <c r="A39" s="29" t="s">
        <v>173</v>
      </c>
      <c r="B39" s="29" t="s">
        <v>2079</v>
      </c>
      <c r="C39" s="29" t="s">
        <v>126</v>
      </c>
      <c r="D39" s="29" t="s">
        <v>80</v>
      </c>
    </row>
    <row r="40">
      <c r="A40" s="29" t="s">
        <v>176</v>
      </c>
      <c r="B40" s="29" t="s">
        <v>2080</v>
      </c>
      <c r="C40" s="29" t="s">
        <v>138</v>
      </c>
      <c r="D40" s="29" t="s">
        <v>80</v>
      </c>
    </row>
    <row r="41">
      <c r="A41" s="29" t="s">
        <v>181</v>
      </c>
      <c r="B41" s="29" t="s">
        <v>2081</v>
      </c>
      <c r="C41" s="29" t="s">
        <v>102</v>
      </c>
      <c r="D41" s="29" t="s">
        <v>80</v>
      </c>
    </row>
    <row r="42">
      <c r="A42" s="29" t="s">
        <v>184</v>
      </c>
      <c r="B42" s="29" t="s">
        <v>2082</v>
      </c>
      <c r="C42" s="29" t="s">
        <v>186</v>
      </c>
      <c r="D42" s="29" t="s">
        <v>80</v>
      </c>
    </row>
    <row r="43">
      <c r="A43" s="29" t="s">
        <v>190</v>
      </c>
      <c r="B43" s="29" t="s">
        <v>2083</v>
      </c>
      <c r="C43" s="29" t="s">
        <v>186</v>
      </c>
      <c r="D43" s="29" t="s">
        <v>80</v>
      </c>
    </row>
    <row r="44">
      <c r="A44" s="29" t="s">
        <v>194</v>
      </c>
      <c r="B44" s="29" t="s">
        <v>2084</v>
      </c>
      <c r="C44" s="29" t="s">
        <v>97</v>
      </c>
      <c r="D44" s="29" t="s">
        <v>80</v>
      </c>
    </row>
    <row r="45">
      <c r="A45" s="29" t="s">
        <v>197</v>
      </c>
      <c r="B45" s="29" t="s">
        <v>2085</v>
      </c>
      <c r="C45" s="29" t="s">
        <v>97</v>
      </c>
      <c r="D45" s="29" t="s">
        <v>80</v>
      </c>
    </row>
    <row r="46">
      <c r="A46" s="29" t="s">
        <v>202</v>
      </c>
      <c r="B46" s="29" t="s">
        <v>2086</v>
      </c>
      <c r="C46" s="29" t="s">
        <v>120</v>
      </c>
      <c r="D46" s="29" t="s">
        <v>80</v>
      </c>
    </row>
    <row r="47">
      <c r="A47" s="29" t="s">
        <v>207</v>
      </c>
      <c r="B47" s="29" t="s">
        <v>2087</v>
      </c>
      <c r="C47" s="29" t="s">
        <v>97</v>
      </c>
      <c r="D47" s="29" t="s">
        <v>80</v>
      </c>
    </row>
    <row r="48">
      <c r="A48" s="29" t="s">
        <v>211</v>
      </c>
      <c r="B48" s="29" t="s">
        <v>2088</v>
      </c>
      <c r="C48" s="29" t="s">
        <v>120</v>
      </c>
      <c r="D48" s="29" t="s">
        <v>80</v>
      </c>
    </row>
    <row r="49">
      <c r="A49" s="29" t="s">
        <v>214</v>
      </c>
      <c r="B49" s="29" t="s">
        <v>2089</v>
      </c>
      <c r="C49" s="29" t="s">
        <v>216</v>
      </c>
      <c r="D49" s="29" t="s">
        <v>80</v>
      </c>
    </row>
    <row r="50">
      <c r="A50" s="29" t="s">
        <v>220</v>
      </c>
      <c r="B50" s="29" t="s">
        <v>2090</v>
      </c>
      <c r="C50" s="29" t="s">
        <v>97</v>
      </c>
      <c r="D50" s="29" t="s">
        <v>80</v>
      </c>
    </row>
    <row r="51">
      <c r="A51" s="29" t="s">
        <v>225</v>
      </c>
      <c r="B51" s="29" t="s">
        <v>2091</v>
      </c>
      <c r="C51" s="29" t="s">
        <v>102</v>
      </c>
      <c r="D51" s="29" t="s">
        <v>80</v>
      </c>
    </row>
    <row r="52">
      <c r="A52" s="29" t="s">
        <v>229</v>
      </c>
      <c r="B52" s="29" t="s">
        <v>2092</v>
      </c>
      <c r="C52" s="29" t="s">
        <v>231</v>
      </c>
      <c r="D52" s="29" t="s">
        <v>80</v>
      </c>
    </row>
    <row r="53">
      <c r="A53" s="29" t="s">
        <v>234</v>
      </c>
      <c r="B53" s="29" t="s">
        <v>2093</v>
      </c>
      <c r="C53" s="29" t="s">
        <v>81</v>
      </c>
      <c r="D53" s="29" t="s">
        <v>80</v>
      </c>
    </row>
    <row r="54">
      <c r="A54" s="29" t="s">
        <v>238</v>
      </c>
      <c r="B54" s="29" t="s">
        <v>2094</v>
      </c>
      <c r="C54" s="29" t="s">
        <v>144</v>
      </c>
      <c r="D54" s="29" t="s">
        <v>80</v>
      </c>
    </row>
    <row r="55">
      <c r="A55" s="29" t="s">
        <v>241</v>
      </c>
      <c r="B55" s="29" t="s">
        <v>2095</v>
      </c>
      <c r="C55" s="29" t="s">
        <v>102</v>
      </c>
      <c r="D55" s="29" t="s">
        <v>80</v>
      </c>
    </row>
    <row r="56">
      <c r="A56" s="29" t="s">
        <v>246</v>
      </c>
      <c r="B56" s="29" t="s">
        <v>2096</v>
      </c>
      <c r="C56" s="29" t="s">
        <v>138</v>
      </c>
      <c r="D56" s="29" t="s">
        <v>80</v>
      </c>
    </row>
    <row r="57">
      <c r="A57" s="29" t="s">
        <v>251</v>
      </c>
      <c r="B57" s="29" t="s">
        <v>2097</v>
      </c>
      <c r="C57" s="29" t="s">
        <v>92</v>
      </c>
      <c r="D57" s="29" t="s">
        <v>80</v>
      </c>
    </row>
    <row r="58">
      <c r="A58" s="29" t="s">
        <v>254</v>
      </c>
      <c r="B58" s="29" t="s">
        <v>2098</v>
      </c>
      <c r="C58" s="29" t="s">
        <v>186</v>
      </c>
      <c r="D58" s="29" t="s">
        <v>80</v>
      </c>
    </row>
    <row r="59">
      <c r="A59" s="29" t="s">
        <v>2099</v>
      </c>
      <c r="B59" s="29" t="s">
        <v>2100</v>
      </c>
      <c r="C59" s="29" t="s">
        <v>270</v>
      </c>
      <c r="D59" s="29" t="s">
        <v>80</v>
      </c>
    </row>
    <row r="60">
      <c r="A60" s="29" t="s">
        <v>257</v>
      </c>
      <c r="B60" s="29" t="s">
        <v>2101</v>
      </c>
      <c r="C60" s="29" t="s">
        <v>144</v>
      </c>
      <c r="D60" s="29" t="s">
        <v>80</v>
      </c>
    </row>
    <row r="61">
      <c r="A61" s="29" t="s">
        <v>261</v>
      </c>
      <c r="B61" s="29" t="s">
        <v>2102</v>
      </c>
      <c r="C61" s="29" t="s">
        <v>263</v>
      </c>
      <c r="D61" s="29" t="s">
        <v>80</v>
      </c>
    </row>
    <row r="62">
      <c r="A62" s="29" t="s">
        <v>265</v>
      </c>
      <c r="B62" s="29" t="s">
        <v>2103</v>
      </c>
      <c r="C62" s="29" t="s">
        <v>144</v>
      </c>
      <c r="D62" s="29" t="s">
        <v>80</v>
      </c>
    </row>
    <row r="63">
      <c r="A63" s="29" t="s">
        <v>268</v>
      </c>
      <c r="B63" s="29" t="s">
        <v>2104</v>
      </c>
      <c r="C63" s="29" t="s">
        <v>270</v>
      </c>
      <c r="D63" s="29" t="s">
        <v>80</v>
      </c>
    </row>
    <row r="64">
      <c r="A64" s="29" t="s">
        <v>272</v>
      </c>
      <c r="B64" s="29" t="s">
        <v>2105</v>
      </c>
      <c r="C64" s="29" t="s">
        <v>102</v>
      </c>
      <c r="D64" s="29" t="s">
        <v>80</v>
      </c>
    </row>
    <row r="65">
      <c r="A65" s="29" t="s">
        <v>276</v>
      </c>
      <c r="B65" s="29" t="s">
        <v>2106</v>
      </c>
      <c r="C65" s="29" t="s">
        <v>97</v>
      </c>
      <c r="D65" s="29" t="s">
        <v>80</v>
      </c>
    </row>
    <row r="66">
      <c r="A66" s="29" t="s">
        <v>280</v>
      </c>
      <c r="B66" s="29" t="s">
        <v>2107</v>
      </c>
      <c r="C66" s="29" t="s">
        <v>81</v>
      </c>
      <c r="D66" s="29" t="s">
        <v>80</v>
      </c>
    </row>
    <row r="67">
      <c r="A67" s="29" t="s">
        <v>283</v>
      </c>
      <c r="B67" s="29" t="s">
        <v>2108</v>
      </c>
      <c r="C67" s="29" t="s">
        <v>285</v>
      </c>
      <c r="D67" s="29" t="s">
        <v>80</v>
      </c>
    </row>
    <row r="68">
      <c r="A68" s="29" t="s">
        <v>287</v>
      </c>
      <c r="B68" s="29" t="s">
        <v>2109</v>
      </c>
      <c r="C68" s="29" t="s">
        <v>120</v>
      </c>
      <c r="D68" s="29" t="s">
        <v>80</v>
      </c>
    </row>
    <row r="69">
      <c r="A69" s="29" t="s">
        <v>290</v>
      </c>
      <c r="B69" s="29" t="s">
        <v>2110</v>
      </c>
      <c r="C69" s="29" t="s">
        <v>263</v>
      </c>
      <c r="D69" s="29" t="s">
        <v>80</v>
      </c>
    </row>
    <row r="70">
      <c r="A70" s="29" t="s">
        <v>293</v>
      </c>
      <c r="B70" s="29" t="s">
        <v>2111</v>
      </c>
      <c r="C70" s="29" t="s">
        <v>126</v>
      </c>
      <c r="D70" s="29" t="s">
        <v>80</v>
      </c>
    </row>
    <row r="71">
      <c r="A71" s="29" t="s">
        <v>296</v>
      </c>
      <c r="B71" s="29" t="s">
        <v>2112</v>
      </c>
      <c r="C71" s="29" t="s">
        <v>81</v>
      </c>
      <c r="D71" s="29" t="s">
        <v>80</v>
      </c>
    </row>
    <row r="72">
      <c r="A72" s="29" t="s">
        <v>299</v>
      </c>
      <c r="B72" s="29" t="s">
        <v>2113</v>
      </c>
      <c r="C72" s="29" t="s">
        <v>301</v>
      </c>
      <c r="D72" s="29" t="s">
        <v>80</v>
      </c>
    </row>
    <row r="73">
      <c r="A73" s="29" t="s">
        <v>303</v>
      </c>
      <c r="B73" s="29" t="s">
        <v>2114</v>
      </c>
      <c r="C73" s="29" t="s">
        <v>144</v>
      </c>
      <c r="D73" s="29" t="s">
        <v>80</v>
      </c>
    </row>
    <row r="74">
      <c r="A74" s="29" t="s">
        <v>307</v>
      </c>
      <c r="B74" s="29" t="s">
        <v>2115</v>
      </c>
      <c r="C74" s="29" t="s">
        <v>231</v>
      </c>
      <c r="D74" s="29" t="s">
        <v>80</v>
      </c>
    </row>
    <row r="75">
      <c r="A75" s="29" t="s">
        <v>310</v>
      </c>
      <c r="B75" s="29" t="s">
        <v>2116</v>
      </c>
      <c r="C75" s="29" t="s">
        <v>126</v>
      </c>
      <c r="D75" s="29" t="s">
        <v>80</v>
      </c>
    </row>
    <row r="76">
      <c r="A76" s="29" t="s">
        <v>313</v>
      </c>
      <c r="B76" s="29" t="s">
        <v>2117</v>
      </c>
      <c r="C76" s="29" t="s">
        <v>231</v>
      </c>
      <c r="D76" s="29" t="s">
        <v>80</v>
      </c>
    </row>
    <row r="77">
      <c r="A77" s="29" t="s">
        <v>316</v>
      </c>
      <c r="B77" s="29" t="s">
        <v>2118</v>
      </c>
      <c r="C77" s="29" t="s">
        <v>120</v>
      </c>
      <c r="D77" s="29" t="s">
        <v>80</v>
      </c>
    </row>
    <row r="78">
      <c r="A78" s="29" t="s">
        <v>319</v>
      </c>
      <c r="B78" s="29" t="s">
        <v>2119</v>
      </c>
      <c r="C78" s="29" t="s">
        <v>126</v>
      </c>
      <c r="D78" s="29" t="s">
        <v>80</v>
      </c>
    </row>
    <row r="79">
      <c r="A79" s="29" t="s">
        <v>322</v>
      </c>
      <c r="B79" s="29" t="s">
        <v>2120</v>
      </c>
      <c r="C79" s="29" t="s">
        <v>81</v>
      </c>
      <c r="D79" s="29" t="s">
        <v>80</v>
      </c>
    </row>
    <row r="80">
      <c r="A80" s="29" t="s">
        <v>325</v>
      </c>
      <c r="B80" s="29" t="s">
        <v>2121</v>
      </c>
      <c r="C80" s="29" t="s">
        <v>144</v>
      </c>
      <c r="D80" s="29" t="s">
        <v>80</v>
      </c>
    </row>
    <row r="81">
      <c r="A81" s="29" t="s">
        <v>328</v>
      </c>
      <c r="B81" s="29" t="s">
        <v>2122</v>
      </c>
      <c r="C81" s="29" t="s">
        <v>301</v>
      </c>
      <c r="D81" s="29" t="s">
        <v>80</v>
      </c>
    </row>
    <row r="82">
      <c r="A82" s="29" t="s">
        <v>331</v>
      </c>
      <c r="B82" s="29" t="s">
        <v>2123</v>
      </c>
      <c r="C82" s="29" t="s">
        <v>285</v>
      </c>
      <c r="D82" s="29" t="s">
        <v>80</v>
      </c>
    </row>
    <row r="83">
      <c r="A83" s="29" t="s">
        <v>334</v>
      </c>
      <c r="B83" s="29" t="s">
        <v>2124</v>
      </c>
      <c r="C83" s="29" t="s">
        <v>138</v>
      </c>
      <c r="D83" s="29" t="s">
        <v>80</v>
      </c>
    </row>
    <row r="84">
      <c r="A84" s="29" t="s">
        <v>2125</v>
      </c>
      <c r="B84" s="29" t="s">
        <v>2126</v>
      </c>
      <c r="C84" s="29" t="s">
        <v>126</v>
      </c>
      <c r="D84" s="29" t="s">
        <v>80</v>
      </c>
    </row>
    <row r="85">
      <c r="A85" s="29" t="s">
        <v>337</v>
      </c>
      <c r="B85" s="29" t="s">
        <v>2127</v>
      </c>
      <c r="C85" s="29" t="s">
        <v>285</v>
      </c>
      <c r="D85" s="29" t="s">
        <v>80</v>
      </c>
    </row>
    <row r="86">
      <c r="A86" s="29" t="s">
        <v>340</v>
      </c>
      <c r="B86" s="29" t="s">
        <v>2128</v>
      </c>
      <c r="C86" s="29" t="s">
        <v>216</v>
      </c>
      <c r="D86" s="29" t="s">
        <v>80</v>
      </c>
    </row>
    <row r="87">
      <c r="A87" s="29" t="s">
        <v>343</v>
      </c>
      <c r="B87" s="29" t="s">
        <v>2129</v>
      </c>
      <c r="C87" s="29" t="s">
        <v>126</v>
      </c>
      <c r="D87" s="29" t="s">
        <v>80</v>
      </c>
    </row>
    <row r="88">
      <c r="A88" s="29" t="s">
        <v>347</v>
      </c>
      <c r="B88" s="29" t="s">
        <v>2130</v>
      </c>
      <c r="C88" s="29" t="s">
        <v>97</v>
      </c>
      <c r="D88" s="29" t="s">
        <v>80</v>
      </c>
    </row>
    <row r="89">
      <c r="A89" s="29" t="s">
        <v>350</v>
      </c>
      <c r="B89" s="29" t="s">
        <v>2131</v>
      </c>
      <c r="C89" s="29" t="s">
        <v>126</v>
      </c>
      <c r="D89" s="29" t="s">
        <v>80</v>
      </c>
    </row>
    <row r="90">
      <c r="A90" s="29" t="s">
        <v>354</v>
      </c>
      <c r="B90" s="29" t="s">
        <v>2132</v>
      </c>
      <c r="C90" s="29" t="s">
        <v>120</v>
      </c>
      <c r="D90" s="29" t="s">
        <v>80</v>
      </c>
    </row>
    <row r="91">
      <c r="A91" s="29" t="s">
        <v>358</v>
      </c>
      <c r="B91" s="29" t="s">
        <v>2133</v>
      </c>
      <c r="C91" s="29" t="s">
        <v>138</v>
      </c>
      <c r="D91" s="29" t="s">
        <v>80</v>
      </c>
    </row>
    <row r="92">
      <c r="A92" s="29" t="s">
        <v>361</v>
      </c>
      <c r="B92" s="29" t="s">
        <v>2134</v>
      </c>
      <c r="C92" s="29" t="s">
        <v>126</v>
      </c>
      <c r="D92" s="29" t="s">
        <v>80</v>
      </c>
    </row>
    <row r="93">
      <c r="A93" s="29" t="s">
        <v>365</v>
      </c>
      <c r="B93" s="29" t="s">
        <v>2135</v>
      </c>
      <c r="C93" s="29" t="s">
        <v>120</v>
      </c>
      <c r="D93" s="29" t="s">
        <v>80</v>
      </c>
    </row>
    <row r="94">
      <c r="A94" s="29" t="s">
        <v>369</v>
      </c>
      <c r="B94" s="29" t="s">
        <v>2136</v>
      </c>
      <c r="C94" s="29" t="s">
        <v>81</v>
      </c>
      <c r="D94" s="29" t="s">
        <v>80</v>
      </c>
    </row>
    <row r="95">
      <c r="A95" s="29" t="s">
        <v>372</v>
      </c>
      <c r="B95" s="29" t="s">
        <v>2137</v>
      </c>
      <c r="C95" s="29" t="s">
        <v>263</v>
      </c>
      <c r="D95" s="29" t="s">
        <v>80</v>
      </c>
    </row>
    <row r="96">
      <c r="A96" s="29" t="s">
        <v>375</v>
      </c>
      <c r="B96" s="29" t="s">
        <v>2138</v>
      </c>
      <c r="C96" s="29" t="s">
        <v>216</v>
      </c>
      <c r="D96" s="29" t="s">
        <v>80</v>
      </c>
    </row>
    <row r="97">
      <c r="A97" s="29" t="s">
        <v>379</v>
      </c>
      <c r="B97" s="29" t="s">
        <v>2139</v>
      </c>
      <c r="C97" s="29" t="s">
        <v>126</v>
      </c>
      <c r="D97" s="29" t="s">
        <v>80</v>
      </c>
    </row>
    <row r="98">
      <c r="A98" s="29" t="s">
        <v>386</v>
      </c>
      <c r="B98" s="29" t="s">
        <v>2140</v>
      </c>
      <c r="C98" s="29" t="s">
        <v>19</v>
      </c>
      <c r="D98" s="29" t="s">
        <v>19</v>
      </c>
    </row>
    <row r="99">
      <c r="A99" s="29" t="s">
        <v>389</v>
      </c>
      <c r="B99" s="29" t="s">
        <v>2141</v>
      </c>
      <c r="C99" s="29" t="s">
        <v>19</v>
      </c>
      <c r="D99" s="29" t="s">
        <v>19</v>
      </c>
    </row>
    <row r="100">
      <c r="A100" s="29" t="s">
        <v>2142</v>
      </c>
      <c r="B100" s="30" t="e">
        <v>#N/A</v>
      </c>
      <c r="C100" s="29" t="s">
        <v>19</v>
      </c>
      <c r="D100" s="29" t="s">
        <v>19</v>
      </c>
    </row>
    <row r="101">
      <c r="A101" s="29" t="s">
        <v>393</v>
      </c>
      <c r="B101" s="29" t="s">
        <v>2143</v>
      </c>
      <c r="C101" s="29" t="s">
        <v>216</v>
      </c>
      <c r="D101" s="29" t="s">
        <v>80</v>
      </c>
    </row>
    <row r="102">
      <c r="A102" s="29" t="s">
        <v>396</v>
      </c>
      <c r="B102" s="29" t="s">
        <v>2144</v>
      </c>
      <c r="C102" s="29" t="s">
        <v>216</v>
      </c>
      <c r="D102" s="29" t="s">
        <v>80</v>
      </c>
    </row>
    <row r="103">
      <c r="A103" s="29" t="s">
        <v>400</v>
      </c>
      <c r="B103" s="29" t="s">
        <v>2145</v>
      </c>
      <c r="C103" s="29" t="s">
        <v>270</v>
      </c>
      <c r="D103" s="29" t="s">
        <v>80</v>
      </c>
    </row>
    <row r="104">
      <c r="A104" s="29" t="s">
        <v>403</v>
      </c>
      <c r="B104" s="29" t="s">
        <v>2146</v>
      </c>
      <c r="C104" s="29" t="s">
        <v>102</v>
      </c>
      <c r="D104" s="29" t="s">
        <v>80</v>
      </c>
    </row>
    <row r="105">
      <c r="A105" s="29" t="s">
        <v>406</v>
      </c>
      <c r="B105" s="29" t="s">
        <v>2147</v>
      </c>
      <c r="C105" s="29" t="s">
        <v>126</v>
      </c>
      <c r="D105" s="29" t="s">
        <v>80</v>
      </c>
    </row>
    <row r="106">
      <c r="A106" s="29" t="s">
        <v>409</v>
      </c>
      <c r="B106" s="29" t="s">
        <v>2148</v>
      </c>
      <c r="C106" s="29" t="s">
        <v>411</v>
      </c>
      <c r="D106" s="29" t="s">
        <v>411</v>
      </c>
    </row>
    <row r="107">
      <c r="A107" s="29" t="s">
        <v>413</v>
      </c>
      <c r="B107" s="29" t="s">
        <v>2149</v>
      </c>
      <c r="C107" s="29" t="s">
        <v>2150</v>
      </c>
      <c r="D107" s="29" t="s">
        <v>80</v>
      </c>
    </row>
    <row r="108">
      <c r="A108" s="29" t="s">
        <v>416</v>
      </c>
      <c r="B108" s="29" t="s">
        <v>2149</v>
      </c>
      <c r="C108" s="29" t="s">
        <v>2150</v>
      </c>
      <c r="D108" s="29" t="s">
        <v>80</v>
      </c>
    </row>
    <row r="109">
      <c r="A109" s="29" t="s">
        <v>418</v>
      </c>
      <c r="B109" s="29" t="s">
        <v>2151</v>
      </c>
      <c r="C109" s="29" t="s">
        <v>126</v>
      </c>
      <c r="D109" s="29" t="s">
        <v>80</v>
      </c>
    </row>
    <row r="110">
      <c r="A110" s="29" t="s">
        <v>421</v>
      </c>
      <c r="B110" s="29" t="s">
        <v>2152</v>
      </c>
      <c r="C110" s="29" t="s">
        <v>19</v>
      </c>
      <c r="D110" s="29" t="s">
        <v>19</v>
      </c>
    </row>
    <row r="111">
      <c r="A111" s="29" t="s">
        <v>424</v>
      </c>
      <c r="B111" s="29" t="s">
        <v>2153</v>
      </c>
      <c r="C111" s="29" t="s">
        <v>426</v>
      </c>
      <c r="D111" s="29" t="s">
        <v>411</v>
      </c>
    </row>
    <row r="112">
      <c r="A112" s="29" t="s">
        <v>429</v>
      </c>
      <c r="B112" s="29" t="s">
        <v>2154</v>
      </c>
      <c r="C112" s="29" t="s">
        <v>19</v>
      </c>
      <c r="D112" s="29" t="s">
        <v>19</v>
      </c>
    </row>
    <row r="113">
      <c r="A113" s="29" t="s">
        <v>432</v>
      </c>
      <c r="B113" s="29" t="s">
        <v>2155</v>
      </c>
      <c r="C113" s="29" t="s">
        <v>263</v>
      </c>
      <c r="D113" s="29" t="s">
        <v>80</v>
      </c>
    </row>
    <row r="114">
      <c r="A114" s="29" t="s">
        <v>435</v>
      </c>
      <c r="B114" s="29" t="s">
        <v>2156</v>
      </c>
      <c r="C114" s="29" t="s">
        <v>411</v>
      </c>
      <c r="D114" s="29" t="s">
        <v>411</v>
      </c>
    </row>
    <row r="115">
      <c r="A115" s="29" t="s">
        <v>438</v>
      </c>
      <c r="B115" s="29" t="s">
        <v>2157</v>
      </c>
      <c r="C115" s="29" t="s">
        <v>263</v>
      </c>
      <c r="D115" s="29" t="s">
        <v>80</v>
      </c>
    </row>
    <row r="116">
      <c r="A116" s="29" t="s">
        <v>442</v>
      </c>
      <c r="B116" s="29" t="s">
        <v>2158</v>
      </c>
      <c r="C116" s="29" t="s">
        <v>301</v>
      </c>
      <c r="D116" s="29" t="s">
        <v>80</v>
      </c>
    </row>
    <row r="117">
      <c r="A117" s="29" t="s">
        <v>445</v>
      </c>
      <c r="B117" s="29" t="s">
        <v>2159</v>
      </c>
      <c r="C117" s="29" t="s">
        <v>216</v>
      </c>
      <c r="D117" s="29" t="s">
        <v>80</v>
      </c>
    </row>
    <row r="118">
      <c r="A118" s="29" t="s">
        <v>448</v>
      </c>
      <c r="B118" s="29" t="s">
        <v>2160</v>
      </c>
      <c r="C118" s="29" t="s">
        <v>285</v>
      </c>
      <c r="D118" s="29" t="s">
        <v>80</v>
      </c>
    </row>
    <row r="119">
      <c r="A119" s="29" t="s">
        <v>451</v>
      </c>
      <c r="B119" s="29" t="s">
        <v>2161</v>
      </c>
      <c r="C119" s="29" t="s">
        <v>19</v>
      </c>
      <c r="D119" s="29" t="s">
        <v>19</v>
      </c>
    </row>
    <row r="120">
      <c r="A120" s="29" t="s">
        <v>454</v>
      </c>
      <c r="B120" s="29" t="s">
        <v>2162</v>
      </c>
      <c r="C120" s="29" t="s">
        <v>19</v>
      </c>
      <c r="D120" s="29" t="s">
        <v>19</v>
      </c>
    </row>
    <row r="121">
      <c r="A121" s="29" t="s">
        <v>456</v>
      </c>
      <c r="B121" s="29" t="s">
        <v>2163</v>
      </c>
      <c r="C121" s="29" t="s">
        <v>19</v>
      </c>
      <c r="D121" s="29" t="s">
        <v>19</v>
      </c>
    </row>
    <row r="122">
      <c r="A122" s="29" t="s">
        <v>458</v>
      </c>
      <c r="B122" s="29" t="s">
        <v>2164</v>
      </c>
      <c r="C122" s="29" t="s">
        <v>19</v>
      </c>
      <c r="D122" s="29" t="s">
        <v>19</v>
      </c>
    </row>
    <row r="123">
      <c r="A123" s="29" t="s">
        <v>461</v>
      </c>
      <c r="B123" s="29" t="s">
        <v>2165</v>
      </c>
      <c r="C123" s="29" t="s">
        <v>19</v>
      </c>
      <c r="D123" s="29" t="s">
        <v>19</v>
      </c>
    </row>
    <row r="124">
      <c r="A124" s="29" t="s">
        <v>464</v>
      </c>
      <c r="B124" s="29" t="s">
        <v>2166</v>
      </c>
      <c r="C124" s="29" t="s">
        <v>19</v>
      </c>
      <c r="D124" s="29" t="s">
        <v>19</v>
      </c>
    </row>
    <row r="125">
      <c r="A125" s="29" t="s">
        <v>467</v>
      </c>
      <c r="B125" s="29" t="s">
        <v>2167</v>
      </c>
      <c r="C125" s="29" t="s">
        <v>19</v>
      </c>
      <c r="D125" s="29" t="s">
        <v>19</v>
      </c>
    </row>
    <row r="126">
      <c r="A126" s="29" t="s">
        <v>469</v>
      </c>
      <c r="B126" s="29" t="s">
        <v>2168</v>
      </c>
      <c r="C126" s="29" t="s">
        <v>19</v>
      </c>
      <c r="D126" s="29" t="s">
        <v>19</v>
      </c>
    </row>
    <row r="127">
      <c r="A127" s="29" t="s">
        <v>471</v>
      </c>
      <c r="B127" s="29" t="s">
        <v>2169</v>
      </c>
      <c r="C127" s="29" t="s">
        <v>19</v>
      </c>
      <c r="D127" s="29" t="s">
        <v>19</v>
      </c>
    </row>
    <row r="128">
      <c r="A128" s="29" t="s">
        <v>473</v>
      </c>
      <c r="B128" s="29" t="s">
        <v>2170</v>
      </c>
      <c r="C128" s="29" t="s">
        <v>19</v>
      </c>
      <c r="D128" s="29" t="s">
        <v>19</v>
      </c>
    </row>
    <row r="129">
      <c r="A129" s="29" t="s">
        <v>476</v>
      </c>
      <c r="B129" s="29" t="s">
        <v>2171</v>
      </c>
      <c r="C129" s="29" t="s">
        <v>19</v>
      </c>
      <c r="D129" s="29" t="s">
        <v>19</v>
      </c>
    </row>
    <row r="130">
      <c r="A130" s="29" t="s">
        <v>478</v>
      </c>
      <c r="B130" s="29" t="s">
        <v>2172</v>
      </c>
      <c r="C130" s="29" t="s">
        <v>19</v>
      </c>
      <c r="D130" s="29" t="s">
        <v>19</v>
      </c>
    </row>
    <row r="131">
      <c r="A131" s="29" t="s">
        <v>480</v>
      </c>
      <c r="B131" s="29" t="s">
        <v>2173</v>
      </c>
      <c r="C131" s="29" t="s">
        <v>19</v>
      </c>
      <c r="D131" s="29" t="s">
        <v>19</v>
      </c>
    </row>
    <row r="132">
      <c r="A132" s="29" t="s">
        <v>482</v>
      </c>
      <c r="B132" s="29" t="s">
        <v>2174</v>
      </c>
      <c r="C132" s="29" t="s">
        <v>19</v>
      </c>
      <c r="D132" s="29" t="s">
        <v>19</v>
      </c>
    </row>
    <row r="133">
      <c r="A133" s="29" t="s">
        <v>484</v>
      </c>
      <c r="B133" s="29" t="s">
        <v>2175</v>
      </c>
      <c r="C133" s="29" t="s">
        <v>138</v>
      </c>
      <c r="D133" s="29" t="s">
        <v>80</v>
      </c>
    </row>
    <row r="134">
      <c r="A134" s="29" t="s">
        <v>487</v>
      </c>
      <c r="B134" s="29" t="s">
        <v>2176</v>
      </c>
      <c r="C134" s="29" t="s">
        <v>126</v>
      </c>
      <c r="D134" s="29" t="s">
        <v>80</v>
      </c>
    </row>
    <row r="135">
      <c r="A135" s="29" t="s">
        <v>490</v>
      </c>
      <c r="B135" s="29" t="s">
        <v>2177</v>
      </c>
      <c r="C135" s="29" t="s">
        <v>126</v>
      </c>
      <c r="D135" s="29" t="s">
        <v>80</v>
      </c>
    </row>
    <row r="136">
      <c r="A136" s="29" t="s">
        <v>493</v>
      </c>
      <c r="B136" s="29" t="s">
        <v>2178</v>
      </c>
      <c r="C136" s="29" t="s">
        <v>81</v>
      </c>
      <c r="D136" s="29" t="s">
        <v>80</v>
      </c>
    </row>
    <row r="137">
      <c r="A137" s="29" t="s">
        <v>496</v>
      </c>
      <c r="B137" s="29" t="s">
        <v>2179</v>
      </c>
      <c r="C137" s="29" t="s">
        <v>108</v>
      </c>
      <c r="D137" s="29" t="s">
        <v>80</v>
      </c>
    </row>
    <row r="138">
      <c r="A138" s="29" t="s">
        <v>499</v>
      </c>
      <c r="B138" s="29" t="s">
        <v>2180</v>
      </c>
      <c r="C138" s="29" t="s">
        <v>97</v>
      </c>
      <c r="D138" s="29" t="s">
        <v>80</v>
      </c>
    </row>
    <row r="139">
      <c r="A139" s="29" t="s">
        <v>502</v>
      </c>
      <c r="B139" s="29" t="s">
        <v>2181</v>
      </c>
      <c r="C139" s="29" t="s">
        <v>126</v>
      </c>
      <c r="D139" s="29" t="s">
        <v>80</v>
      </c>
    </row>
    <row r="140">
      <c r="A140" s="29" t="s">
        <v>505</v>
      </c>
      <c r="B140" s="29" t="s">
        <v>2182</v>
      </c>
      <c r="C140" s="29" t="s">
        <v>138</v>
      </c>
      <c r="D140" s="29" t="s">
        <v>80</v>
      </c>
    </row>
    <row r="141">
      <c r="A141" s="29" t="s">
        <v>508</v>
      </c>
      <c r="B141" s="29" t="s">
        <v>2183</v>
      </c>
      <c r="C141" s="29" t="s">
        <v>81</v>
      </c>
      <c r="D141" s="29" t="s">
        <v>80</v>
      </c>
    </row>
    <row r="142">
      <c r="A142" s="29" t="s">
        <v>511</v>
      </c>
      <c r="B142" s="29" t="s">
        <v>2184</v>
      </c>
      <c r="C142" s="29" t="s">
        <v>144</v>
      </c>
      <c r="D142" s="29" t="s">
        <v>80</v>
      </c>
    </row>
    <row r="143">
      <c r="A143" s="29" t="s">
        <v>2185</v>
      </c>
      <c r="B143" s="29" t="s">
        <v>2186</v>
      </c>
      <c r="C143" s="29" t="s">
        <v>2150</v>
      </c>
      <c r="D143" s="29" t="s">
        <v>80</v>
      </c>
    </row>
    <row r="144">
      <c r="A144" s="29" t="s">
        <v>518</v>
      </c>
      <c r="B144" s="29" t="s">
        <v>2187</v>
      </c>
      <c r="C144" s="29" t="s">
        <v>126</v>
      </c>
      <c r="D144" s="29" t="s">
        <v>80</v>
      </c>
    </row>
    <row r="145">
      <c r="A145" s="29" t="s">
        <v>2188</v>
      </c>
      <c r="B145" s="29" t="s">
        <v>2189</v>
      </c>
      <c r="C145" s="29" t="s">
        <v>126</v>
      </c>
      <c r="D145" s="29" t="s">
        <v>80</v>
      </c>
    </row>
    <row r="146">
      <c r="A146" s="29" t="s">
        <v>521</v>
      </c>
      <c r="B146" s="29" t="s">
        <v>2190</v>
      </c>
      <c r="C146" s="29" t="s">
        <v>186</v>
      </c>
      <c r="D146" s="29" t="s">
        <v>80</v>
      </c>
    </row>
    <row r="147">
      <c r="A147" s="29" t="s">
        <v>524</v>
      </c>
      <c r="B147" s="29" t="s">
        <v>2191</v>
      </c>
      <c r="C147" s="29" t="s">
        <v>270</v>
      </c>
      <c r="D147" s="29" t="s">
        <v>80</v>
      </c>
    </row>
    <row r="148">
      <c r="A148" s="29" t="s">
        <v>527</v>
      </c>
      <c r="B148" s="29" t="s">
        <v>2192</v>
      </c>
      <c r="C148" s="29" t="s">
        <v>529</v>
      </c>
      <c r="D148" s="29" t="s">
        <v>80</v>
      </c>
    </row>
    <row r="149">
      <c r="A149" s="29" t="s">
        <v>531</v>
      </c>
      <c r="B149" s="29" t="s">
        <v>2193</v>
      </c>
      <c r="C149" s="29" t="s">
        <v>126</v>
      </c>
      <c r="D149" s="29" t="s">
        <v>80</v>
      </c>
    </row>
    <row r="150">
      <c r="A150" s="29" t="s">
        <v>534</v>
      </c>
      <c r="B150" s="29" t="s">
        <v>2194</v>
      </c>
      <c r="C150" s="29" t="s">
        <v>263</v>
      </c>
      <c r="D150" s="29" t="s">
        <v>80</v>
      </c>
    </row>
    <row r="151">
      <c r="A151" s="29" t="s">
        <v>537</v>
      </c>
      <c r="B151" s="29" t="s">
        <v>2195</v>
      </c>
      <c r="C151" s="29" t="s">
        <v>270</v>
      </c>
      <c r="D151" s="29" t="s">
        <v>80</v>
      </c>
    </row>
    <row r="152">
      <c r="A152" s="29" t="s">
        <v>540</v>
      </c>
      <c r="B152" s="29" t="s">
        <v>2196</v>
      </c>
      <c r="C152" s="29" t="s">
        <v>108</v>
      </c>
      <c r="D152" s="29" t="s">
        <v>80</v>
      </c>
    </row>
    <row r="153">
      <c r="A153" s="29" t="s">
        <v>543</v>
      </c>
      <c r="B153" s="29" t="s">
        <v>2197</v>
      </c>
      <c r="C153" s="29" t="s">
        <v>216</v>
      </c>
      <c r="D153" s="29" t="s">
        <v>80</v>
      </c>
    </row>
    <row r="154">
      <c r="A154" s="29" t="s">
        <v>546</v>
      </c>
      <c r="B154" s="29" t="s">
        <v>2198</v>
      </c>
      <c r="C154" s="29" t="s">
        <v>186</v>
      </c>
      <c r="D154" s="29" t="s">
        <v>80</v>
      </c>
    </row>
    <row r="155">
      <c r="A155" s="29" t="s">
        <v>549</v>
      </c>
      <c r="B155" s="29" t="s">
        <v>2199</v>
      </c>
      <c r="C155" s="29" t="s">
        <v>81</v>
      </c>
      <c r="D155" s="29" t="s">
        <v>80</v>
      </c>
    </row>
    <row r="156">
      <c r="A156" s="29" t="s">
        <v>552</v>
      </c>
      <c r="B156" s="29" t="s">
        <v>2200</v>
      </c>
      <c r="C156" s="29" t="s">
        <v>108</v>
      </c>
      <c r="D156" s="29" t="s">
        <v>80</v>
      </c>
    </row>
    <row r="157">
      <c r="A157" s="29" t="s">
        <v>555</v>
      </c>
      <c r="B157" s="29" t="s">
        <v>2201</v>
      </c>
      <c r="C157" s="29" t="s">
        <v>81</v>
      </c>
      <c r="D157" s="29" t="s">
        <v>80</v>
      </c>
    </row>
    <row r="158">
      <c r="A158" s="29" t="s">
        <v>561</v>
      </c>
      <c r="B158" s="29" t="s">
        <v>2202</v>
      </c>
      <c r="C158" s="29" t="s">
        <v>285</v>
      </c>
      <c r="D158" s="29" t="s">
        <v>80</v>
      </c>
    </row>
    <row r="159">
      <c r="A159" s="29" t="s">
        <v>564</v>
      </c>
      <c r="B159" s="29" t="s">
        <v>2203</v>
      </c>
      <c r="C159" s="29" t="s">
        <v>102</v>
      </c>
      <c r="D159" s="29" t="s">
        <v>80</v>
      </c>
    </row>
    <row r="160">
      <c r="A160" s="29" t="s">
        <v>567</v>
      </c>
      <c r="B160" s="29" t="s">
        <v>2204</v>
      </c>
      <c r="C160" s="29" t="s">
        <v>126</v>
      </c>
      <c r="D160" s="29" t="s">
        <v>80</v>
      </c>
    </row>
    <row r="161">
      <c r="A161" s="29" t="s">
        <v>570</v>
      </c>
      <c r="B161" s="29" t="s">
        <v>2205</v>
      </c>
      <c r="C161" s="29" t="s">
        <v>285</v>
      </c>
      <c r="D161" s="29" t="s">
        <v>80</v>
      </c>
    </row>
    <row r="162">
      <c r="A162" s="29" t="s">
        <v>573</v>
      </c>
      <c r="B162" s="29" t="s">
        <v>2206</v>
      </c>
      <c r="C162" s="29" t="s">
        <v>138</v>
      </c>
      <c r="D162" s="29" t="s">
        <v>80</v>
      </c>
    </row>
    <row r="163">
      <c r="A163" s="29" t="s">
        <v>576</v>
      </c>
      <c r="B163" s="29" t="s">
        <v>2207</v>
      </c>
      <c r="C163" s="29" t="s">
        <v>216</v>
      </c>
      <c r="D163" s="29" t="s">
        <v>80</v>
      </c>
    </row>
    <row r="164">
      <c r="A164" s="29" t="s">
        <v>579</v>
      </c>
      <c r="B164" s="29" t="s">
        <v>2208</v>
      </c>
      <c r="C164" s="29" t="s">
        <v>270</v>
      </c>
      <c r="D164" s="29" t="s">
        <v>80</v>
      </c>
    </row>
    <row r="165">
      <c r="A165" s="29" t="s">
        <v>582</v>
      </c>
      <c r="B165" s="29" t="s">
        <v>2209</v>
      </c>
      <c r="C165" s="29" t="s">
        <v>144</v>
      </c>
      <c r="D165" s="29" t="s">
        <v>80</v>
      </c>
    </row>
    <row r="166">
      <c r="A166" s="29" t="s">
        <v>585</v>
      </c>
      <c r="B166" s="29" t="s">
        <v>2210</v>
      </c>
      <c r="C166" s="29" t="s">
        <v>231</v>
      </c>
      <c r="D166" s="29" t="s">
        <v>80</v>
      </c>
    </row>
    <row r="167">
      <c r="A167" s="29" t="s">
        <v>588</v>
      </c>
      <c r="B167" s="29" t="s">
        <v>2211</v>
      </c>
      <c r="C167" s="29" t="s">
        <v>301</v>
      </c>
      <c r="D167" s="29" t="s">
        <v>80</v>
      </c>
    </row>
    <row r="168">
      <c r="A168" s="29" t="s">
        <v>591</v>
      </c>
      <c r="B168" s="29" t="s">
        <v>2212</v>
      </c>
      <c r="C168" s="29" t="s">
        <v>97</v>
      </c>
      <c r="D168" s="29" t="s">
        <v>80</v>
      </c>
    </row>
    <row r="169">
      <c r="A169" s="29" t="s">
        <v>594</v>
      </c>
      <c r="B169" s="29" t="s">
        <v>2213</v>
      </c>
      <c r="C169" s="29" t="s">
        <v>116</v>
      </c>
      <c r="D169" s="29" t="s">
        <v>80</v>
      </c>
    </row>
    <row r="170">
      <c r="A170" s="29" t="s">
        <v>597</v>
      </c>
      <c r="B170" s="29" t="s">
        <v>2214</v>
      </c>
      <c r="C170" s="29" t="s">
        <v>285</v>
      </c>
      <c r="D170" s="29" t="s">
        <v>80</v>
      </c>
    </row>
    <row r="171">
      <c r="A171" s="29" t="s">
        <v>600</v>
      </c>
      <c r="B171" s="29" t="s">
        <v>2215</v>
      </c>
      <c r="C171" s="29" t="s">
        <v>97</v>
      </c>
      <c r="D171" s="29" t="s">
        <v>80</v>
      </c>
    </row>
    <row r="172">
      <c r="A172" s="29" t="s">
        <v>603</v>
      </c>
      <c r="B172" s="29" t="s">
        <v>2216</v>
      </c>
      <c r="C172" s="29" t="s">
        <v>270</v>
      </c>
      <c r="D172" s="29" t="s">
        <v>80</v>
      </c>
    </row>
    <row r="173">
      <c r="A173" s="29" t="s">
        <v>606</v>
      </c>
      <c r="B173" s="29" t="s">
        <v>2217</v>
      </c>
      <c r="C173" s="29" t="s">
        <v>116</v>
      </c>
      <c r="D173" s="29" t="s">
        <v>80</v>
      </c>
    </row>
    <row r="174">
      <c r="A174" s="29" t="s">
        <v>609</v>
      </c>
      <c r="B174" s="29" t="s">
        <v>2218</v>
      </c>
      <c r="C174" s="29" t="s">
        <v>116</v>
      </c>
      <c r="D174" s="29" t="s">
        <v>80</v>
      </c>
    </row>
    <row r="175">
      <c r="A175" s="29" t="s">
        <v>612</v>
      </c>
      <c r="B175" s="29" t="s">
        <v>2219</v>
      </c>
      <c r="C175" s="29" t="s">
        <v>144</v>
      </c>
      <c r="D175" s="29" t="s">
        <v>80</v>
      </c>
    </row>
    <row r="176">
      <c r="A176" s="29" t="s">
        <v>615</v>
      </c>
      <c r="B176" s="29" t="s">
        <v>2220</v>
      </c>
      <c r="C176" s="29" t="s">
        <v>120</v>
      </c>
      <c r="D176" s="29" t="s">
        <v>80</v>
      </c>
    </row>
    <row r="177">
      <c r="A177" s="29" t="s">
        <v>618</v>
      </c>
      <c r="B177" s="29" t="s">
        <v>2221</v>
      </c>
      <c r="C177" s="29" t="s">
        <v>138</v>
      </c>
      <c r="D177" s="29" t="s">
        <v>80</v>
      </c>
    </row>
    <row r="178">
      <c r="A178" s="29" t="s">
        <v>621</v>
      </c>
      <c r="B178" s="29" t="s">
        <v>2222</v>
      </c>
      <c r="C178" s="29" t="s">
        <v>108</v>
      </c>
      <c r="D178" s="29" t="s">
        <v>80</v>
      </c>
    </row>
    <row r="179">
      <c r="A179" s="29" t="s">
        <v>624</v>
      </c>
      <c r="B179" s="29" t="s">
        <v>2223</v>
      </c>
      <c r="C179" s="29" t="s">
        <v>120</v>
      </c>
      <c r="D179" s="29" t="s">
        <v>80</v>
      </c>
    </row>
    <row r="180">
      <c r="A180" s="29" t="s">
        <v>627</v>
      </c>
      <c r="B180" s="29" t="s">
        <v>2224</v>
      </c>
      <c r="C180" s="29" t="s">
        <v>301</v>
      </c>
      <c r="D180" s="29" t="s">
        <v>80</v>
      </c>
    </row>
    <row r="181">
      <c r="A181" s="29" t="s">
        <v>630</v>
      </c>
      <c r="B181" s="29" t="s">
        <v>2225</v>
      </c>
      <c r="C181" s="29" t="s">
        <v>81</v>
      </c>
      <c r="D181" s="29" t="s">
        <v>80</v>
      </c>
    </row>
    <row r="182">
      <c r="A182" s="29" t="s">
        <v>633</v>
      </c>
      <c r="B182" s="29" t="s">
        <v>2226</v>
      </c>
      <c r="C182" s="29" t="s">
        <v>120</v>
      </c>
      <c r="D182" s="29" t="s">
        <v>80</v>
      </c>
    </row>
    <row r="183">
      <c r="A183" s="29" t="s">
        <v>636</v>
      </c>
      <c r="B183" s="29" t="s">
        <v>2227</v>
      </c>
      <c r="C183" s="29" t="s">
        <v>263</v>
      </c>
      <c r="D183" s="29" t="s">
        <v>80</v>
      </c>
    </row>
    <row r="184">
      <c r="A184" s="29" t="s">
        <v>639</v>
      </c>
      <c r="B184" s="29" t="s">
        <v>2228</v>
      </c>
      <c r="C184" s="29" t="s">
        <v>81</v>
      </c>
      <c r="D184" s="29" t="s">
        <v>80</v>
      </c>
    </row>
    <row r="185">
      <c r="A185" s="29" t="s">
        <v>642</v>
      </c>
      <c r="B185" s="29" t="s">
        <v>2229</v>
      </c>
      <c r="C185" s="29" t="s">
        <v>138</v>
      </c>
      <c r="D185" s="29" t="s">
        <v>80</v>
      </c>
    </row>
    <row r="186">
      <c r="A186" s="29" t="s">
        <v>645</v>
      </c>
      <c r="B186" s="29" t="s">
        <v>2230</v>
      </c>
      <c r="C186" s="29" t="s">
        <v>529</v>
      </c>
      <c r="D186" s="29" t="s">
        <v>80</v>
      </c>
    </row>
    <row r="187">
      <c r="A187" s="29" t="s">
        <v>648</v>
      </c>
      <c r="B187" s="29" t="s">
        <v>2231</v>
      </c>
      <c r="C187" s="29" t="s">
        <v>263</v>
      </c>
      <c r="D187" s="29" t="s">
        <v>80</v>
      </c>
    </row>
    <row r="188">
      <c r="A188" s="29" t="s">
        <v>651</v>
      </c>
      <c r="B188" s="29" t="s">
        <v>2232</v>
      </c>
      <c r="C188" s="29" t="s">
        <v>144</v>
      </c>
      <c r="D188" s="29" t="s">
        <v>80</v>
      </c>
    </row>
    <row r="189">
      <c r="A189" s="29" t="s">
        <v>654</v>
      </c>
      <c r="B189" s="29" t="s">
        <v>2233</v>
      </c>
      <c r="C189" s="29" t="s">
        <v>186</v>
      </c>
      <c r="D189" s="29" t="s">
        <v>80</v>
      </c>
    </row>
    <row r="190">
      <c r="A190" s="29" t="s">
        <v>657</v>
      </c>
      <c r="B190" s="29" t="s">
        <v>2234</v>
      </c>
      <c r="C190" s="29" t="s">
        <v>138</v>
      </c>
      <c r="D190" s="29" t="s">
        <v>80</v>
      </c>
    </row>
    <row r="191">
      <c r="A191" s="29" t="s">
        <v>660</v>
      </c>
      <c r="B191" s="29" t="s">
        <v>2235</v>
      </c>
      <c r="C191" s="29" t="s">
        <v>97</v>
      </c>
      <c r="D191" s="29" t="s">
        <v>80</v>
      </c>
    </row>
    <row r="192">
      <c r="A192" s="29" t="s">
        <v>663</v>
      </c>
      <c r="B192" s="29" t="s">
        <v>2236</v>
      </c>
      <c r="C192" s="29" t="s">
        <v>97</v>
      </c>
      <c r="D192" s="29" t="s">
        <v>80</v>
      </c>
    </row>
    <row r="193">
      <c r="A193" s="29" t="s">
        <v>666</v>
      </c>
      <c r="B193" s="29" t="s">
        <v>2060</v>
      </c>
      <c r="C193" s="29" t="s">
        <v>97</v>
      </c>
      <c r="D193" s="29" t="s">
        <v>80</v>
      </c>
    </row>
    <row r="194">
      <c r="A194" s="29" t="s">
        <v>668</v>
      </c>
      <c r="B194" s="29" t="s">
        <v>2237</v>
      </c>
      <c r="C194" s="29" t="s">
        <v>97</v>
      </c>
      <c r="D194" s="29" t="s">
        <v>80</v>
      </c>
    </row>
    <row r="195">
      <c r="A195" s="29" t="s">
        <v>671</v>
      </c>
      <c r="B195" s="29" t="s">
        <v>2238</v>
      </c>
      <c r="C195" s="29" t="s">
        <v>285</v>
      </c>
      <c r="D195" s="29" t="s">
        <v>80</v>
      </c>
    </row>
    <row r="196">
      <c r="A196" s="29" t="s">
        <v>674</v>
      </c>
      <c r="B196" s="29" t="s">
        <v>2239</v>
      </c>
      <c r="C196" s="29" t="s">
        <v>231</v>
      </c>
      <c r="D196" s="29" t="s">
        <v>80</v>
      </c>
    </row>
    <row r="197">
      <c r="A197" s="29" t="s">
        <v>677</v>
      </c>
      <c r="B197" s="29" t="s">
        <v>2240</v>
      </c>
      <c r="C197" s="29" t="s">
        <v>92</v>
      </c>
      <c r="D197" s="29" t="s">
        <v>80</v>
      </c>
    </row>
    <row r="198">
      <c r="A198" s="29" t="s">
        <v>680</v>
      </c>
      <c r="B198" s="29" t="s">
        <v>2241</v>
      </c>
      <c r="C198" s="29" t="s">
        <v>19</v>
      </c>
      <c r="D198" s="29" t="s">
        <v>19</v>
      </c>
    </row>
    <row r="199">
      <c r="A199" s="29" t="s">
        <v>683</v>
      </c>
      <c r="B199" s="29" t="s">
        <v>2242</v>
      </c>
      <c r="C199" s="29" t="s">
        <v>216</v>
      </c>
      <c r="D199" s="29" t="s">
        <v>80</v>
      </c>
    </row>
    <row r="200">
      <c r="A200" s="29" t="s">
        <v>686</v>
      </c>
      <c r="B200" s="29" t="s">
        <v>2243</v>
      </c>
      <c r="C200" s="29" t="s">
        <v>19</v>
      </c>
      <c r="D200" s="29" t="s">
        <v>19</v>
      </c>
    </row>
    <row r="201">
      <c r="A201" s="29" t="s">
        <v>689</v>
      </c>
      <c r="B201" s="29" t="s">
        <v>2244</v>
      </c>
      <c r="C201" s="29" t="s">
        <v>138</v>
      </c>
      <c r="D201" s="29" t="s">
        <v>80</v>
      </c>
    </row>
    <row r="202">
      <c r="A202" s="29" t="s">
        <v>692</v>
      </c>
      <c r="B202" s="29" t="s">
        <v>2245</v>
      </c>
      <c r="C202" s="29" t="s">
        <v>126</v>
      </c>
      <c r="D202" s="29" t="s">
        <v>80</v>
      </c>
    </row>
    <row r="203">
      <c r="A203" s="29" t="s">
        <v>695</v>
      </c>
      <c r="B203" s="29" t="s">
        <v>2246</v>
      </c>
      <c r="C203" s="29" t="s">
        <v>285</v>
      </c>
      <c r="D203" s="29" t="s">
        <v>80</v>
      </c>
    </row>
    <row r="204">
      <c r="A204" s="29" t="s">
        <v>698</v>
      </c>
      <c r="B204" s="29" t="s">
        <v>2247</v>
      </c>
      <c r="C204" s="29" t="s">
        <v>186</v>
      </c>
      <c r="D204" s="29" t="s">
        <v>80</v>
      </c>
    </row>
    <row r="205">
      <c r="A205" s="29" t="s">
        <v>701</v>
      </c>
      <c r="B205" s="29" t="s">
        <v>2248</v>
      </c>
      <c r="C205" s="29" t="s">
        <v>426</v>
      </c>
      <c r="D205" s="29" t="s">
        <v>411</v>
      </c>
    </row>
    <row r="206">
      <c r="A206" s="29" t="s">
        <v>704</v>
      </c>
      <c r="B206" s="29" t="s">
        <v>2249</v>
      </c>
      <c r="C206" s="29" t="s">
        <v>426</v>
      </c>
      <c r="D206" s="29" t="s">
        <v>411</v>
      </c>
    </row>
    <row r="207">
      <c r="A207" s="29" t="s">
        <v>707</v>
      </c>
      <c r="B207" s="29" t="s">
        <v>2250</v>
      </c>
      <c r="C207" s="29" t="s">
        <v>426</v>
      </c>
      <c r="D207" s="29" t="s">
        <v>411</v>
      </c>
    </row>
    <row r="208">
      <c r="A208" s="29" t="s">
        <v>710</v>
      </c>
      <c r="B208" s="29" t="s">
        <v>2251</v>
      </c>
      <c r="C208" s="29" t="s">
        <v>138</v>
      </c>
      <c r="D208" s="29" t="s">
        <v>80</v>
      </c>
    </row>
    <row r="209">
      <c r="A209" s="29" t="s">
        <v>713</v>
      </c>
      <c r="B209" s="29" t="s">
        <v>2252</v>
      </c>
      <c r="C209" s="29" t="s">
        <v>231</v>
      </c>
      <c r="D209" s="29" t="s">
        <v>80</v>
      </c>
    </row>
    <row r="210">
      <c r="A210" s="29" t="s">
        <v>716</v>
      </c>
      <c r="B210" s="29" t="s">
        <v>2253</v>
      </c>
      <c r="C210" s="29" t="s">
        <v>216</v>
      </c>
      <c r="D210" s="29" t="s">
        <v>80</v>
      </c>
    </row>
    <row r="211">
      <c r="A211" s="29" t="s">
        <v>722</v>
      </c>
      <c r="B211" s="29" t="s">
        <v>2254</v>
      </c>
      <c r="C211" s="29" t="s">
        <v>97</v>
      </c>
      <c r="D211" s="29" t="s">
        <v>80</v>
      </c>
    </row>
    <row r="212">
      <c r="A212" s="29" t="s">
        <v>725</v>
      </c>
      <c r="B212" s="29" t="s">
        <v>2255</v>
      </c>
      <c r="C212" s="29" t="s">
        <v>92</v>
      </c>
      <c r="D212" s="29" t="s">
        <v>80</v>
      </c>
    </row>
    <row r="213">
      <c r="A213" s="29" t="s">
        <v>728</v>
      </c>
      <c r="B213" s="29" t="s">
        <v>2256</v>
      </c>
      <c r="C213" s="29" t="s">
        <v>263</v>
      </c>
      <c r="D213" s="29" t="s">
        <v>80</v>
      </c>
    </row>
    <row r="214">
      <c r="A214" s="29" t="s">
        <v>731</v>
      </c>
      <c r="B214" s="29" t="s">
        <v>2257</v>
      </c>
      <c r="C214" s="29" t="s">
        <v>81</v>
      </c>
      <c r="D214" s="29" t="s">
        <v>80</v>
      </c>
    </row>
    <row r="215">
      <c r="A215" s="29" t="s">
        <v>734</v>
      </c>
      <c r="B215" s="29" t="s">
        <v>2258</v>
      </c>
      <c r="C215" s="29" t="s">
        <v>270</v>
      </c>
      <c r="D215" s="29" t="s">
        <v>80</v>
      </c>
    </row>
    <row r="216">
      <c r="A216" s="29" t="s">
        <v>737</v>
      </c>
      <c r="B216" s="29" t="s">
        <v>2259</v>
      </c>
      <c r="C216" s="29" t="s">
        <v>529</v>
      </c>
      <c r="D216" s="29" t="s">
        <v>80</v>
      </c>
    </row>
    <row r="217">
      <c r="A217" s="29" t="s">
        <v>743</v>
      </c>
      <c r="B217" s="29" t="s">
        <v>2260</v>
      </c>
      <c r="C217" s="29" t="s">
        <v>120</v>
      </c>
      <c r="D217" s="29" t="s">
        <v>80</v>
      </c>
    </row>
    <row r="218">
      <c r="A218" s="29" t="s">
        <v>746</v>
      </c>
      <c r="B218" s="29" t="s">
        <v>2261</v>
      </c>
      <c r="C218" s="29" t="s">
        <v>116</v>
      </c>
      <c r="D218" s="29" t="s">
        <v>80</v>
      </c>
    </row>
    <row r="219">
      <c r="A219" s="29" t="s">
        <v>749</v>
      </c>
      <c r="B219" s="29" t="s">
        <v>2262</v>
      </c>
      <c r="C219" s="29" t="s">
        <v>186</v>
      </c>
      <c r="D219" s="29" t="s">
        <v>80</v>
      </c>
    </row>
    <row r="220">
      <c r="A220" s="29" t="s">
        <v>752</v>
      </c>
      <c r="B220" s="29" t="s">
        <v>2263</v>
      </c>
      <c r="C220" s="29" t="s">
        <v>186</v>
      </c>
      <c r="D220" s="29" t="s">
        <v>80</v>
      </c>
    </row>
    <row r="221">
      <c r="A221" s="29" t="s">
        <v>755</v>
      </c>
      <c r="B221" s="29" t="s">
        <v>2264</v>
      </c>
      <c r="C221" s="29" t="s">
        <v>102</v>
      </c>
      <c r="D221" s="29" t="s">
        <v>80</v>
      </c>
    </row>
    <row r="222">
      <c r="A222" s="29" t="s">
        <v>759</v>
      </c>
      <c r="B222" s="29" t="s">
        <v>2265</v>
      </c>
      <c r="C222" s="29" t="s">
        <v>126</v>
      </c>
      <c r="D222" s="29" t="s">
        <v>80</v>
      </c>
    </row>
    <row r="223">
      <c r="A223" s="29" t="s">
        <v>2266</v>
      </c>
      <c r="B223" s="29" t="s">
        <v>2267</v>
      </c>
      <c r="C223" s="29" t="s">
        <v>120</v>
      </c>
      <c r="D223" s="29" t="s">
        <v>80</v>
      </c>
    </row>
    <row r="224">
      <c r="A224" s="29" t="s">
        <v>762</v>
      </c>
      <c r="B224" s="29" t="s">
        <v>2268</v>
      </c>
      <c r="C224" s="29" t="s">
        <v>285</v>
      </c>
      <c r="D224" s="29" t="s">
        <v>80</v>
      </c>
    </row>
    <row r="225">
      <c r="A225" s="29" t="s">
        <v>765</v>
      </c>
      <c r="B225" s="29" t="s">
        <v>2269</v>
      </c>
      <c r="C225" s="29" t="s">
        <v>102</v>
      </c>
      <c r="D225" s="29" t="s">
        <v>80</v>
      </c>
    </row>
    <row r="226">
      <c r="A226" s="29" t="s">
        <v>768</v>
      </c>
      <c r="B226" s="29" t="s">
        <v>2270</v>
      </c>
      <c r="C226" s="29" t="s">
        <v>92</v>
      </c>
      <c r="D226" s="29" t="s">
        <v>80</v>
      </c>
    </row>
    <row r="227">
      <c r="A227" s="29" t="s">
        <v>771</v>
      </c>
      <c r="B227" s="29" t="s">
        <v>2271</v>
      </c>
      <c r="C227" s="29" t="s">
        <v>270</v>
      </c>
      <c r="D227" s="29" t="s">
        <v>80</v>
      </c>
    </row>
    <row r="228">
      <c r="A228" s="29" t="s">
        <v>774</v>
      </c>
      <c r="B228" s="29" t="s">
        <v>2272</v>
      </c>
      <c r="C228" s="29" t="s">
        <v>301</v>
      </c>
      <c r="D228" s="29" t="s">
        <v>80</v>
      </c>
    </row>
    <row r="229">
      <c r="A229" s="29" t="s">
        <v>777</v>
      </c>
      <c r="B229" s="29" t="s">
        <v>2273</v>
      </c>
      <c r="C229" s="29" t="s">
        <v>81</v>
      </c>
      <c r="D229" s="29" t="s">
        <v>80</v>
      </c>
    </row>
    <row r="230">
      <c r="A230" s="29" t="s">
        <v>780</v>
      </c>
      <c r="B230" s="29" t="s">
        <v>2274</v>
      </c>
      <c r="C230" s="29" t="s">
        <v>81</v>
      </c>
      <c r="D230" s="29" t="s">
        <v>80</v>
      </c>
    </row>
    <row r="231">
      <c r="A231" s="29" t="s">
        <v>783</v>
      </c>
      <c r="B231" s="29" t="s">
        <v>2275</v>
      </c>
      <c r="C231" s="29" t="s">
        <v>97</v>
      </c>
      <c r="D231" s="29" t="s">
        <v>80</v>
      </c>
    </row>
    <row r="232">
      <c r="A232" s="29" t="s">
        <v>786</v>
      </c>
      <c r="B232" s="29" t="s">
        <v>2276</v>
      </c>
      <c r="C232" s="29" t="s">
        <v>529</v>
      </c>
      <c r="D232" s="29" t="s">
        <v>80</v>
      </c>
    </row>
    <row r="233">
      <c r="A233" s="29" t="s">
        <v>789</v>
      </c>
      <c r="B233" s="29" t="s">
        <v>2277</v>
      </c>
      <c r="C233" s="29" t="s">
        <v>144</v>
      </c>
      <c r="D233" s="29" t="s">
        <v>80</v>
      </c>
    </row>
    <row r="234">
      <c r="A234" s="29" t="s">
        <v>795</v>
      </c>
      <c r="B234" s="29" t="s">
        <v>2278</v>
      </c>
      <c r="C234" s="29" t="s">
        <v>19</v>
      </c>
      <c r="D234" s="29" t="s">
        <v>19</v>
      </c>
    </row>
    <row r="235">
      <c r="A235" s="29" t="s">
        <v>798</v>
      </c>
      <c r="B235" s="29" t="s">
        <v>2279</v>
      </c>
      <c r="C235" s="29" t="s">
        <v>102</v>
      </c>
      <c r="D235" s="29" t="s">
        <v>80</v>
      </c>
    </row>
    <row r="236">
      <c r="A236" s="29" t="s">
        <v>801</v>
      </c>
      <c r="B236" s="29" t="s">
        <v>2280</v>
      </c>
      <c r="C236" s="29" t="s">
        <v>92</v>
      </c>
      <c r="D236" s="29" t="s">
        <v>80</v>
      </c>
    </row>
    <row r="237">
      <c r="A237" s="29" t="s">
        <v>804</v>
      </c>
      <c r="B237" s="29" t="s">
        <v>2281</v>
      </c>
      <c r="C237" s="29" t="s">
        <v>270</v>
      </c>
      <c r="D237" s="29" t="s">
        <v>80</v>
      </c>
    </row>
    <row r="238">
      <c r="A238" s="29" t="s">
        <v>808</v>
      </c>
      <c r="B238" s="29" t="s">
        <v>2282</v>
      </c>
      <c r="C238" s="29" t="s">
        <v>301</v>
      </c>
      <c r="D238" s="29" t="s">
        <v>80</v>
      </c>
    </row>
    <row r="239">
      <c r="A239" s="29" t="s">
        <v>811</v>
      </c>
      <c r="B239" s="29" t="s">
        <v>2283</v>
      </c>
      <c r="C239" s="29" t="s">
        <v>116</v>
      </c>
      <c r="D239" s="29" t="s">
        <v>80</v>
      </c>
    </row>
    <row r="240">
      <c r="A240" s="29" t="s">
        <v>814</v>
      </c>
      <c r="B240" s="29" t="s">
        <v>2284</v>
      </c>
      <c r="C240" s="29" t="s">
        <v>97</v>
      </c>
      <c r="D240" s="29" t="s">
        <v>80</v>
      </c>
    </row>
    <row r="241">
      <c r="A241" s="29" t="s">
        <v>817</v>
      </c>
      <c r="B241" s="29" t="s">
        <v>2285</v>
      </c>
      <c r="C241" s="29" t="s">
        <v>19</v>
      </c>
      <c r="D241" s="29" t="s">
        <v>19</v>
      </c>
    </row>
    <row r="242">
      <c r="A242" s="29" t="s">
        <v>820</v>
      </c>
      <c r="B242" s="29" t="s">
        <v>2286</v>
      </c>
      <c r="C242" s="29" t="s">
        <v>102</v>
      </c>
      <c r="D242" s="29" t="s">
        <v>80</v>
      </c>
    </row>
    <row r="243">
      <c r="A243" s="29" t="s">
        <v>823</v>
      </c>
      <c r="B243" s="29" t="s">
        <v>2287</v>
      </c>
      <c r="C243" s="29" t="s">
        <v>186</v>
      </c>
      <c r="D243" s="29" t="s">
        <v>80</v>
      </c>
    </row>
    <row r="244">
      <c r="A244" s="29" t="s">
        <v>826</v>
      </c>
      <c r="B244" s="29" t="s">
        <v>2288</v>
      </c>
      <c r="C244" s="29" t="s">
        <v>285</v>
      </c>
      <c r="D244" s="29" t="s">
        <v>80</v>
      </c>
    </row>
    <row r="245">
      <c r="A245" s="29" t="s">
        <v>829</v>
      </c>
      <c r="B245" s="29" t="s">
        <v>2289</v>
      </c>
      <c r="C245" s="29" t="s">
        <v>216</v>
      </c>
      <c r="D245" s="29" t="s">
        <v>80</v>
      </c>
    </row>
    <row r="246">
      <c r="A246" s="29" t="s">
        <v>832</v>
      </c>
      <c r="B246" s="29" t="s">
        <v>2290</v>
      </c>
      <c r="C246" s="29" t="s">
        <v>186</v>
      </c>
      <c r="D246" s="29" t="s">
        <v>80</v>
      </c>
    </row>
    <row r="247">
      <c r="A247" s="29" t="s">
        <v>835</v>
      </c>
      <c r="B247" s="29" t="s">
        <v>2291</v>
      </c>
      <c r="C247" s="29" t="s">
        <v>138</v>
      </c>
      <c r="D247" s="29" t="s">
        <v>80</v>
      </c>
    </row>
    <row r="248">
      <c r="A248" s="29" t="s">
        <v>838</v>
      </c>
      <c r="B248" s="29" t="s">
        <v>2292</v>
      </c>
      <c r="C248" s="29" t="s">
        <v>81</v>
      </c>
      <c r="D248" s="29" t="s">
        <v>80</v>
      </c>
    </row>
    <row r="249">
      <c r="A249" s="29" t="s">
        <v>841</v>
      </c>
      <c r="B249" s="29" t="s">
        <v>2293</v>
      </c>
      <c r="C249" s="29" t="s">
        <v>126</v>
      </c>
      <c r="D249" s="29" t="s">
        <v>80</v>
      </c>
    </row>
    <row r="250">
      <c r="A250" s="29" t="s">
        <v>844</v>
      </c>
      <c r="B250" s="29" t="s">
        <v>2294</v>
      </c>
      <c r="C250" s="29" t="s">
        <v>301</v>
      </c>
      <c r="D250" s="29" t="s">
        <v>80</v>
      </c>
    </row>
    <row r="251">
      <c r="A251" s="29" t="s">
        <v>847</v>
      </c>
      <c r="B251" s="29" t="s">
        <v>2295</v>
      </c>
      <c r="C251" s="29" t="s">
        <v>138</v>
      </c>
      <c r="D251" s="29" t="s">
        <v>80</v>
      </c>
    </row>
    <row r="252">
      <c r="A252" s="29" t="s">
        <v>850</v>
      </c>
      <c r="B252" s="29" t="s">
        <v>2296</v>
      </c>
      <c r="C252" s="29" t="s">
        <v>81</v>
      </c>
      <c r="D252" s="29" t="s">
        <v>80</v>
      </c>
    </row>
    <row r="253">
      <c r="A253" s="29" t="s">
        <v>853</v>
      </c>
      <c r="B253" s="29" t="s">
        <v>2297</v>
      </c>
      <c r="C253" s="29" t="s">
        <v>102</v>
      </c>
      <c r="D253" s="29" t="s">
        <v>80</v>
      </c>
    </row>
    <row r="254">
      <c r="A254" s="29" t="s">
        <v>856</v>
      </c>
      <c r="B254" s="29" t="s">
        <v>2298</v>
      </c>
      <c r="C254" s="29" t="s">
        <v>285</v>
      </c>
      <c r="D254" s="29" t="s">
        <v>80</v>
      </c>
    </row>
    <row r="255">
      <c r="A255" s="29" t="s">
        <v>859</v>
      </c>
      <c r="B255" s="29" t="s">
        <v>2299</v>
      </c>
      <c r="C255" s="29" t="s">
        <v>529</v>
      </c>
      <c r="D255" s="29" t="s">
        <v>80</v>
      </c>
    </row>
    <row r="256">
      <c r="A256" s="29" t="s">
        <v>862</v>
      </c>
      <c r="B256" s="29" t="s">
        <v>2300</v>
      </c>
      <c r="C256" s="29" t="s">
        <v>138</v>
      </c>
      <c r="D256" s="29" t="s">
        <v>80</v>
      </c>
    </row>
    <row r="257">
      <c r="A257" s="29" t="s">
        <v>865</v>
      </c>
      <c r="B257" s="29" t="s">
        <v>2301</v>
      </c>
      <c r="C257" s="29" t="s">
        <v>108</v>
      </c>
      <c r="D257" s="29" t="s">
        <v>80</v>
      </c>
    </row>
    <row r="258">
      <c r="A258" s="29" t="s">
        <v>868</v>
      </c>
      <c r="B258" s="29" t="s">
        <v>2302</v>
      </c>
      <c r="C258" s="29" t="s">
        <v>231</v>
      </c>
      <c r="D258" s="29" t="s">
        <v>80</v>
      </c>
    </row>
    <row r="259">
      <c r="A259" s="29" t="s">
        <v>871</v>
      </c>
      <c r="B259" s="29" t="s">
        <v>2303</v>
      </c>
      <c r="C259" s="29" t="s">
        <v>263</v>
      </c>
      <c r="D259" s="29" t="s">
        <v>80</v>
      </c>
    </row>
    <row r="260">
      <c r="A260" s="29" t="s">
        <v>874</v>
      </c>
      <c r="B260" s="29" t="s">
        <v>2304</v>
      </c>
      <c r="C260" s="29" t="s">
        <v>120</v>
      </c>
      <c r="D260" s="29" t="s">
        <v>80</v>
      </c>
    </row>
    <row r="261">
      <c r="A261" s="29" t="s">
        <v>877</v>
      </c>
      <c r="B261" s="29" t="s">
        <v>2305</v>
      </c>
      <c r="C261" s="29" t="s">
        <v>186</v>
      </c>
      <c r="D261" s="29" t="s">
        <v>80</v>
      </c>
    </row>
    <row r="262">
      <c r="A262" s="29" t="s">
        <v>880</v>
      </c>
      <c r="B262" s="29" t="s">
        <v>2306</v>
      </c>
      <c r="C262" s="29" t="s">
        <v>126</v>
      </c>
      <c r="D262" s="29" t="s">
        <v>80</v>
      </c>
    </row>
    <row r="263">
      <c r="A263" s="29" t="s">
        <v>883</v>
      </c>
      <c r="B263" s="29" t="s">
        <v>2307</v>
      </c>
      <c r="C263" s="29" t="s">
        <v>102</v>
      </c>
      <c r="D263" s="29" t="s">
        <v>80</v>
      </c>
    </row>
    <row r="264">
      <c r="A264" s="29" t="s">
        <v>887</v>
      </c>
      <c r="B264" s="29" t="s">
        <v>2308</v>
      </c>
      <c r="C264" s="29" t="s">
        <v>231</v>
      </c>
      <c r="D264" s="29" t="s">
        <v>80</v>
      </c>
    </row>
    <row r="265">
      <c r="A265" s="29" t="s">
        <v>890</v>
      </c>
      <c r="B265" s="29" t="s">
        <v>2309</v>
      </c>
      <c r="C265" s="29" t="s">
        <v>270</v>
      </c>
      <c r="D265" s="29" t="s">
        <v>80</v>
      </c>
    </row>
    <row r="266">
      <c r="A266" s="29" t="s">
        <v>893</v>
      </c>
      <c r="B266" s="29" t="s">
        <v>2310</v>
      </c>
      <c r="C266" s="29" t="s">
        <v>301</v>
      </c>
      <c r="D266" s="29" t="s">
        <v>80</v>
      </c>
    </row>
    <row r="267">
      <c r="A267" s="29" t="s">
        <v>896</v>
      </c>
      <c r="B267" s="29" t="s">
        <v>2311</v>
      </c>
      <c r="C267" s="29" t="s">
        <v>138</v>
      </c>
      <c r="D267" s="29" t="s">
        <v>80</v>
      </c>
    </row>
    <row r="268">
      <c r="A268" s="29" t="s">
        <v>899</v>
      </c>
      <c r="B268" s="29" t="s">
        <v>2312</v>
      </c>
      <c r="C268" s="29" t="s">
        <v>285</v>
      </c>
      <c r="D268" s="29" t="s">
        <v>80</v>
      </c>
    </row>
    <row r="269">
      <c r="A269" s="29" t="s">
        <v>902</v>
      </c>
      <c r="B269" s="29" t="s">
        <v>2313</v>
      </c>
      <c r="C269" s="29" t="s">
        <v>216</v>
      </c>
      <c r="D269" s="29" t="s">
        <v>80</v>
      </c>
    </row>
    <row r="270">
      <c r="A270" s="29" t="s">
        <v>905</v>
      </c>
      <c r="B270" s="29" t="s">
        <v>2314</v>
      </c>
      <c r="C270" s="29" t="s">
        <v>285</v>
      </c>
      <c r="D270" s="29" t="s">
        <v>80</v>
      </c>
    </row>
    <row r="271">
      <c r="A271" s="29" t="s">
        <v>908</v>
      </c>
      <c r="B271" s="29" t="s">
        <v>2315</v>
      </c>
      <c r="C271" s="29" t="s">
        <v>120</v>
      </c>
      <c r="D271" s="29" t="s">
        <v>80</v>
      </c>
    </row>
    <row r="272">
      <c r="A272" s="29" t="s">
        <v>911</v>
      </c>
      <c r="B272" s="29" t="s">
        <v>2316</v>
      </c>
      <c r="C272" s="29" t="s">
        <v>97</v>
      </c>
      <c r="D272" s="29" t="s">
        <v>80</v>
      </c>
    </row>
    <row r="273">
      <c r="A273" s="29" t="s">
        <v>914</v>
      </c>
      <c r="B273" s="29" t="s">
        <v>2317</v>
      </c>
      <c r="C273" s="29" t="s">
        <v>126</v>
      </c>
      <c r="D273" s="29" t="s">
        <v>80</v>
      </c>
    </row>
    <row r="274">
      <c r="A274" s="29" t="s">
        <v>917</v>
      </c>
      <c r="B274" s="29" t="s">
        <v>2318</v>
      </c>
      <c r="C274" s="29" t="s">
        <v>529</v>
      </c>
      <c r="D274" s="29" t="s">
        <v>80</v>
      </c>
    </row>
    <row r="275">
      <c r="A275" s="29" t="s">
        <v>920</v>
      </c>
      <c r="B275" s="29" t="s">
        <v>2319</v>
      </c>
      <c r="C275" s="29" t="s">
        <v>97</v>
      </c>
      <c r="D275" s="29" t="s">
        <v>80</v>
      </c>
    </row>
    <row r="276">
      <c r="A276" s="29" t="s">
        <v>923</v>
      </c>
      <c r="B276" s="29" t="s">
        <v>2320</v>
      </c>
      <c r="C276" s="29" t="s">
        <v>81</v>
      </c>
      <c r="D276" s="29" t="s">
        <v>80</v>
      </c>
    </row>
    <row r="277">
      <c r="A277" s="29" t="s">
        <v>926</v>
      </c>
      <c r="B277" s="29" t="s">
        <v>2321</v>
      </c>
      <c r="C277" s="29" t="s">
        <v>263</v>
      </c>
      <c r="D277" s="29" t="s">
        <v>80</v>
      </c>
    </row>
    <row r="278">
      <c r="A278" s="29" t="s">
        <v>929</v>
      </c>
      <c r="B278" s="29" t="s">
        <v>2322</v>
      </c>
      <c r="C278" s="29" t="s">
        <v>97</v>
      </c>
      <c r="D278" s="29" t="s">
        <v>80</v>
      </c>
    </row>
    <row r="279">
      <c r="A279" s="29" t="s">
        <v>932</v>
      </c>
      <c r="B279" s="29" t="s">
        <v>2323</v>
      </c>
      <c r="C279" s="29" t="s">
        <v>126</v>
      </c>
      <c r="D279" s="29" t="s">
        <v>80</v>
      </c>
    </row>
    <row r="280">
      <c r="A280" s="29" t="s">
        <v>935</v>
      </c>
      <c r="B280" s="29" t="s">
        <v>2324</v>
      </c>
      <c r="C280" s="29" t="s">
        <v>285</v>
      </c>
      <c r="D280" s="29" t="s">
        <v>80</v>
      </c>
    </row>
    <row r="281">
      <c r="A281" s="29" t="s">
        <v>2325</v>
      </c>
      <c r="B281" s="29" t="s">
        <v>2326</v>
      </c>
      <c r="C281" s="29" t="s">
        <v>411</v>
      </c>
      <c r="D281" s="29" t="s">
        <v>411</v>
      </c>
    </row>
    <row r="282">
      <c r="A282" s="29" t="s">
        <v>938</v>
      </c>
      <c r="B282" s="29" t="s">
        <v>2327</v>
      </c>
      <c r="C282" s="29" t="s">
        <v>19</v>
      </c>
      <c r="D282" s="29" t="s">
        <v>19</v>
      </c>
    </row>
    <row r="283">
      <c r="A283" s="29" t="s">
        <v>941</v>
      </c>
      <c r="B283" s="29" t="s">
        <v>2328</v>
      </c>
      <c r="C283" s="29" t="s">
        <v>231</v>
      </c>
      <c r="D283" s="29" t="s">
        <v>80</v>
      </c>
    </row>
    <row r="284">
      <c r="A284" s="29" t="s">
        <v>944</v>
      </c>
      <c r="B284" s="29" t="s">
        <v>2329</v>
      </c>
      <c r="C284" s="29" t="s">
        <v>144</v>
      </c>
      <c r="D284" s="29" t="s">
        <v>80</v>
      </c>
    </row>
    <row r="285">
      <c r="A285" s="29" t="s">
        <v>947</v>
      </c>
      <c r="B285" s="29" t="s">
        <v>2330</v>
      </c>
      <c r="C285" s="29" t="s">
        <v>92</v>
      </c>
      <c r="D285" s="29" t="s">
        <v>80</v>
      </c>
    </row>
    <row r="286">
      <c r="A286" s="29" t="s">
        <v>950</v>
      </c>
      <c r="B286" s="29" t="s">
        <v>2331</v>
      </c>
      <c r="C286" s="29" t="s">
        <v>529</v>
      </c>
      <c r="D286" s="29" t="s">
        <v>80</v>
      </c>
    </row>
    <row r="287">
      <c r="A287" s="29" t="s">
        <v>953</v>
      </c>
      <c r="B287" s="29" t="s">
        <v>2332</v>
      </c>
      <c r="C287" s="29" t="s">
        <v>81</v>
      </c>
      <c r="D287" s="29" t="s">
        <v>80</v>
      </c>
    </row>
    <row r="288">
      <c r="A288" s="29" t="s">
        <v>956</v>
      </c>
      <c r="B288" s="29" t="s">
        <v>2333</v>
      </c>
      <c r="C288" s="29" t="s">
        <v>138</v>
      </c>
      <c r="D288" s="29" t="s">
        <v>80</v>
      </c>
    </row>
    <row r="289">
      <c r="A289" s="29" t="s">
        <v>959</v>
      </c>
      <c r="B289" s="29" t="s">
        <v>2334</v>
      </c>
      <c r="C289" s="29" t="s">
        <v>263</v>
      </c>
      <c r="D289" s="29" t="s">
        <v>80</v>
      </c>
    </row>
    <row r="290">
      <c r="A290" s="29" t="s">
        <v>962</v>
      </c>
      <c r="B290" s="29" t="s">
        <v>2335</v>
      </c>
      <c r="C290" s="29" t="s">
        <v>126</v>
      </c>
      <c r="D290" s="29" t="s">
        <v>80</v>
      </c>
    </row>
    <row r="291">
      <c r="A291" s="29" t="s">
        <v>965</v>
      </c>
      <c r="B291" s="29" t="s">
        <v>2336</v>
      </c>
      <c r="C291" s="29" t="s">
        <v>19</v>
      </c>
      <c r="D291" s="29" t="s">
        <v>19</v>
      </c>
    </row>
    <row r="292">
      <c r="A292" s="29" t="s">
        <v>968</v>
      </c>
      <c r="B292" s="29" t="s">
        <v>2337</v>
      </c>
      <c r="C292" s="29" t="s">
        <v>426</v>
      </c>
      <c r="D292" s="29" t="s">
        <v>19</v>
      </c>
    </row>
    <row r="293">
      <c r="A293" s="29" t="s">
        <v>971</v>
      </c>
      <c r="B293" s="29" t="s">
        <v>2338</v>
      </c>
      <c r="C293" s="29" t="s">
        <v>102</v>
      </c>
      <c r="D293" s="29" t="s">
        <v>80</v>
      </c>
    </row>
    <row r="294">
      <c r="A294" s="29" t="s">
        <v>974</v>
      </c>
      <c r="B294" s="29" t="s">
        <v>2339</v>
      </c>
      <c r="C294" s="29" t="s">
        <v>19</v>
      </c>
      <c r="D294" s="29" t="s">
        <v>19</v>
      </c>
    </row>
    <row r="295">
      <c r="A295" s="29" t="s">
        <v>977</v>
      </c>
      <c r="B295" s="29" t="s">
        <v>2340</v>
      </c>
      <c r="C295" s="29" t="s">
        <v>301</v>
      </c>
      <c r="D295" s="29" t="s">
        <v>80</v>
      </c>
    </row>
    <row r="296">
      <c r="A296" s="29" t="s">
        <v>980</v>
      </c>
      <c r="B296" s="29" t="s">
        <v>2341</v>
      </c>
      <c r="C296" s="29" t="s">
        <v>186</v>
      </c>
      <c r="D296" s="29" t="s">
        <v>80</v>
      </c>
    </row>
    <row r="297">
      <c r="A297" s="29" t="s">
        <v>983</v>
      </c>
      <c r="B297" s="29" t="s">
        <v>2342</v>
      </c>
      <c r="C297" s="29" t="s">
        <v>102</v>
      </c>
      <c r="D297" s="29" t="s">
        <v>80</v>
      </c>
    </row>
    <row r="298">
      <c r="A298" s="29" t="s">
        <v>986</v>
      </c>
      <c r="B298" s="29" t="s">
        <v>2343</v>
      </c>
      <c r="C298" s="29" t="s">
        <v>270</v>
      </c>
      <c r="D298" s="29" t="s">
        <v>80</v>
      </c>
    </row>
    <row r="299">
      <c r="A299" s="29" t="s">
        <v>989</v>
      </c>
      <c r="B299" s="29" t="s">
        <v>2344</v>
      </c>
      <c r="C299" s="29" t="s">
        <v>92</v>
      </c>
      <c r="D299" s="29" t="s">
        <v>80</v>
      </c>
    </row>
    <row r="300">
      <c r="A300" s="29" t="s">
        <v>992</v>
      </c>
      <c r="B300" s="29" t="s">
        <v>2345</v>
      </c>
      <c r="C300" s="29" t="s">
        <v>216</v>
      </c>
      <c r="D300" s="29" t="s">
        <v>80</v>
      </c>
    </row>
    <row r="301">
      <c r="A301" s="29" t="s">
        <v>995</v>
      </c>
      <c r="B301" s="29" t="s">
        <v>2346</v>
      </c>
      <c r="C301" s="29" t="s">
        <v>216</v>
      </c>
      <c r="D301" s="29" t="s">
        <v>80</v>
      </c>
    </row>
    <row r="302">
      <c r="A302" s="29" t="s">
        <v>998</v>
      </c>
      <c r="B302" s="29" t="s">
        <v>2347</v>
      </c>
      <c r="C302" s="29" t="s">
        <v>126</v>
      </c>
      <c r="D302" s="29" t="s">
        <v>80</v>
      </c>
    </row>
    <row r="303">
      <c r="A303" s="29" t="s">
        <v>1001</v>
      </c>
      <c r="B303" s="29" t="s">
        <v>2348</v>
      </c>
      <c r="C303" s="29" t="s">
        <v>186</v>
      </c>
      <c r="D303" s="29" t="s">
        <v>80</v>
      </c>
    </row>
    <row r="304">
      <c r="A304" s="29" t="s">
        <v>1004</v>
      </c>
      <c r="B304" s="29" t="s">
        <v>2349</v>
      </c>
      <c r="C304" s="29" t="s">
        <v>270</v>
      </c>
      <c r="D304" s="29" t="s">
        <v>80</v>
      </c>
    </row>
    <row r="305">
      <c r="A305" s="29" t="s">
        <v>1007</v>
      </c>
      <c r="B305" s="29" t="s">
        <v>2350</v>
      </c>
      <c r="C305" s="29" t="s">
        <v>108</v>
      </c>
      <c r="D305" s="29" t="s">
        <v>80</v>
      </c>
    </row>
    <row r="306">
      <c r="A306" s="29" t="s">
        <v>1010</v>
      </c>
      <c r="B306" s="29" t="s">
        <v>2351</v>
      </c>
      <c r="C306" s="29" t="s">
        <v>92</v>
      </c>
      <c r="D306" s="29" t="s">
        <v>80</v>
      </c>
    </row>
    <row r="307">
      <c r="A307" s="29" t="s">
        <v>1013</v>
      </c>
      <c r="B307" s="29" t="s">
        <v>2352</v>
      </c>
      <c r="C307" s="29" t="s">
        <v>126</v>
      </c>
      <c r="D307" s="29" t="s">
        <v>80</v>
      </c>
    </row>
    <row r="308">
      <c r="A308" s="29" t="s">
        <v>1016</v>
      </c>
      <c r="B308" s="29" t="s">
        <v>2353</v>
      </c>
      <c r="C308" s="29" t="s">
        <v>529</v>
      </c>
      <c r="D308" s="29" t="s">
        <v>80</v>
      </c>
    </row>
    <row r="309">
      <c r="A309" s="29" t="s">
        <v>1019</v>
      </c>
      <c r="B309" s="29" t="s">
        <v>2354</v>
      </c>
      <c r="C309" s="29" t="s">
        <v>138</v>
      </c>
      <c r="D309" s="29" t="s">
        <v>80</v>
      </c>
    </row>
    <row r="310">
      <c r="A310" s="29" t="s">
        <v>1022</v>
      </c>
      <c r="B310" s="29" t="s">
        <v>2355</v>
      </c>
      <c r="C310" s="29" t="s">
        <v>216</v>
      </c>
      <c r="D310" s="29" t="s">
        <v>80</v>
      </c>
    </row>
    <row r="311">
      <c r="A311" s="29" t="s">
        <v>1025</v>
      </c>
      <c r="B311" s="29" t="s">
        <v>2356</v>
      </c>
      <c r="C311" s="29" t="s">
        <v>138</v>
      </c>
      <c r="D311" s="29" t="s">
        <v>80</v>
      </c>
    </row>
    <row r="312">
      <c r="A312" s="29" t="s">
        <v>1028</v>
      </c>
      <c r="B312" s="29" t="s">
        <v>2357</v>
      </c>
      <c r="C312" s="29" t="s">
        <v>92</v>
      </c>
      <c r="D312" s="29" t="s">
        <v>80</v>
      </c>
    </row>
    <row r="313">
      <c r="A313" s="29" t="s">
        <v>1031</v>
      </c>
      <c r="B313" s="29" t="s">
        <v>2358</v>
      </c>
      <c r="C313" s="29" t="s">
        <v>116</v>
      </c>
      <c r="D313" s="29" t="s">
        <v>80</v>
      </c>
    </row>
    <row r="314">
      <c r="A314" s="29" t="s">
        <v>1034</v>
      </c>
      <c r="B314" s="29" t="s">
        <v>2359</v>
      </c>
      <c r="C314" s="29" t="s">
        <v>92</v>
      </c>
      <c r="D314" s="29" t="s">
        <v>80</v>
      </c>
    </row>
    <row r="315">
      <c r="A315" s="29" t="s">
        <v>1037</v>
      </c>
      <c r="B315" s="29" t="s">
        <v>2360</v>
      </c>
      <c r="C315" s="29" t="s">
        <v>263</v>
      </c>
      <c r="D315" s="29" t="s">
        <v>80</v>
      </c>
    </row>
    <row r="316">
      <c r="A316" s="29" t="s">
        <v>1040</v>
      </c>
      <c r="B316" s="29" t="s">
        <v>2361</v>
      </c>
      <c r="C316" s="29" t="s">
        <v>186</v>
      </c>
      <c r="D316" s="29" t="s">
        <v>80</v>
      </c>
    </row>
    <row r="317">
      <c r="A317" s="29" t="s">
        <v>1043</v>
      </c>
      <c r="B317" s="29" t="s">
        <v>2362</v>
      </c>
      <c r="C317" s="29" t="s">
        <v>270</v>
      </c>
      <c r="D317" s="29" t="s">
        <v>80</v>
      </c>
    </row>
    <row r="318">
      <c r="A318" s="29" t="s">
        <v>1046</v>
      </c>
      <c r="B318" s="29" t="s">
        <v>2363</v>
      </c>
      <c r="C318" s="29" t="s">
        <v>186</v>
      </c>
      <c r="D318" s="29" t="s">
        <v>80</v>
      </c>
    </row>
    <row r="319">
      <c r="A319" s="29" t="s">
        <v>1049</v>
      </c>
      <c r="B319" s="29" t="s">
        <v>2364</v>
      </c>
      <c r="C319" s="29" t="s">
        <v>263</v>
      </c>
      <c r="D319" s="29" t="s">
        <v>80</v>
      </c>
    </row>
    <row r="320">
      <c r="A320" s="29" t="s">
        <v>1052</v>
      </c>
      <c r="B320" s="29" t="s">
        <v>2365</v>
      </c>
      <c r="C320" s="29" t="s">
        <v>126</v>
      </c>
      <c r="D320" s="29" t="s">
        <v>80</v>
      </c>
    </row>
    <row r="321">
      <c r="A321" s="29" t="s">
        <v>1055</v>
      </c>
      <c r="B321" s="29" t="s">
        <v>2366</v>
      </c>
      <c r="C321" s="29" t="s">
        <v>126</v>
      </c>
      <c r="D321" s="29" t="s">
        <v>80</v>
      </c>
    </row>
    <row r="322">
      <c r="A322" s="29" t="s">
        <v>1058</v>
      </c>
      <c r="B322" s="29" t="s">
        <v>2367</v>
      </c>
      <c r="C322" s="29" t="s">
        <v>19</v>
      </c>
      <c r="D322" s="29" t="s">
        <v>19</v>
      </c>
    </row>
    <row r="323">
      <c r="A323" s="29" t="s">
        <v>1061</v>
      </c>
      <c r="B323" s="29" t="s">
        <v>2368</v>
      </c>
      <c r="C323" s="29" t="s">
        <v>19</v>
      </c>
      <c r="D323" s="29" t="s">
        <v>19</v>
      </c>
    </row>
    <row r="324">
      <c r="A324" s="29" t="s">
        <v>1064</v>
      </c>
      <c r="B324" s="29" t="s">
        <v>2369</v>
      </c>
      <c r="C324" s="29" t="s">
        <v>19</v>
      </c>
      <c r="D324" s="29" t="s">
        <v>19</v>
      </c>
    </row>
    <row r="325">
      <c r="A325" s="29" t="s">
        <v>1067</v>
      </c>
      <c r="B325" s="29" t="s">
        <v>2370</v>
      </c>
      <c r="C325" s="29" t="s">
        <v>19</v>
      </c>
      <c r="D325" s="29" t="s">
        <v>19</v>
      </c>
    </row>
    <row r="326">
      <c r="A326" s="29" t="s">
        <v>1070</v>
      </c>
      <c r="B326" s="29" t="s">
        <v>2371</v>
      </c>
      <c r="C326" s="29" t="s">
        <v>120</v>
      </c>
      <c r="D326" s="29" t="s">
        <v>80</v>
      </c>
    </row>
    <row r="327">
      <c r="A327" s="29" t="s">
        <v>1073</v>
      </c>
      <c r="B327" s="29" t="s">
        <v>2372</v>
      </c>
      <c r="C327" s="29" t="s">
        <v>116</v>
      </c>
      <c r="D327" s="29" t="s">
        <v>80</v>
      </c>
    </row>
    <row r="328">
      <c r="A328" s="29" t="s">
        <v>1076</v>
      </c>
      <c r="B328" s="29" t="s">
        <v>2373</v>
      </c>
      <c r="C328" s="29" t="s">
        <v>116</v>
      </c>
      <c r="D328" s="29" t="s">
        <v>80</v>
      </c>
    </row>
    <row r="329">
      <c r="A329" s="29" t="s">
        <v>1079</v>
      </c>
      <c r="B329" s="29" t="s">
        <v>2374</v>
      </c>
      <c r="C329" s="29" t="s">
        <v>186</v>
      </c>
      <c r="D329" s="29" t="s">
        <v>80</v>
      </c>
    </row>
    <row r="330">
      <c r="A330" s="29" t="s">
        <v>1082</v>
      </c>
      <c r="B330" s="29" t="s">
        <v>2375</v>
      </c>
      <c r="C330" s="29" t="s">
        <v>126</v>
      </c>
      <c r="D330" s="29" t="s">
        <v>80</v>
      </c>
    </row>
    <row r="331">
      <c r="A331" s="29" t="s">
        <v>1085</v>
      </c>
      <c r="B331" s="29" t="s">
        <v>2376</v>
      </c>
      <c r="C331" s="29" t="s">
        <v>102</v>
      </c>
      <c r="D331" s="29" t="s">
        <v>80</v>
      </c>
    </row>
    <row r="332">
      <c r="A332" s="29" t="s">
        <v>1088</v>
      </c>
      <c r="B332" s="29" t="s">
        <v>2377</v>
      </c>
      <c r="C332" s="29" t="s">
        <v>126</v>
      </c>
      <c r="D332" s="29" t="s">
        <v>80</v>
      </c>
    </row>
    <row r="333">
      <c r="A333" s="29" t="s">
        <v>1091</v>
      </c>
      <c r="B333" s="29" t="s">
        <v>2378</v>
      </c>
      <c r="C333" s="29" t="s">
        <v>81</v>
      </c>
      <c r="D333" s="29" t="s">
        <v>80</v>
      </c>
    </row>
    <row r="334">
      <c r="A334" s="29" t="s">
        <v>1094</v>
      </c>
      <c r="B334" s="29" t="s">
        <v>2379</v>
      </c>
      <c r="C334" s="29" t="s">
        <v>216</v>
      </c>
      <c r="D334" s="29" t="s">
        <v>80</v>
      </c>
    </row>
    <row r="335">
      <c r="A335" s="29" t="s">
        <v>1097</v>
      </c>
      <c r="B335" s="29" t="s">
        <v>2380</v>
      </c>
      <c r="C335" s="29" t="s">
        <v>19</v>
      </c>
      <c r="D335" s="29" t="s">
        <v>19</v>
      </c>
    </row>
    <row r="336">
      <c r="A336" s="29" t="s">
        <v>1100</v>
      </c>
      <c r="B336" s="29" t="s">
        <v>2381</v>
      </c>
      <c r="C336" s="29" t="s">
        <v>19</v>
      </c>
      <c r="D336" s="29" t="s">
        <v>19</v>
      </c>
    </row>
    <row r="337">
      <c r="A337" s="29" t="s">
        <v>1103</v>
      </c>
      <c r="B337" s="29" t="s">
        <v>2382</v>
      </c>
      <c r="C337" s="29" t="s">
        <v>19</v>
      </c>
      <c r="D337" s="29" t="s">
        <v>19</v>
      </c>
    </row>
    <row r="338">
      <c r="A338" s="29" t="s">
        <v>1106</v>
      </c>
      <c r="B338" s="29" t="s">
        <v>2380</v>
      </c>
      <c r="C338" s="29" t="s">
        <v>19</v>
      </c>
      <c r="D338" s="29" t="s">
        <v>19</v>
      </c>
    </row>
    <row r="339">
      <c r="A339" s="29" t="s">
        <v>1108</v>
      </c>
      <c r="B339" s="29" t="s">
        <v>2380</v>
      </c>
      <c r="C339" s="29" t="s">
        <v>19</v>
      </c>
      <c r="D339" s="29" t="s">
        <v>19</v>
      </c>
    </row>
    <row r="340">
      <c r="A340" s="29" t="s">
        <v>1110</v>
      </c>
      <c r="B340" s="29" t="s">
        <v>2383</v>
      </c>
      <c r="C340" s="29" t="s">
        <v>19</v>
      </c>
      <c r="D340" s="29" t="s">
        <v>19</v>
      </c>
    </row>
    <row r="341">
      <c r="A341" s="29" t="s">
        <v>1113</v>
      </c>
      <c r="B341" s="29" t="s">
        <v>2384</v>
      </c>
      <c r="C341" s="29" t="s">
        <v>19</v>
      </c>
      <c r="D341" s="29" t="s">
        <v>19</v>
      </c>
    </row>
    <row r="342">
      <c r="A342" s="29" t="s">
        <v>1116</v>
      </c>
      <c r="B342" s="29" t="s">
        <v>2385</v>
      </c>
      <c r="C342" s="29" t="s">
        <v>126</v>
      </c>
      <c r="D342" s="29" t="s">
        <v>80</v>
      </c>
    </row>
    <row r="343">
      <c r="A343" s="29" t="s">
        <v>1119</v>
      </c>
      <c r="B343" s="29" t="s">
        <v>2386</v>
      </c>
      <c r="C343" s="29" t="s">
        <v>19</v>
      </c>
      <c r="D343" s="29" t="s">
        <v>19</v>
      </c>
    </row>
    <row r="344">
      <c r="A344" s="29" t="s">
        <v>1122</v>
      </c>
      <c r="B344" s="29" t="s">
        <v>2387</v>
      </c>
      <c r="C344" s="29" t="s">
        <v>19</v>
      </c>
      <c r="D344" s="29" t="s">
        <v>19</v>
      </c>
    </row>
    <row r="345">
      <c r="A345" s="29" t="s">
        <v>1125</v>
      </c>
      <c r="B345" s="29" t="s">
        <v>2388</v>
      </c>
      <c r="C345" s="29" t="s">
        <v>231</v>
      </c>
      <c r="D345" s="29" t="s">
        <v>80</v>
      </c>
    </row>
    <row r="346">
      <c r="A346" s="29" t="s">
        <v>1128</v>
      </c>
      <c r="B346" s="29" t="s">
        <v>2389</v>
      </c>
      <c r="C346" s="29" t="s">
        <v>126</v>
      </c>
      <c r="D346" s="29" t="s">
        <v>80</v>
      </c>
    </row>
    <row r="347">
      <c r="A347" s="29" t="s">
        <v>1131</v>
      </c>
      <c r="B347" s="29" t="s">
        <v>2390</v>
      </c>
      <c r="C347" s="29" t="s">
        <v>231</v>
      </c>
      <c r="D347" s="29" t="s">
        <v>80</v>
      </c>
    </row>
    <row r="348">
      <c r="A348" s="29" t="s">
        <v>1134</v>
      </c>
      <c r="B348" s="29" t="s">
        <v>2391</v>
      </c>
      <c r="C348" s="29" t="s">
        <v>285</v>
      </c>
      <c r="D348" s="29" t="s">
        <v>80</v>
      </c>
    </row>
    <row r="349">
      <c r="A349" s="29" t="s">
        <v>1137</v>
      </c>
      <c r="B349" s="29" t="s">
        <v>2392</v>
      </c>
      <c r="C349" s="29" t="s">
        <v>102</v>
      </c>
      <c r="D349" s="29" t="s">
        <v>80</v>
      </c>
    </row>
    <row r="350">
      <c r="A350" s="29" t="s">
        <v>2393</v>
      </c>
      <c r="B350" s="30" t="e">
        <v>#N/A</v>
      </c>
      <c r="C350" s="29" t="s">
        <v>102</v>
      </c>
      <c r="D350" s="29" t="s">
        <v>80</v>
      </c>
    </row>
    <row r="351">
      <c r="A351" s="29" t="s">
        <v>1140</v>
      </c>
      <c r="B351" s="29" t="s">
        <v>2394</v>
      </c>
      <c r="C351" s="29" t="s">
        <v>116</v>
      </c>
      <c r="D351" s="29" t="s">
        <v>80</v>
      </c>
    </row>
    <row r="352">
      <c r="A352" s="29" t="s">
        <v>1143</v>
      </c>
      <c r="B352" s="29" t="s">
        <v>2395</v>
      </c>
      <c r="C352" s="29" t="s">
        <v>92</v>
      </c>
      <c r="D352" s="29" t="s">
        <v>80</v>
      </c>
    </row>
    <row r="353">
      <c r="A353" s="29" t="s">
        <v>2396</v>
      </c>
      <c r="B353" s="29" t="s">
        <v>2397</v>
      </c>
      <c r="C353" s="29" t="s">
        <v>426</v>
      </c>
      <c r="D353" s="29" t="s">
        <v>411</v>
      </c>
    </row>
    <row r="354">
      <c r="A354" s="29" t="s">
        <v>1146</v>
      </c>
      <c r="B354" s="29" t="s">
        <v>2398</v>
      </c>
      <c r="C354" s="29" t="s">
        <v>126</v>
      </c>
      <c r="D354" s="29" t="s">
        <v>80</v>
      </c>
    </row>
    <row r="355">
      <c r="A355" s="29" t="s">
        <v>1149</v>
      </c>
      <c r="B355" s="29" t="s">
        <v>2399</v>
      </c>
      <c r="C355" s="29" t="s">
        <v>231</v>
      </c>
      <c r="D355" s="29" t="s">
        <v>80</v>
      </c>
    </row>
    <row r="356">
      <c r="A356" s="29" t="s">
        <v>1152</v>
      </c>
      <c r="B356" s="29" t="s">
        <v>2400</v>
      </c>
      <c r="C356" s="29" t="s">
        <v>19</v>
      </c>
      <c r="D356" s="29" t="s">
        <v>19</v>
      </c>
    </row>
    <row r="357">
      <c r="A357" s="29" t="s">
        <v>1155</v>
      </c>
      <c r="B357" s="29" t="s">
        <v>2401</v>
      </c>
      <c r="C357" s="29" t="s">
        <v>231</v>
      </c>
      <c r="D357" s="29" t="s">
        <v>80</v>
      </c>
    </row>
    <row r="358">
      <c r="A358" s="29" t="s">
        <v>1160</v>
      </c>
      <c r="B358" s="29" t="s">
        <v>2402</v>
      </c>
      <c r="C358" s="29" t="s">
        <v>102</v>
      </c>
      <c r="D358" s="29" t="s">
        <v>80</v>
      </c>
    </row>
    <row r="359">
      <c r="A359" s="29" t="s">
        <v>1163</v>
      </c>
      <c r="B359" s="29" t="s">
        <v>2403</v>
      </c>
      <c r="C359" s="29" t="s">
        <v>231</v>
      </c>
      <c r="D359" s="29" t="s">
        <v>80</v>
      </c>
    </row>
    <row r="360">
      <c r="A360" s="29" t="s">
        <v>1166</v>
      </c>
      <c r="B360" s="29" t="s">
        <v>2404</v>
      </c>
      <c r="C360" s="29" t="s">
        <v>216</v>
      </c>
      <c r="D360" s="29" t="s">
        <v>80</v>
      </c>
    </row>
    <row r="361">
      <c r="A361" s="29" t="s">
        <v>1169</v>
      </c>
      <c r="B361" s="29" t="s">
        <v>2405</v>
      </c>
      <c r="C361" s="29" t="s">
        <v>301</v>
      </c>
      <c r="D361" s="29" t="s">
        <v>80</v>
      </c>
    </row>
    <row r="362">
      <c r="A362" s="29" t="s">
        <v>1172</v>
      </c>
      <c r="B362" s="29" t="s">
        <v>2406</v>
      </c>
      <c r="C362" s="29" t="s">
        <v>231</v>
      </c>
      <c r="D362" s="29" t="s">
        <v>80</v>
      </c>
    </row>
    <row r="363">
      <c r="A363" s="29" t="s">
        <v>1175</v>
      </c>
      <c r="B363" s="29" t="s">
        <v>2407</v>
      </c>
      <c r="C363" s="29" t="s">
        <v>529</v>
      </c>
      <c r="D363" s="29" t="s">
        <v>80</v>
      </c>
    </row>
    <row r="364">
      <c r="A364" s="29" t="s">
        <v>1178</v>
      </c>
      <c r="B364" s="29" t="s">
        <v>2408</v>
      </c>
      <c r="C364" s="29" t="s">
        <v>144</v>
      </c>
      <c r="D364" s="29" t="s">
        <v>80</v>
      </c>
    </row>
    <row r="365">
      <c r="A365" s="29" t="s">
        <v>1181</v>
      </c>
      <c r="B365" s="29" t="s">
        <v>2409</v>
      </c>
      <c r="C365" s="29" t="s">
        <v>102</v>
      </c>
      <c r="D365" s="29" t="s">
        <v>80</v>
      </c>
    </row>
    <row r="366">
      <c r="A366" s="29" t="s">
        <v>1184</v>
      </c>
      <c r="B366" s="29" t="s">
        <v>2410</v>
      </c>
      <c r="C366" s="29" t="s">
        <v>108</v>
      </c>
      <c r="D366" s="29" t="s">
        <v>80</v>
      </c>
    </row>
    <row r="367">
      <c r="A367" s="29" t="s">
        <v>1187</v>
      </c>
      <c r="B367" s="29" t="s">
        <v>2411</v>
      </c>
      <c r="C367" s="29" t="s">
        <v>144</v>
      </c>
      <c r="D367" s="29" t="s">
        <v>80</v>
      </c>
    </row>
    <row r="368">
      <c r="A368" s="29" t="s">
        <v>1190</v>
      </c>
      <c r="B368" s="29" t="s">
        <v>2412</v>
      </c>
      <c r="C368" s="29" t="s">
        <v>116</v>
      </c>
      <c r="D368" s="29" t="s">
        <v>80</v>
      </c>
    </row>
    <row r="369">
      <c r="A369" s="29" t="s">
        <v>1193</v>
      </c>
      <c r="B369" s="29" t="s">
        <v>2413</v>
      </c>
      <c r="C369" s="29" t="s">
        <v>138</v>
      </c>
      <c r="D369" s="29" t="s">
        <v>80</v>
      </c>
    </row>
    <row r="370">
      <c r="A370" s="29" t="s">
        <v>1196</v>
      </c>
      <c r="B370" s="29" t="s">
        <v>2414</v>
      </c>
      <c r="C370" s="29" t="s">
        <v>126</v>
      </c>
      <c r="D370" s="29" t="s">
        <v>80</v>
      </c>
    </row>
    <row r="371">
      <c r="A371" s="29" t="s">
        <v>1199</v>
      </c>
      <c r="B371" s="29" t="s">
        <v>2415</v>
      </c>
      <c r="C371" s="29" t="s">
        <v>108</v>
      </c>
      <c r="D371" s="29" t="s">
        <v>80</v>
      </c>
    </row>
    <row r="372">
      <c r="A372" s="29" t="s">
        <v>1202</v>
      </c>
      <c r="B372" s="29" t="s">
        <v>2416</v>
      </c>
      <c r="C372" s="29" t="s">
        <v>529</v>
      </c>
      <c r="D372" s="29" t="s">
        <v>80</v>
      </c>
    </row>
    <row r="373">
      <c r="A373" s="29" t="s">
        <v>1205</v>
      </c>
      <c r="B373" s="29" t="s">
        <v>2417</v>
      </c>
      <c r="C373" s="29" t="s">
        <v>116</v>
      </c>
      <c r="D373" s="29" t="s">
        <v>80</v>
      </c>
    </row>
    <row r="374">
      <c r="A374" s="29" t="s">
        <v>1208</v>
      </c>
      <c r="B374" s="29" t="s">
        <v>2418</v>
      </c>
      <c r="C374" s="29" t="s">
        <v>102</v>
      </c>
      <c r="D374" s="29" t="s">
        <v>80</v>
      </c>
    </row>
    <row r="375">
      <c r="A375" s="29" t="s">
        <v>1211</v>
      </c>
      <c r="B375" s="29" t="s">
        <v>2419</v>
      </c>
      <c r="C375" s="29" t="s">
        <v>186</v>
      </c>
      <c r="D375" s="29" t="s">
        <v>80</v>
      </c>
    </row>
    <row r="376">
      <c r="A376" s="29" t="s">
        <v>1214</v>
      </c>
      <c r="B376" s="29" t="s">
        <v>2420</v>
      </c>
      <c r="C376" s="29" t="s">
        <v>102</v>
      </c>
      <c r="D376" s="29" t="s">
        <v>80</v>
      </c>
    </row>
    <row r="377">
      <c r="A377" s="29" t="s">
        <v>2421</v>
      </c>
      <c r="B377" s="29" t="s">
        <v>2422</v>
      </c>
      <c r="C377" s="29" t="s">
        <v>301</v>
      </c>
      <c r="D377" s="29" t="s">
        <v>80</v>
      </c>
    </row>
    <row r="378">
      <c r="A378" s="29" t="s">
        <v>1217</v>
      </c>
      <c r="B378" s="29" t="s">
        <v>2423</v>
      </c>
      <c r="C378" s="29" t="s">
        <v>529</v>
      </c>
      <c r="D378" s="29" t="s">
        <v>80</v>
      </c>
    </row>
    <row r="379">
      <c r="A379" s="29" t="s">
        <v>1220</v>
      </c>
      <c r="B379" s="29" t="s">
        <v>2424</v>
      </c>
      <c r="C379" s="29" t="s">
        <v>270</v>
      </c>
      <c r="D379" s="29" t="s">
        <v>80</v>
      </c>
    </row>
    <row r="380">
      <c r="A380" s="29" t="s">
        <v>1223</v>
      </c>
      <c r="B380" s="29" t="s">
        <v>2425</v>
      </c>
      <c r="C380" s="29" t="s">
        <v>144</v>
      </c>
      <c r="D380" s="29" t="s">
        <v>80</v>
      </c>
    </row>
    <row r="381">
      <c r="A381" s="29" t="s">
        <v>1226</v>
      </c>
      <c r="B381" s="29" t="s">
        <v>2426</v>
      </c>
      <c r="C381" s="29" t="s">
        <v>126</v>
      </c>
      <c r="D381" s="29" t="s">
        <v>80</v>
      </c>
    </row>
    <row r="382">
      <c r="A382" s="29" t="s">
        <v>1229</v>
      </c>
      <c r="B382" s="29" t="s">
        <v>2427</v>
      </c>
      <c r="C382" s="29" t="s">
        <v>138</v>
      </c>
      <c r="D382" s="29" t="s">
        <v>80</v>
      </c>
    </row>
    <row r="383">
      <c r="A383" s="29" t="s">
        <v>1232</v>
      </c>
      <c r="B383" s="29" t="s">
        <v>2428</v>
      </c>
      <c r="C383" s="29" t="s">
        <v>231</v>
      </c>
      <c r="D383" s="29" t="s">
        <v>80</v>
      </c>
    </row>
    <row r="384">
      <c r="A384" s="29" t="s">
        <v>1235</v>
      </c>
      <c r="B384" s="29" t="s">
        <v>2429</v>
      </c>
      <c r="C384" s="29" t="s">
        <v>270</v>
      </c>
      <c r="D384" s="29" t="s">
        <v>80</v>
      </c>
    </row>
    <row r="385">
      <c r="A385" s="29" t="s">
        <v>1238</v>
      </c>
      <c r="B385" s="29" t="s">
        <v>2430</v>
      </c>
      <c r="C385" s="29" t="s">
        <v>216</v>
      </c>
      <c r="D385" s="29" t="s">
        <v>80</v>
      </c>
    </row>
    <row r="386">
      <c r="A386" s="29" t="s">
        <v>1241</v>
      </c>
      <c r="B386" s="29" t="s">
        <v>2431</v>
      </c>
      <c r="C386" s="29" t="s">
        <v>81</v>
      </c>
      <c r="D386" s="29" t="s">
        <v>80</v>
      </c>
    </row>
    <row r="387">
      <c r="A387" s="29" t="s">
        <v>1247</v>
      </c>
      <c r="B387" s="29" t="s">
        <v>2432</v>
      </c>
      <c r="C387" s="29" t="s">
        <v>144</v>
      </c>
      <c r="D387" s="29" t="s">
        <v>80</v>
      </c>
    </row>
    <row r="388">
      <c r="A388" s="29" t="s">
        <v>1250</v>
      </c>
      <c r="B388" s="29" t="s">
        <v>2433</v>
      </c>
      <c r="C388" s="29" t="s">
        <v>126</v>
      </c>
      <c r="D388" s="29" t="s">
        <v>80</v>
      </c>
    </row>
    <row r="389">
      <c r="A389" s="29" t="s">
        <v>1253</v>
      </c>
      <c r="B389" s="29" t="s">
        <v>2434</v>
      </c>
      <c r="C389" s="29" t="s">
        <v>120</v>
      </c>
      <c r="D389" s="29" t="s">
        <v>80</v>
      </c>
    </row>
    <row r="390">
      <c r="A390" s="29" t="s">
        <v>2435</v>
      </c>
      <c r="B390" s="29" t="s">
        <v>2436</v>
      </c>
      <c r="C390" s="29" t="s">
        <v>102</v>
      </c>
      <c r="D390" s="29" t="s">
        <v>80</v>
      </c>
    </row>
    <row r="391">
      <c r="A391" s="29" t="s">
        <v>1259</v>
      </c>
      <c r="B391" s="29" t="s">
        <v>2437</v>
      </c>
      <c r="C391" s="29" t="s">
        <v>19</v>
      </c>
      <c r="D391" s="29" t="s">
        <v>19</v>
      </c>
    </row>
    <row r="392">
      <c r="A392" s="29" t="s">
        <v>1262</v>
      </c>
      <c r="B392" s="29" t="s">
        <v>2438</v>
      </c>
      <c r="C392" s="29" t="s">
        <v>216</v>
      </c>
      <c r="D392" s="29" t="s">
        <v>80</v>
      </c>
    </row>
    <row r="393">
      <c r="A393" s="29" t="s">
        <v>1265</v>
      </c>
      <c r="B393" s="29" t="s">
        <v>2439</v>
      </c>
      <c r="C393" s="29" t="s">
        <v>92</v>
      </c>
      <c r="D393" s="29" t="s">
        <v>80</v>
      </c>
    </row>
    <row r="394">
      <c r="A394" s="29" t="s">
        <v>1268</v>
      </c>
      <c r="B394" s="29" t="s">
        <v>2440</v>
      </c>
      <c r="C394" s="29" t="s">
        <v>138</v>
      </c>
      <c r="D394" s="29" t="s">
        <v>80</v>
      </c>
    </row>
    <row r="395">
      <c r="A395" s="29" t="s">
        <v>1271</v>
      </c>
      <c r="B395" s="29" t="s">
        <v>2441</v>
      </c>
      <c r="C395" s="29" t="s">
        <v>216</v>
      </c>
      <c r="D395" s="29" t="s">
        <v>80</v>
      </c>
    </row>
    <row r="396">
      <c r="A396" s="29" t="s">
        <v>1277</v>
      </c>
      <c r="B396" s="29" t="s">
        <v>2442</v>
      </c>
      <c r="C396" s="29" t="s">
        <v>126</v>
      </c>
      <c r="D396" s="29" t="s">
        <v>80</v>
      </c>
    </row>
    <row r="397">
      <c r="A397" s="29" t="s">
        <v>1280</v>
      </c>
      <c r="B397" s="29" t="s">
        <v>2443</v>
      </c>
      <c r="C397" s="29" t="s">
        <v>81</v>
      </c>
      <c r="D397" s="29" t="s">
        <v>80</v>
      </c>
    </row>
    <row r="398">
      <c r="A398" s="29" t="s">
        <v>1283</v>
      </c>
      <c r="B398" s="29" t="s">
        <v>2444</v>
      </c>
      <c r="C398" s="29" t="s">
        <v>19</v>
      </c>
      <c r="D398" s="29" t="s">
        <v>19</v>
      </c>
    </row>
    <row r="399">
      <c r="A399" s="29" t="s">
        <v>1286</v>
      </c>
      <c r="B399" s="29" t="s">
        <v>2445</v>
      </c>
      <c r="C399" s="29" t="s">
        <v>102</v>
      </c>
      <c r="D399" s="29" t="s">
        <v>80</v>
      </c>
    </row>
    <row r="400">
      <c r="A400" s="29" t="s">
        <v>2446</v>
      </c>
      <c r="B400" s="29" t="s">
        <v>2335</v>
      </c>
      <c r="C400" s="29" t="s">
        <v>108</v>
      </c>
      <c r="D400" s="29" t="s">
        <v>80</v>
      </c>
    </row>
    <row r="401">
      <c r="A401" s="29" t="s">
        <v>1291</v>
      </c>
      <c r="B401" s="29" t="s">
        <v>2447</v>
      </c>
      <c r="C401" s="29" t="s">
        <v>97</v>
      </c>
      <c r="D401" s="29" t="s">
        <v>80</v>
      </c>
    </row>
    <row r="402">
      <c r="A402" s="29" t="s">
        <v>1294</v>
      </c>
      <c r="B402" s="29" t="s">
        <v>2448</v>
      </c>
      <c r="C402" s="29" t="s">
        <v>120</v>
      </c>
      <c r="D402" s="29" t="s">
        <v>80</v>
      </c>
    </row>
    <row r="403">
      <c r="A403" s="29" t="s">
        <v>1297</v>
      </c>
      <c r="B403" s="29" t="s">
        <v>2449</v>
      </c>
      <c r="C403" s="29" t="s">
        <v>19</v>
      </c>
      <c r="D403" s="29" t="s">
        <v>19</v>
      </c>
    </row>
    <row r="404">
      <c r="A404" s="29" t="s">
        <v>1300</v>
      </c>
      <c r="B404" s="29" t="s">
        <v>2450</v>
      </c>
      <c r="C404" s="29" t="s">
        <v>231</v>
      </c>
      <c r="D404" s="29" t="s">
        <v>80</v>
      </c>
    </row>
    <row r="405">
      <c r="A405" s="29" t="s">
        <v>1303</v>
      </c>
      <c r="B405" s="29" t="s">
        <v>2451</v>
      </c>
      <c r="C405" s="29" t="s">
        <v>2150</v>
      </c>
      <c r="D405" s="29" t="s">
        <v>80</v>
      </c>
    </row>
    <row r="406">
      <c r="A406" s="29" t="s">
        <v>1306</v>
      </c>
      <c r="B406" s="29" t="s">
        <v>2452</v>
      </c>
      <c r="C406" s="29" t="s">
        <v>144</v>
      </c>
      <c r="D406" s="29" t="s">
        <v>80</v>
      </c>
    </row>
    <row r="407">
      <c r="A407" s="29" t="s">
        <v>1309</v>
      </c>
      <c r="B407" s="29" t="s">
        <v>2453</v>
      </c>
      <c r="C407" s="29" t="s">
        <v>102</v>
      </c>
      <c r="D407" s="29" t="s">
        <v>80</v>
      </c>
    </row>
    <row r="408">
      <c r="A408" s="29" t="s">
        <v>1312</v>
      </c>
      <c r="B408" s="29" t="s">
        <v>2454</v>
      </c>
      <c r="C408" s="29" t="s">
        <v>270</v>
      </c>
      <c r="D408" s="29" t="s">
        <v>80</v>
      </c>
    </row>
    <row r="409">
      <c r="A409" s="29" t="s">
        <v>1315</v>
      </c>
      <c r="B409" s="29" t="s">
        <v>2455</v>
      </c>
      <c r="C409" s="29" t="s">
        <v>144</v>
      </c>
      <c r="D409" s="29" t="s">
        <v>80</v>
      </c>
    </row>
    <row r="410">
      <c r="A410" s="29" t="s">
        <v>1318</v>
      </c>
      <c r="B410" s="29" t="s">
        <v>2456</v>
      </c>
      <c r="C410" s="29" t="s">
        <v>102</v>
      </c>
      <c r="D410" s="29" t="s">
        <v>80</v>
      </c>
    </row>
    <row r="411">
      <c r="A411" s="29" t="s">
        <v>1321</v>
      </c>
      <c r="B411" s="29" t="s">
        <v>2457</v>
      </c>
      <c r="C411" s="29" t="s">
        <v>186</v>
      </c>
      <c r="D411" s="29" t="s">
        <v>80</v>
      </c>
    </row>
    <row r="412">
      <c r="A412" s="29" t="s">
        <v>1324</v>
      </c>
      <c r="B412" s="29" t="s">
        <v>2458</v>
      </c>
      <c r="C412" s="29" t="s">
        <v>285</v>
      </c>
      <c r="D412" s="29" t="s">
        <v>80</v>
      </c>
    </row>
    <row r="413">
      <c r="A413" s="29" t="s">
        <v>1327</v>
      </c>
      <c r="B413" s="29" t="s">
        <v>2459</v>
      </c>
      <c r="C413" s="29" t="s">
        <v>144</v>
      </c>
      <c r="D413" s="29" t="s">
        <v>80</v>
      </c>
    </row>
    <row r="414">
      <c r="A414" s="29" t="s">
        <v>1330</v>
      </c>
      <c r="B414" s="29" t="s">
        <v>2460</v>
      </c>
      <c r="C414" s="29" t="s">
        <v>102</v>
      </c>
      <c r="D414" s="29" t="s">
        <v>80</v>
      </c>
    </row>
    <row r="415">
      <c r="A415" s="29" t="s">
        <v>1333</v>
      </c>
      <c r="B415" s="29" t="s">
        <v>2461</v>
      </c>
      <c r="C415" s="29" t="s">
        <v>19</v>
      </c>
      <c r="D415" s="29" t="s">
        <v>19</v>
      </c>
    </row>
    <row r="416">
      <c r="A416" s="29" t="s">
        <v>1336</v>
      </c>
      <c r="B416" s="29" t="s">
        <v>2186</v>
      </c>
      <c r="C416" s="29" t="s">
        <v>19</v>
      </c>
      <c r="D416" s="29" t="s">
        <v>19</v>
      </c>
    </row>
    <row r="417">
      <c r="A417" s="29" t="s">
        <v>1338</v>
      </c>
      <c r="B417" s="29" t="s">
        <v>2462</v>
      </c>
      <c r="C417" s="29" t="s">
        <v>126</v>
      </c>
      <c r="D417" s="29" t="s">
        <v>80</v>
      </c>
    </row>
    <row r="418">
      <c r="A418" s="29" t="s">
        <v>1341</v>
      </c>
      <c r="B418" s="29" t="s">
        <v>2463</v>
      </c>
      <c r="C418" s="29" t="s">
        <v>19</v>
      </c>
      <c r="D418" s="29" t="s">
        <v>19</v>
      </c>
    </row>
    <row r="419">
      <c r="A419" s="29" t="s">
        <v>1344</v>
      </c>
      <c r="B419" s="29" t="s">
        <v>2102</v>
      </c>
      <c r="C419" s="29" t="s">
        <v>19</v>
      </c>
      <c r="D419" s="29" t="s">
        <v>19</v>
      </c>
    </row>
    <row r="420">
      <c r="A420" s="29" t="s">
        <v>1346</v>
      </c>
      <c r="B420" s="29" t="s">
        <v>2464</v>
      </c>
      <c r="C420" s="29" t="s">
        <v>19</v>
      </c>
      <c r="D420" s="29" t="s">
        <v>19</v>
      </c>
    </row>
    <row r="421">
      <c r="A421" s="29" t="s">
        <v>1349</v>
      </c>
      <c r="B421" s="29" t="s">
        <v>2194</v>
      </c>
      <c r="C421" s="29" t="s">
        <v>19</v>
      </c>
      <c r="D421" s="29" t="s">
        <v>19</v>
      </c>
    </row>
    <row r="422">
      <c r="A422" s="29" t="s">
        <v>1351</v>
      </c>
      <c r="B422" s="29" t="s">
        <v>2465</v>
      </c>
      <c r="C422" s="29" t="s">
        <v>19</v>
      </c>
      <c r="D422" s="29" t="s">
        <v>19</v>
      </c>
    </row>
    <row r="423">
      <c r="A423" s="29" t="s">
        <v>1354</v>
      </c>
      <c r="B423" s="29" t="s">
        <v>2466</v>
      </c>
      <c r="C423" s="29" t="s">
        <v>19</v>
      </c>
      <c r="D423" s="29" t="s">
        <v>19</v>
      </c>
    </row>
    <row r="424">
      <c r="A424" s="29" t="s">
        <v>1357</v>
      </c>
      <c r="B424" s="29" t="s">
        <v>2467</v>
      </c>
      <c r="C424" s="29" t="s">
        <v>19</v>
      </c>
      <c r="D424" s="29" t="s">
        <v>19</v>
      </c>
    </row>
    <row r="425">
      <c r="A425" s="29" t="s">
        <v>1360</v>
      </c>
      <c r="B425" s="29" t="s">
        <v>2468</v>
      </c>
      <c r="C425" s="29" t="s">
        <v>19</v>
      </c>
      <c r="D425" s="29" t="s">
        <v>19</v>
      </c>
    </row>
    <row r="426">
      <c r="A426" s="29" t="s">
        <v>1363</v>
      </c>
      <c r="B426" s="29" t="s">
        <v>2469</v>
      </c>
      <c r="C426" s="29" t="s">
        <v>19</v>
      </c>
      <c r="D426" s="29" t="s">
        <v>19</v>
      </c>
    </row>
    <row r="427">
      <c r="A427" s="29" t="s">
        <v>1366</v>
      </c>
      <c r="B427" s="29" t="s">
        <v>2470</v>
      </c>
      <c r="C427" s="29" t="s">
        <v>19</v>
      </c>
      <c r="D427" s="29" t="s">
        <v>19</v>
      </c>
    </row>
    <row r="428">
      <c r="A428" s="29" t="s">
        <v>1369</v>
      </c>
      <c r="B428" s="29" t="s">
        <v>2471</v>
      </c>
      <c r="C428" s="29" t="s">
        <v>19</v>
      </c>
      <c r="D428" s="29" t="s">
        <v>19</v>
      </c>
    </row>
    <row r="429">
      <c r="A429" s="29" t="s">
        <v>1372</v>
      </c>
      <c r="B429" s="29" t="s">
        <v>2472</v>
      </c>
      <c r="C429" s="29" t="s">
        <v>19</v>
      </c>
      <c r="D429" s="29" t="s">
        <v>19</v>
      </c>
    </row>
    <row r="430">
      <c r="A430" s="29" t="s">
        <v>1375</v>
      </c>
      <c r="B430" s="29" t="s">
        <v>2473</v>
      </c>
      <c r="C430" s="29" t="s">
        <v>19</v>
      </c>
      <c r="D430" s="29" t="s">
        <v>19</v>
      </c>
    </row>
    <row r="431">
      <c r="A431" s="29" t="s">
        <v>1378</v>
      </c>
      <c r="B431" s="29" t="s">
        <v>2474</v>
      </c>
      <c r="C431" s="29" t="s">
        <v>19</v>
      </c>
      <c r="D431" s="29" t="s">
        <v>19</v>
      </c>
    </row>
    <row r="432">
      <c r="A432" s="29" t="s">
        <v>1381</v>
      </c>
      <c r="B432" s="29" t="s">
        <v>2475</v>
      </c>
      <c r="C432" s="29" t="s">
        <v>19</v>
      </c>
      <c r="D432" s="29" t="s">
        <v>19</v>
      </c>
    </row>
    <row r="433">
      <c r="A433" s="29" t="s">
        <v>1384</v>
      </c>
      <c r="B433" s="29" t="s">
        <v>2476</v>
      </c>
      <c r="C433" s="29" t="s">
        <v>19</v>
      </c>
      <c r="D433" s="29" t="s">
        <v>19</v>
      </c>
    </row>
    <row r="434">
      <c r="A434" s="29" t="s">
        <v>1387</v>
      </c>
      <c r="B434" s="29" t="s">
        <v>2477</v>
      </c>
      <c r="C434" s="29" t="s">
        <v>19</v>
      </c>
      <c r="D434" s="29" t="s">
        <v>19</v>
      </c>
    </row>
    <row r="435">
      <c r="A435" s="29" t="s">
        <v>1390</v>
      </c>
      <c r="B435" s="29" t="s">
        <v>2073</v>
      </c>
      <c r="C435" s="29" t="s">
        <v>97</v>
      </c>
      <c r="D435" s="29" t="s">
        <v>80</v>
      </c>
    </row>
    <row r="436">
      <c r="A436" s="29" t="s">
        <v>1392</v>
      </c>
      <c r="B436" s="29" t="s">
        <v>2478</v>
      </c>
      <c r="C436" s="29" t="s">
        <v>108</v>
      </c>
      <c r="D436" s="29" t="s">
        <v>80</v>
      </c>
    </row>
    <row r="437">
      <c r="A437" s="29" t="s">
        <v>1395</v>
      </c>
      <c r="B437" s="29" t="s">
        <v>2479</v>
      </c>
      <c r="C437" s="29" t="s">
        <v>116</v>
      </c>
      <c r="D437" s="29" t="s">
        <v>80</v>
      </c>
    </row>
    <row r="438">
      <c r="A438" s="29" t="s">
        <v>1398</v>
      </c>
      <c r="B438" s="29" t="s">
        <v>2480</v>
      </c>
      <c r="C438" s="29" t="s">
        <v>116</v>
      </c>
      <c r="D438" s="29" t="s">
        <v>80</v>
      </c>
    </row>
    <row r="439">
      <c r="A439" s="29" t="s">
        <v>1401</v>
      </c>
      <c r="B439" s="29" t="s">
        <v>2092</v>
      </c>
      <c r="C439" s="29" t="s">
        <v>231</v>
      </c>
      <c r="D439" s="29" t="s">
        <v>80</v>
      </c>
    </row>
    <row r="440">
      <c r="A440" s="29" t="s">
        <v>2481</v>
      </c>
      <c r="B440" s="30" t="e">
        <v>#N/A</v>
      </c>
      <c r="C440" s="29" t="s">
        <v>97</v>
      </c>
      <c r="D440" s="29" t="s">
        <v>80</v>
      </c>
    </row>
    <row r="441">
      <c r="A441" s="29" t="s">
        <v>1403</v>
      </c>
      <c r="B441" s="29" t="s">
        <v>2482</v>
      </c>
      <c r="C441" s="29" t="s">
        <v>97</v>
      </c>
      <c r="D441" s="29" t="s">
        <v>80</v>
      </c>
    </row>
    <row r="442">
      <c r="A442" s="29" t="s">
        <v>1406</v>
      </c>
      <c r="B442" s="29" t="s">
        <v>2483</v>
      </c>
      <c r="C442" s="29" t="s">
        <v>108</v>
      </c>
      <c r="D442" s="29" t="s">
        <v>80</v>
      </c>
    </row>
    <row r="443">
      <c r="A443" s="29" t="s">
        <v>1409</v>
      </c>
      <c r="B443" s="29" t="s">
        <v>2484</v>
      </c>
      <c r="C443" s="29" t="s">
        <v>108</v>
      </c>
      <c r="D443" s="29" t="s">
        <v>80</v>
      </c>
    </row>
    <row r="444">
      <c r="A444" s="29" t="s">
        <v>1412</v>
      </c>
      <c r="B444" s="29" t="s">
        <v>2485</v>
      </c>
      <c r="C444" s="29" t="s">
        <v>186</v>
      </c>
      <c r="D444" s="29" t="s">
        <v>80</v>
      </c>
    </row>
    <row r="445">
      <c r="A445" s="29" t="s">
        <v>1415</v>
      </c>
      <c r="B445" s="29" t="s">
        <v>2486</v>
      </c>
      <c r="C445" s="29" t="s">
        <v>144</v>
      </c>
      <c r="D445" s="29" t="s">
        <v>80</v>
      </c>
    </row>
    <row r="446">
      <c r="A446" s="29" t="s">
        <v>1418</v>
      </c>
      <c r="B446" s="29" t="s">
        <v>2487</v>
      </c>
      <c r="C446" s="29" t="s">
        <v>426</v>
      </c>
      <c r="D446" s="29" t="s">
        <v>1420</v>
      </c>
    </row>
    <row r="447">
      <c r="A447" s="29" t="s">
        <v>1422</v>
      </c>
      <c r="B447" s="29" t="s">
        <v>2488</v>
      </c>
      <c r="C447" s="29" t="s">
        <v>426</v>
      </c>
      <c r="D447" s="29" t="s">
        <v>1420</v>
      </c>
    </row>
    <row r="448">
      <c r="A448" s="29" t="s">
        <v>1425</v>
      </c>
      <c r="B448" s="29" t="s">
        <v>2489</v>
      </c>
      <c r="C448" s="29" t="s">
        <v>426</v>
      </c>
      <c r="D448" s="29" t="s">
        <v>1420</v>
      </c>
    </row>
    <row r="449">
      <c r="A449" s="29" t="s">
        <v>1428</v>
      </c>
      <c r="B449" s="29" t="s">
        <v>2490</v>
      </c>
      <c r="C449" s="29" t="s">
        <v>426</v>
      </c>
      <c r="D449" s="29" t="s">
        <v>1420</v>
      </c>
    </row>
    <row r="450">
      <c r="A450" s="29" t="s">
        <v>1431</v>
      </c>
      <c r="B450" s="29" t="s">
        <v>2491</v>
      </c>
      <c r="C450" s="29" t="s">
        <v>97</v>
      </c>
      <c r="D450" s="29" t="s">
        <v>80</v>
      </c>
    </row>
    <row r="451">
      <c r="A451" s="29" t="s">
        <v>1434</v>
      </c>
      <c r="B451" s="29" t="s">
        <v>2492</v>
      </c>
      <c r="C451" s="29" t="s">
        <v>97</v>
      </c>
      <c r="D451" s="29" t="s">
        <v>80</v>
      </c>
    </row>
    <row r="452">
      <c r="A452" s="29" t="s">
        <v>1437</v>
      </c>
      <c r="B452" s="29" t="s">
        <v>2493</v>
      </c>
      <c r="C452" s="29" t="s">
        <v>529</v>
      </c>
      <c r="D452" s="29" t="s">
        <v>80</v>
      </c>
    </row>
    <row r="453">
      <c r="A453" s="29" t="s">
        <v>1440</v>
      </c>
      <c r="B453" s="29" t="s">
        <v>2494</v>
      </c>
      <c r="C453" s="29" t="s">
        <v>108</v>
      </c>
      <c r="D453" s="29" t="s">
        <v>80</v>
      </c>
    </row>
    <row r="454">
      <c r="A454" s="29" t="s">
        <v>1443</v>
      </c>
      <c r="B454" s="29" t="s">
        <v>2495</v>
      </c>
      <c r="C454" s="29" t="s">
        <v>529</v>
      </c>
      <c r="D454" s="29" t="s">
        <v>80</v>
      </c>
    </row>
    <row r="455">
      <c r="A455" s="29" t="s">
        <v>1446</v>
      </c>
      <c r="B455" s="29" t="s">
        <v>2496</v>
      </c>
      <c r="C455" s="29" t="s">
        <v>301</v>
      </c>
      <c r="D455" s="29" t="s">
        <v>80</v>
      </c>
    </row>
    <row r="456">
      <c r="A456" s="29" t="s">
        <v>1449</v>
      </c>
      <c r="B456" s="29" t="s">
        <v>2497</v>
      </c>
      <c r="C456" s="29" t="s">
        <v>186</v>
      </c>
      <c r="D456" s="29" t="s">
        <v>80</v>
      </c>
    </row>
    <row r="457">
      <c r="A457" s="29" t="s">
        <v>1452</v>
      </c>
      <c r="B457" s="29" t="s">
        <v>2498</v>
      </c>
      <c r="C457" s="29" t="s">
        <v>138</v>
      </c>
      <c r="D457" s="29" t="s">
        <v>80</v>
      </c>
    </row>
    <row r="458">
      <c r="A458" s="29" t="s">
        <v>1455</v>
      </c>
      <c r="B458" s="29" t="s">
        <v>2499</v>
      </c>
      <c r="C458" s="29" t="s">
        <v>81</v>
      </c>
      <c r="D458" s="29" t="s">
        <v>80</v>
      </c>
    </row>
    <row r="459">
      <c r="A459" s="29" t="s">
        <v>1458</v>
      </c>
      <c r="B459" s="29" t="s">
        <v>2500</v>
      </c>
      <c r="C459" s="29" t="s">
        <v>126</v>
      </c>
      <c r="D459" s="29" t="s">
        <v>80</v>
      </c>
    </row>
    <row r="460">
      <c r="A460" s="29" t="s">
        <v>1461</v>
      </c>
      <c r="B460" s="29" t="s">
        <v>2501</v>
      </c>
      <c r="C460" s="29" t="s">
        <v>144</v>
      </c>
      <c r="D460" s="29" t="s">
        <v>80</v>
      </c>
    </row>
    <row r="461">
      <c r="A461" s="29" t="s">
        <v>1464</v>
      </c>
      <c r="B461" s="29" t="s">
        <v>2502</v>
      </c>
      <c r="C461" s="29" t="s">
        <v>186</v>
      </c>
      <c r="D461" s="29" t="s">
        <v>80</v>
      </c>
    </row>
    <row r="462">
      <c r="A462" s="29" t="s">
        <v>1467</v>
      </c>
      <c r="B462" s="29" t="s">
        <v>2503</v>
      </c>
      <c r="C462" s="29" t="s">
        <v>144</v>
      </c>
      <c r="D462" s="29" t="s">
        <v>80</v>
      </c>
    </row>
    <row r="463">
      <c r="A463" s="29" t="s">
        <v>1470</v>
      </c>
      <c r="B463" s="29" t="s">
        <v>2504</v>
      </c>
      <c r="C463" s="29" t="s">
        <v>285</v>
      </c>
      <c r="D463" s="29" t="s">
        <v>80</v>
      </c>
    </row>
    <row r="464">
      <c r="A464" s="29" t="s">
        <v>1473</v>
      </c>
      <c r="B464" s="29" t="s">
        <v>2505</v>
      </c>
      <c r="C464" s="29" t="s">
        <v>426</v>
      </c>
      <c r="D464" s="29" t="s">
        <v>1420</v>
      </c>
    </row>
    <row r="465">
      <c r="A465" s="29" t="s">
        <v>1476</v>
      </c>
      <c r="B465" s="29" t="s">
        <v>2506</v>
      </c>
      <c r="C465" s="29" t="s">
        <v>426</v>
      </c>
      <c r="D465" s="29" t="s">
        <v>1420</v>
      </c>
    </row>
    <row r="466">
      <c r="A466" s="29" t="s">
        <v>1479</v>
      </c>
      <c r="B466" s="29" t="s">
        <v>2507</v>
      </c>
      <c r="C466" s="29" t="s">
        <v>426</v>
      </c>
      <c r="D466" s="29" t="s">
        <v>1420</v>
      </c>
    </row>
    <row r="467">
      <c r="A467" s="29" t="s">
        <v>1482</v>
      </c>
      <c r="B467" s="29" t="s">
        <v>2508</v>
      </c>
      <c r="C467" s="29" t="s">
        <v>426</v>
      </c>
      <c r="D467" s="29" t="s">
        <v>1420</v>
      </c>
    </row>
    <row r="468">
      <c r="A468" s="29" t="s">
        <v>1485</v>
      </c>
      <c r="B468" s="29" t="s">
        <v>2509</v>
      </c>
      <c r="C468" s="29" t="s">
        <v>108</v>
      </c>
      <c r="D468" s="29" t="s">
        <v>80</v>
      </c>
    </row>
    <row r="469">
      <c r="A469" s="29" t="s">
        <v>1488</v>
      </c>
      <c r="B469" s="29" t="s">
        <v>2510</v>
      </c>
      <c r="C469" s="29" t="s">
        <v>126</v>
      </c>
      <c r="D469" s="29" t="s">
        <v>80</v>
      </c>
    </row>
    <row r="470">
      <c r="A470" s="29" t="s">
        <v>1491</v>
      </c>
      <c r="B470" s="29" t="s">
        <v>2511</v>
      </c>
      <c r="C470" s="29" t="s">
        <v>126</v>
      </c>
      <c r="D470" s="29" t="s">
        <v>80</v>
      </c>
    </row>
    <row r="471">
      <c r="A471" s="29" t="s">
        <v>1494</v>
      </c>
      <c r="B471" s="29" t="s">
        <v>2512</v>
      </c>
      <c r="C471" s="29" t="s">
        <v>126</v>
      </c>
      <c r="D471" s="29" t="s">
        <v>80</v>
      </c>
    </row>
    <row r="472">
      <c r="A472" s="29" t="s">
        <v>1497</v>
      </c>
      <c r="B472" s="29" t="s">
        <v>2368</v>
      </c>
      <c r="C472" s="29" t="s">
        <v>529</v>
      </c>
      <c r="D472" s="29" t="s">
        <v>80</v>
      </c>
    </row>
    <row r="473">
      <c r="A473" s="29" t="s">
        <v>1499</v>
      </c>
      <c r="B473" s="29" t="s">
        <v>2513</v>
      </c>
      <c r="C473" s="29" t="s">
        <v>529</v>
      </c>
      <c r="D473" s="29" t="s">
        <v>80</v>
      </c>
    </row>
    <row r="474">
      <c r="A474" s="29" t="s">
        <v>1502</v>
      </c>
      <c r="B474" s="29" t="s">
        <v>2514</v>
      </c>
      <c r="C474" s="29" t="s">
        <v>120</v>
      </c>
      <c r="D474" s="29" t="s">
        <v>80</v>
      </c>
    </row>
    <row r="475">
      <c r="A475" s="29" t="s">
        <v>1505</v>
      </c>
      <c r="B475" s="29" t="s">
        <v>2515</v>
      </c>
      <c r="C475" s="29" t="s">
        <v>19</v>
      </c>
      <c r="D475" s="29" t="s">
        <v>19</v>
      </c>
    </row>
    <row r="476">
      <c r="A476" s="29" t="s">
        <v>1508</v>
      </c>
      <c r="B476" s="29" t="s">
        <v>2516</v>
      </c>
      <c r="C476" s="29" t="s">
        <v>19</v>
      </c>
      <c r="D476" s="29" t="s">
        <v>19</v>
      </c>
    </row>
    <row r="477">
      <c r="A477" s="29" t="s">
        <v>1511</v>
      </c>
      <c r="B477" s="29" t="s">
        <v>2517</v>
      </c>
      <c r="C477" s="29" t="s">
        <v>19</v>
      </c>
      <c r="D477" s="29" t="s">
        <v>19</v>
      </c>
    </row>
    <row r="478">
      <c r="A478" s="29" t="s">
        <v>1514</v>
      </c>
      <c r="B478" s="29" t="s">
        <v>2516</v>
      </c>
      <c r="C478" s="29" t="s">
        <v>19</v>
      </c>
      <c r="D478" s="29" t="s">
        <v>19</v>
      </c>
    </row>
    <row r="479">
      <c r="A479" s="29" t="s">
        <v>1516</v>
      </c>
      <c r="B479" s="29" t="s">
        <v>2518</v>
      </c>
      <c r="C479" s="29" t="s">
        <v>97</v>
      </c>
      <c r="D479" s="29" t="s">
        <v>80</v>
      </c>
    </row>
    <row r="480">
      <c r="A480" s="29" t="s">
        <v>1519</v>
      </c>
      <c r="B480" s="29" t="s">
        <v>2519</v>
      </c>
      <c r="C480" s="29" t="s">
        <v>263</v>
      </c>
      <c r="D480" s="29" t="s">
        <v>80</v>
      </c>
    </row>
    <row r="481">
      <c r="A481" s="29" t="s">
        <v>1522</v>
      </c>
      <c r="B481" s="29" t="s">
        <v>2520</v>
      </c>
      <c r="C481" s="29" t="s">
        <v>126</v>
      </c>
      <c r="D481" s="29" t="s">
        <v>80</v>
      </c>
    </row>
    <row r="482">
      <c r="A482" s="29" t="s">
        <v>1525</v>
      </c>
      <c r="B482" s="29" t="s">
        <v>2521</v>
      </c>
      <c r="C482" s="29" t="s">
        <v>216</v>
      </c>
      <c r="D482" s="29" t="s">
        <v>80</v>
      </c>
    </row>
    <row r="483">
      <c r="A483" s="29" t="s">
        <v>1528</v>
      </c>
      <c r="B483" s="29" t="s">
        <v>2522</v>
      </c>
      <c r="C483" s="29" t="s">
        <v>529</v>
      </c>
      <c r="D483" s="29" t="s">
        <v>80</v>
      </c>
    </row>
    <row r="484">
      <c r="A484" s="29" t="s">
        <v>1531</v>
      </c>
      <c r="B484" s="29" t="s">
        <v>2523</v>
      </c>
      <c r="C484" s="29" t="s">
        <v>529</v>
      </c>
      <c r="D484" s="29" t="s">
        <v>80</v>
      </c>
    </row>
    <row r="485">
      <c r="A485" s="29" t="s">
        <v>1534</v>
      </c>
      <c r="B485" s="29" t="s">
        <v>2524</v>
      </c>
      <c r="C485" s="29" t="s">
        <v>144</v>
      </c>
      <c r="D485" s="29" t="s">
        <v>80</v>
      </c>
    </row>
    <row r="486">
      <c r="A486" s="29" t="s">
        <v>1537</v>
      </c>
      <c r="B486" s="29" t="s">
        <v>2525</v>
      </c>
      <c r="C486" s="29" t="s">
        <v>126</v>
      </c>
      <c r="D486" s="29" t="s">
        <v>80</v>
      </c>
    </row>
    <row r="487">
      <c r="A487" s="29" t="s">
        <v>1540</v>
      </c>
      <c r="B487" s="29" t="s">
        <v>2526</v>
      </c>
      <c r="C487" s="29" t="s">
        <v>411</v>
      </c>
      <c r="D487" s="29" t="s">
        <v>411</v>
      </c>
    </row>
    <row r="488">
      <c r="A488" s="29" t="s">
        <v>1543</v>
      </c>
      <c r="B488" s="29" t="s">
        <v>2527</v>
      </c>
      <c r="C488" s="29" t="s">
        <v>81</v>
      </c>
      <c r="D488" s="29" t="s">
        <v>80</v>
      </c>
    </row>
    <row r="489">
      <c r="A489" s="29" t="s">
        <v>1546</v>
      </c>
      <c r="B489" s="29" t="s">
        <v>2528</v>
      </c>
      <c r="C489" s="29" t="s">
        <v>19</v>
      </c>
      <c r="D489" s="29" t="s">
        <v>19</v>
      </c>
    </row>
    <row r="490">
      <c r="A490" s="29" t="s">
        <v>1549</v>
      </c>
      <c r="B490" s="29" t="s">
        <v>2529</v>
      </c>
      <c r="C490" s="29" t="s">
        <v>97</v>
      </c>
      <c r="D490" s="29" t="s">
        <v>80</v>
      </c>
    </row>
    <row r="491">
      <c r="A491" s="29" t="s">
        <v>1552</v>
      </c>
      <c r="B491" s="29" t="s">
        <v>2530</v>
      </c>
      <c r="C491" s="29" t="s">
        <v>144</v>
      </c>
      <c r="D491" s="29" t="s">
        <v>80</v>
      </c>
    </row>
    <row r="492">
      <c r="A492" s="29" t="s">
        <v>1555</v>
      </c>
      <c r="B492" s="29" t="s">
        <v>2531</v>
      </c>
      <c r="C492" s="29" t="s">
        <v>102</v>
      </c>
      <c r="D492" s="29" t="s">
        <v>80</v>
      </c>
    </row>
    <row r="493">
      <c r="A493" s="29" t="s">
        <v>1558</v>
      </c>
      <c r="B493" s="29" t="s">
        <v>2532</v>
      </c>
      <c r="C493" s="29" t="s">
        <v>231</v>
      </c>
      <c r="D493" s="29" t="s">
        <v>80</v>
      </c>
    </row>
    <row r="494">
      <c r="A494" s="29" t="s">
        <v>1561</v>
      </c>
      <c r="B494" s="29" t="s">
        <v>2533</v>
      </c>
      <c r="C494" s="29" t="s">
        <v>301</v>
      </c>
      <c r="D494" s="29" t="s">
        <v>80</v>
      </c>
    </row>
    <row r="495">
      <c r="A495" s="29" t="s">
        <v>1564</v>
      </c>
      <c r="B495" s="29" t="s">
        <v>2534</v>
      </c>
      <c r="C495" s="29" t="s">
        <v>108</v>
      </c>
      <c r="D495" s="29" t="s">
        <v>80</v>
      </c>
    </row>
    <row r="496">
      <c r="A496" s="29" t="s">
        <v>1567</v>
      </c>
      <c r="B496" s="29" t="s">
        <v>2535</v>
      </c>
      <c r="C496" s="29" t="s">
        <v>19</v>
      </c>
      <c r="D496" s="29" t="s">
        <v>19</v>
      </c>
    </row>
    <row r="497">
      <c r="A497" s="29" t="s">
        <v>1570</v>
      </c>
      <c r="B497" s="29" t="s">
        <v>2536</v>
      </c>
      <c r="C497" s="29" t="s">
        <v>97</v>
      </c>
      <c r="D497" s="29" t="s">
        <v>80</v>
      </c>
    </row>
    <row r="498">
      <c r="A498" s="29" t="s">
        <v>1573</v>
      </c>
      <c r="B498" s="29" t="s">
        <v>2537</v>
      </c>
      <c r="C498" s="29" t="s">
        <v>301</v>
      </c>
      <c r="D498" s="29" t="s">
        <v>80</v>
      </c>
    </row>
    <row r="499">
      <c r="A499" s="29" t="s">
        <v>1576</v>
      </c>
      <c r="B499" s="29" t="s">
        <v>2538</v>
      </c>
      <c r="C499" s="29" t="s">
        <v>81</v>
      </c>
      <c r="D499" s="29" t="s">
        <v>80</v>
      </c>
    </row>
    <row r="500">
      <c r="A500" s="29" t="s">
        <v>1579</v>
      </c>
      <c r="B500" s="29" t="s">
        <v>2539</v>
      </c>
      <c r="C500" s="29" t="s">
        <v>108</v>
      </c>
      <c r="D500" s="29" t="s">
        <v>80</v>
      </c>
    </row>
    <row r="501">
      <c r="A501" s="29" t="s">
        <v>1582</v>
      </c>
      <c r="B501" s="29" t="s">
        <v>2540</v>
      </c>
      <c r="C501" s="29" t="s">
        <v>186</v>
      </c>
      <c r="D501" s="29" t="s">
        <v>80</v>
      </c>
    </row>
    <row r="502">
      <c r="A502" s="29" t="s">
        <v>1585</v>
      </c>
      <c r="B502" s="29" t="s">
        <v>2541</v>
      </c>
      <c r="C502" s="29" t="s">
        <v>270</v>
      </c>
      <c r="D502" s="29" t="s">
        <v>80</v>
      </c>
    </row>
    <row r="503">
      <c r="A503" s="29" t="s">
        <v>1588</v>
      </c>
      <c r="B503" s="29" t="s">
        <v>2542</v>
      </c>
      <c r="C503" s="29" t="s">
        <v>120</v>
      </c>
      <c r="D503" s="29" t="s">
        <v>80</v>
      </c>
    </row>
    <row r="504">
      <c r="A504" s="29" t="s">
        <v>1591</v>
      </c>
      <c r="B504" s="29" t="s">
        <v>2543</v>
      </c>
      <c r="C504" s="29" t="s">
        <v>120</v>
      </c>
      <c r="D504" s="29" t="s">
        <v>80</v>
      </c>
    </row>
    <row r="505">
      <c r="A505" s="29" t="s">
        <v>1594</v>
      </c>
      <c r="B505" s="29" t="s">
        <v>2544</v>
      </c>
      <c r="C505" s="29" t="s">
        <v>102</v>
      </c>
      <c r="D505" s="29" t="s">
        <v>80</v>
      </c>
    </row>
    <row r="506">
      <c r="A506" s="29" t="s">
        <v>1597</v>
      </c>
      <c r="B506" s="29" t="s">
        <v>2545</v>
      </c>
      <c r="C506" s="29" t="s">
        <v>97</v>
      </c>
      <c r="D506" s="29" t="s">
        <v>80</v>
      </c>
    </row>
    <row r="507">
      <c r="A507" s="29" t="s">
        <v>1600</v>
      </c>
      <c r="B507" s="29" t="s">
        <v>2546</v>
      </c>
      <c r="C507" s="29" t="s">
        <v>144</v>
      </c>
      <c r="D507" s="29" t="s">
        <v>80</v>
      </c>
    </row>
    <row r="508">
      <c r="A508" s="29" t="s">
        <v>1603</v>
      </c>
      <c r="B508" s="29" t="s">
        <v>2547</v>
      </c>
      <c r="C508" s="29" t="s">
        <v>92</v>
      </c>
      <c r="D508" s="29" t="s">
        <v>80</v>
      </c>
    </row>
    <row r="509">
      <c r="A509" s="29" t="s">
        <v>1606</v>
      </c>
      <c r="B509" s="29" t="s">
        <v>2548</v>
      </c>
      <c r="C509" s="29" t="s">
        <v>138</v>
      </c>
      <c r="D509" s="29" t="s">
        <v>80</v>
      </c>
    </row>
    <row r="510">
      <c r="A510" s="29" t="s">
        <v>1609</v>
      </c>
      <c r="B510" s="29" t="s">
        <v>2549</v>
      </c>
      <c r="C510" s="29" t="s">
        <v>126</v>
      </c>
      <c r="D510" s="29" t="s">
        <v>80</v>
      </c>
    </row>
    <row r="511">
      <c r="A511" s="29" t="s">
        <v>1612</v>
      </c>
      <c r="B511" s="29" t="s">
        <v>2550</v>
      </c>
      <c r="C511" s="29" t="s">
        <v>120</v>
      </c>
      <c r="D511" s="29" t="s">
        <v>80</v>
      </c>
    </row>
    <row r="512">
      <c r="A512" s="29" t="s">
        <v>1615</v>
      </c>
      <c r="B512" s="29" t="s">
        <v>2551</v>
      </c>
      <c r="C512" s="29" t="s">
        <v>126</v>
      </c>
      <c r="D512" s="29" t="s">
        <v>80</v>
      </c>
    </row>
    <row r="513">
      <c r="A513" s="29" t="s">
        <v>1618</v>
      </c>
      <c r="B513" s="29" t="s">
        <v>2552</v>
      </c>
      <c r="C513" s="29" t="s">
        <v>116</v>
      </c>
      <c r="D513" s="29" t="s">
        <v>80</v>
      </c>
    </row>
    <row r="514">
      <c r="A514" s="29" t="s">
        <v>1621</v>
      </c>
      <c r="B514" s="29" t="s">
        <v>2553</v>
      </c>
      <c r="C514" s="29" t="s">
        <v>19</v>
      </c>
      <c r="D514" s="29" t="s">
        <v>19</v>
      </c>
    </row>
    <row r="515">
      <c r="A515" s="29" t="s">
        <v>1624</v>
      </c>
      <c r="B515" s="29" t="s">
        <v>2554</v>
      </c>
      <c r="C515" s="29" t="s">
        <v>301</v>
      </c>
      <c r="D515" s="29" t="s">
        <v>80</v>
      </c>
    </row>
    <row r="516">
      <c r="A516" s="29" t="s">
        <v>1627</v>
      </c>
      <c r="B516" s="29" t="s">
        <v>2555</v>
      </c>
      <c r="C516" s="29" t="s">
        <v>144</v>
      </c>
      <c r="D516" s="29" t="s">
        <v>80</v>
      </c>
    </row>
    <row r="517">
      <c r="A517" s="29" t="s">
        <v>1630</v>
      </c>
      <c r="B517" s="29" t="s">
        <v>2556</v>
      </c>
      <c r="C517" s="29" t="s">
        <v>529</v>
      </c>
      <c r="D517" s="29" t="s">
        <v>80</v>
      </c>
    </row>
    <row r="518">
      <c r="A518" s="29" t="s">
        <v>1633</v>
      </c>
      <c r="B518" s="29" t="s">
        <v>2557</v>
      </c>
      <c r="C518" s="29" t="s">
        <v>186</v>
      </c>
      <c r="D518" s="29" t="s">
        <v>80</v>
      </c>
    </row>
    <row r="519">
      <c r="A519" s="29" t="s">
        <v>1636</v>
      </c>
      <c r="B519" s="29" t="s">
        <v>2558</v>
      </c>
      <c r="C519" s="29" t="s">
        <v>301</v>
      </c>
      <c r="D519" s="29" t="s">
        <v>80</v>
      </c>
    </row>
    <row r="520">
      <c r="A520" s="29" t="s">
        <v>1639</v>
      </c>
      <c r="B520" s="29" t="s">
        <v>2559</v>
      </c>
      <c r="C520" s="29" t="s">
        <v>81</v>
      </c>
      <c r="D520" s="29" t="s">
        <v>80</v>
      </c>
    </row>
    <row r="521">
      <c r="A521" s="29" t="s">
        <v>1642</v>
      </c>
      <c r="B521" s="29" t="s">
        <v>2560</v>
      </c>
      <c r="C521" s="29" t="s">
        <v>426</v>
      </c>
      <c r="D521" s="29" t="s">
        <v>2561</v>
      </c>
    </row>
    <row r="522">
      <c r="A522" s="29" t="s">
        <v>1646</v>
      </c>
      <c r="B522" s="29" t="s">
        <v>2560</v>
      </c>
      <c r="C522" s="29" t="s">
        <v>426</v>
      </c>
      <c r="D522" s="29" t="s">
        <v>2561</v>
      </c>
    </row>
    <row r="523">
      <c r="A523" s="29" t="s">
        <v>1650</v>
      </c>
      <c r="B523" s="29" t="s">
        <v>2562</v>
      </c>
      <c r="C523" s="29" t="s">
        <v>126</v>
      </c>
      <c r="D523" s="29" t="s">
        <v>80</v>
      </c>
    </row>
    <row r="524">
      <c r="A524" s="29" t="s">
        <v>1653</v>
      </c>
      <c r="B524" s="29" t="s">
        <v>2563</v>
      </c>
      <c r="C524" s="29" t="s">
        <v>126</v>
      </c>
      <c r="D524" s="29" t="s">
        <v>80</v>
      </c>
    </row>
    <row r="525">
      <c r="A525" s="29" t="s">
        <v>1656</v>
      </c>
      <c r="B525" s="29" t="s">
        <v>2564</v>
      </c>
      <c r="C525" s="29" t="s">
        <v>529</v>
      </c>
      <c r="D525" s="29" t="s">
        <v>80</v>
      </c>
    </row>
    <row r="526">
      <c r="A526" s="29" t="s">
        <v>1659</v>
      </c>
      <c r="B526" s="29" t="s">
        <v>2565</v>
      </c>
      <c r="C526" s="29" t="s">
        <v>97</v>
      </c>
      <c r="D526" s="29" t="s">
        <v>80</v>
      </c>
    </row>
    <row r="527">
      <c r="A527" s="29" t="s">
        <v>1662</v>
      </c>
      <c r="B527" s="29" t="s">
        <v>2566</v>
      </c>
      <c r="C527" s="29" t="s">
        <v>285</v>
      </c>
      <c r="D527" s="29" t="s">
        <v>80</v>
      </c>
    </row>
    <row r="528">
      <c r="A528" s="29" t="s">
        <v>1665</v>
      </c>
      <c r="B528" s="29" t="s">
        <v>2567</v>
      </c>
      <c r="C528" s="29" t="s">
        <v>231</v>
      </c>
      <c r="D528" s="29" t="s">
        <v>80</v>
      </c>
    </row>
    <row r="529">
      <c r="A529" s="29" t="s">
        <v>1668</v>
      </c>
      <c r="B529" s="29" t="s">
        <v>2568</v>
      </c>
      <c r="C529" s="29" t="s">
        <v>97</v>
      </c>
      <c r="D529" s="29" t="s">
        <v>80</v>
      </c>
    </row>
    <row r="530">
      <c r="A530" s="29" t="s">
        <v>1671</v>
      </c>
      <c r="B530" s="29" t="s">
        <v>2569</v>
      </c>
      <c r="C530" s="29" t="s">
        <v>144</v>
      </c>
      <c r="D530" s="29" t="s">
        <v>80</v>
      </c>
    </row>
    <row r="531">
      <c r="A531" s="29" t="s">
        <v>1</v>
      </c>
      <c r="B531" s="29" t="s">
        <v>2570</v>
      </c>
      <c r="C531" s="29" t="s">
        <v>5</v>
      </c>
      <c r="D531" s="29" t="s">
        <v>4</v>
      </c>
    </row>
    <row r="532">
      <c r="A532" s="29" t="s">
        <v>1674</v>
      </c>
      <c r="B532" s="29" t="s">
        <v>2571</v>
      </c>
      <c r="C532" s="29" t="s">
        <v>231</v>
      </c>
      <c r="D532" s="29" t="s">
        <v>80</v>
      </c>
    </row>
    <row r="533">
      <c r="A533" s="29" t="s">
        <v>1677</v>
      </c>
      <c r="B533" s="29" t="s">
        <v>2572</v>
      </c>
      <c r="C533" s="29" t="s">
        <v>116</v>
      </c>
      <c r="D533" s="29" t="s">
        <v>80</v>
      </c>
    </row>
    <row r="534">
      <c r="A534" s="29" t="s">
        <v>1680</v>
      </c>
      <c r="B534" s="29" t="s">
        <v>2573</v>
      </c>
      <c r="C534" s="29" t="s">
        <v>116</v>
      </c>
      <c r="D534" s="29" t="s">
        <v>80</v>
      </c>
    </row>
    <row r="535">
      <c r="A535" s="29" t="s">
        <v>1683</v>
      </c>
      <c r="B535" s="29" t="s">
        <v>2574</v>
      </c>
      <c r="C535" s="29" t="s">
        <v>285</v>
      </c>
      <c r="D535" s="29" t="s">
        <v>80</v>
      </c>
    </row>
    <row r="536">
      <c r="A536" s="29" t="s">
        <v>1686</v>
      </c>
      <c r="B536" s="29" t="s">
        <v>2575</v>
      </c>
      <c r="C536" s="29" t="s">
        <v>126</v>
      </c>
      <c r="D536" s="29" t="s">
        <v>80</v>
      </c>
    </row>
    <row r="537">
      <c r="A537" s="29" t="s">
        <v>1689</v>
      </c>
      <c r="B537" s="29" t="s">
        <v>2576</v>
      </c>
      <c r="C537" s="29" t="s">
        <v>285</v>
      </c>
      <c r="D537" s="29" t="s">
        <v>80</v>
      </c>
    </row>
    <row r="538">
      <c r="A538" s="29" t="s">
        <v>1692</v>
      </c>
      <c r="B538" s="29" t="s">
        <v>2577</v>
      </c>
      <c r="C538" s="29" t="s">
        <v>126</v>
      </c>
      <c r="D538" s="29" t="s">
        <v>80</v>
      </c>
    </row>
    <row r="539">
      <c r="A539" s="29" t="s">
        <v>1695</v>
      </c>
      <c r="B539" s="29" t="s">
        <v>2578</v>
      </c>
      <c r="C539" s="29" t="s">
        <v>285</v>
      </c>
      <c r="D539" s="29" t="s">
        <v>80</v>
      </c>
    </row>
    <row r="540">
      <c r="A540" s="29" t="s">
        <v>1698</v>
      </c>
      <c r="B540" s="29" t="s">
        <v>2579</v>
      </c>
      <c r="C540" s="29" t="s">
        <v>126</v>
      </c>
      <c r="D540" s="29" t="s">
        <v>80</v>
      </c>
    </row>
    <row r="541">
      <c r="A541" s="29" t="s">
        <v>1701</v>
      </c>
      <c r="B541" s="29" t="s">
        <v>2580</v>
      </c>
      <c r="C541" s="29" t="s">
        <v>120</v>
      </c>
      <c r="D541" s="29" t="s">
        <v>80</v>
      </c>
    </row>
    <row r="542">
      <c r="A542" s="29" t="s">
        <v>1704</v>
      </c>
      <c r="B542" s="29" t="s">
        <v>2581</v>
      </c>
      <c r="C542" s="29" t="s">
        <v>81</v>
      </c>
      <c r="D542" s="29" t="s">
        <v>80</v>
      </c>
    </row>
    <row r="543">
      <c r="A543" s="29" t="s">
        <v>1707</v>
      </c>
      <c r="B543" s="29" t="s">
        <v>2582</v>
      </c>
      <c r="C543" s="29" t="s">
        <v>263</v>
      </c>
      <c r="D543" s="29" t="s">
        <v>80</v>
      </c>
    </row>
    <row r="544">
      <c r="A544" s="29" t="s">
        <v>1710</v>
      </c>
      <c r="B544" s="29" t="s">
        <v>2583</v>
      </c>
      <c r="C544" s="29" t="s">
        <v>108</v>
      </c>
      <c r="D544" s="29" t="s">
        <v>80</v>
      </c>
    </row>
    <row r="545">
      <c r="A545" s="29" t="s">
        <v>1713</v>
      </c>
      <c r="B545" s="29" t="s">
        <v>2584</v>
      </c>
      <c r="C545" s="29" t="s">
        <v>301</v>
      </c>
      <c r="D545" s="29" t="s">
        <v>80</v>
      </c>
    </row>
    <row r="546">
      <c r="A546" s="29" t="s">
        <v>1716</v>
      </c>
      <c r="B546" s="29" t="s">
        <v>2585</v>
      </c>
      <c r="C546" s="29" t="s">
        <v>102</v>
      </c>
      <c r="D546" s="29" t="s">
        <v>80</v>
      </c>
    </row>
    <row r="547">
      <c r="A547" s="29" t="s">
        <v>1719</v>
      </c>
      <c r="B547" s="29" t="s">
        <v>2586</v>
      </c>
      <c r="C547" s="29" t="s">
        <v>81</v>
      </c>
      <c r="D547" s="29" t="s">
        <v>80</v>
      </c>
    </row>
    <row r="548">
      <c r="A548" s="29" t="s">
        <v>1722</v>
      </c>
      <c r="B548" s="29" t="s">
        <v>2587</v>
      </c>
      <c r="C548" s="29" t="s">
        <v>97</v>
      </c>
      <c r="D548" s="29" t="s">
        <v>80</v>
      </c>
    </row>
    <row r="549">
      <c r="A549" s="29" t="s">
        <v>1725</v>
      </c>
      <c r="B549" s="29" t="s">
        <v>2588</v>
      </c>
      <c r="C549" s="29" t="s">
        <v>301</v>
      </c>
      <c r="D549" s="29" t="s">
        <v>80</v>
      </c>
    </row>
    <row r="550">
      <c r="A550" s="29" t="s">
        <v>1728</v>
      </c>
      <c r="B550" s="29" t="s">
        <v>2335</v>
      </c>
      <c r="C550" s="29" t="s">
        <v>108</v>
      </c>
      <c r="D550" s="29" t="s">
        <v>80</v>
      </c>
    </row>
    <row r="551">
      <c r="A551" s="29" t="s">
        <v>1730</v>
      </c>
      <c r="B551" s="29" t="s">
        <v>2589</v>
      </c>
      <c r="C551" s="29" t="s">
        <v>97</v>
      </c>
      <c r="D551" s="29" t="s">
        <v>80</v>
      </c>
    </row>
    <row r="552">
      <c r="A552" s="29" t="s">
        <v>1733</v>
      </c>
      <c r="B552" s="29" t="s">
        <v>2590</v>
      </c>
      <c r="C552" s="29" t="s">
        <v>2150</v>
      </c>
      <c r="D552" s="29" t="s">
        <v>80</v>
      </c>
    </row>
    <row r="553">
      <c r="A553" s="29" t="s">
        <v>1736</v>
      </c>
      <c r="B553" s="29" t="s">
        <v>2591</v>
      </c>
      <c r="C553" s="29" t="s">
        <v>285</v>
      </c>
      <c r="D553" s="29" t="s">
        <v>80</v>
      </c>
    </row>
    <row r="554">
      <c r="A554" s="29" t="s">
        <v>1739</v>
      </c>
      <c r="B554" s="29" t="s">
        <v>2592</v>
      </c>
      <c r="C554" s="29" t="s">
        <v>126</v>
      </c>
      <c r="D554" s="29" t="s">
        <v>80</v>
      </c>
    </row>
    <row r="555">
      <c r="A555" s="29" t="s">
        <v>1742</v>
      </c>
      <c r="B555" s="29" t="s">
        <v>2593</v>
      </c>
      <c r="C555" s="29" t="s">
        <v>144</v>
      </c>
      <c r="D555" s="29" t="s">
        <v>80</v>
      </c>
    </row>
    <row r="556">
      <c r="A556" s="29" t="s">
        <v>1745</v>
      </c>
      <c r="B556" s="29" t="s">
        <v>2594</v>
      </c>
      <c r="C556" s="29" t="s">
        <v>263</v>
      </c>
      <c r="D556" s="29" t="s">
        <v>80</v>
      </c>
    </row>
    <row r="557">
      <c r="A557" s="29" t="s">
        <v>1748</v>
      </c>
      <c r="B557" s="29" t="s">
        <v>2595</v>
      </c>
      <c r="C557" s="29" t="s">
        <v>126</v>
      </c>
      <c r="D557" s="29" t="s">
        <v>80</v>
      </c>
    </row>
    <row r="558">
      <c r="A558" s="29" t="s">
        <v>1751</v>
      </c>
      <c r="B558" s="29" t="s">
        <v>2596</v>
      </c>
      <c r="C558" s="29" t="s">
        <v>231</v>
      </c>
      <c r="D558" s="29" t="s">
        <v>80</v>
      </c>
    </row>
    <row r="559">
      <c r="A559" s="29" t="s">
        <v>1754</v>
      </c>
      <c r="B559" s="29" t="s">
        <v>2597</v>
      </c>
      <c r="C559" s="29" t="s">
        <v>529</v>
      </c>
      <c r="D559" s="29" t="s">
        <v>80</v>
      </c>
    </row>
    <row r="560">
      <c r="A560" s="29" t="s">
        <v>1757</v>
      </c>
      <c r="B560" s="29" t="s">
        <v>2597</v>
      </c>
      <c r="C560" s="29" t="s">
        <v>92</v>
      </c>
      <c r="D560" s="29" t="s">
        <v>80</v>
      </c>
    </row>
    <row r="561">
      <c r="A561" s="29" t="s">
        <v>1759</v>
      </c>
      <c r="B561" s="29" t="s">
        <v>2598</v>
      </c>
      <c r="C561" s="29" t="s">
        <v>186</v>
      </c>
      <c r="D561" s="29" t="s">
        <v>80</v>
      </c>
    </row>
    <row r="562">
      <c r="A562" s="29" t="s">
        <v>1762</v>
      </c>
      <c r="B562" s="29" t="s">
        <v>2599</v>
      </c>
      <c r="C562" s="29" t="s">
        <v>116</v>
      </c>
      <c r="D562" s="29" t="s">
        <v>80</v>
      </c>
    </row>
    <row r="563">
      <c r="A563" s="29" t="s">
        <v>1765</v>
      </c>
      <c r="B563" s="29" t="s">
        <v>2600</v>
      </c>
      <c r="C563" s="29" t="s">
        <v>126</v>
      </c>
      <c r="D563" s="29" t="s">
        <v>80</v>
      </c>
    </row>
    <row r="564">
      <c r="A564" s="29" t="s">
        <v>1768</v>
      </c>
      <c r="B564" s="29" t="s">
        <v>2601</v>
      </c>
      <c r="C564" s="29" t="s">
        <v>138</v>
      </c>
      <c r="D564" s="29" t="s">
        <v>80</v>
      </c>
    </row>
    <row r="565">
      <c r="A565" s="29" t="s">
        <v>1771</v>
      </c>
      <c r="B565" s="29" t="s">
        <v>2602</v>
      </c>
      <c r="C565" s="29" t="s">
        <v>97</v>
      </c>
      <c r="D565" s="29" t="s">
        <v>80</v>
      </c>
    </row>
    <row r="566">
      <c r="A566" s="29" t="s">
        <v>1774</v>
      </c>
      <c r="B566" s="29" t="s">
        <v>2603</v>
      </c>
      <c r="C566" s="29" t="s">
        <v>270</v>
      </c>
      <c r="D566" s="29" t="s">
        <v>80</v>
      </c>
    </row>
    <row r="567">
      <c r="A567" s="29" t="s">
        <v>1777</v>
      </c>
      <c r="B567" s="29" t="s">
        <v>2604</v>
      </c>
      <c r="C567" s="29" t="s">
        <v>216</v>
      </c>
      <c r="D567" s="29" t="s">
        <v>80</v>
      </c>
    </row>
    <row r="568">
      <c r="A568" s="29" t="s">
        <v>1780</v>
      </c>
      <c r="B568" s="29" t="s">
        <v>2605</v>
      </c>
      <c r="C568" s="29" t="s">
        <v>301</v>
      </c>
      <c r="D568" s="29" t="s">
        <v>80</v>
      </c>
    </row>
    <row r="569">
      <c r="A569" s="29" t="s">
        <v>1783</v>
      </c>
      <c r="B569" s="29" t="s">
        <v>2606</v>
      </c>
      <c r="C569" s="29" t="s">
        <v>116</v>
      </c>
      <c r="D569" s="29" t="s">
        <v>80</v>
      </c>
    </row>
    <row r="570">
      <c r="A570" s="29" t="s">
        <v>1786</v>
      </c>
      <c r="B570" s="29" t="s">
        <v>2607</v>
      </c>
      <c r="C570" s="29" t="s">
        <v>216</v>
      </c>
      <c r="D570" s="29" t="s">
        <v>80</v>
      </c>
    </row>
    <row r="571">
      <c r="A571" s="29" t="s">
        <v>1789</v>
      </c>
      <c r="B571" s="29" t="s">
        <v>2608</v>
      </c>
      <c r="C571" s="29" t="s">
        <v>138</v>
      </c>
      <c r="D571" s="29" t="s">
        <v>80</v>
      </c>
    </row>
    <row r="572">
      <c r="A572" s="29" t="s">
        <v>1792</v>
      </c>
      <c r="B572" s="29" t="s">
        <v>2609</v>
      </c>
      <c r="C572" s="29" t="s">
        <v>270</v>
      </c>
      <c r="D572" s="29" t="s">
        <v>80</v>
      </c>
    </row>
    <row r="573">
      <c r="A573" s="29" t="s">
        <v>1795</v>
      </c>
      <c r="B573" s="29" t="s">
        <v>2610</v>
      </c>
      <c r="C573" s="29" t="s">
        <v>116</v>
      </c>
      <c r="D573" s="29" t="s">
        <v>80</v>
      </c>
    </row>
    <row r="574">
      <c r="A574" s="29" t="s">
        <v>1798</v>
      </c>
      <c r="B574" s="29" t="s">
        <v>2611</v>
      </c>
      <c r="C574" s="29" t="s">
        <v>301</v>
      </c>
      <c r="D574" s="29" t="s">
        <v>80</v>
      </c>
    </row>
    <row r="575">
      <c r="A575" s="29" t="s">
        <v>1801</v>
      </c>
      <c r="B575" s="29" t="s">
        <v>2612</v>
      </c>
      <c r="C575" s="29" t="s">
        <v>126</v>
      </c>
      <c r="D575" s="29" t="s">
        <v>80</v>
      </c>
    </row>
    <row r="576">
      <c r="A576" s="29" t="s">
        <v>1804</v>
      </c>
      <c r="B576" s="29" t="s">
        <v>2613</v>
      </c>
      <c r="C576" s="29" t="s">
        <v>144</v>
      </c>
      <c r="D576" s="29" t="s">
        <v>80</v>
      </c>
    </row>
    <row r="577">
      <c r="A577" s="29" t="s">
        <v>1807</v>
      </c>
      <c r="B577" s="29" t="s">
        <v>2614</v>
      </c>
      <c r="C577" s="29" t="s">
        <v>2150</v>
      </c>
      <c r="D577" s="29" t="s">
        <v>80</v>
      </c>
    </row>
    <row r="578">
      <c r="A578" s="29" t="s">
        <v>1810</v>
      </c>
      <c r="B578" s="29" t="s">
        <v>2615</v>
      </c>
      <c r="C578" s="29" t="s">
        <v>81</v>
      </c>
      <c r="D578" s="29" t="s">
        <v>80</v>
      </c>
    </row>
    <row r="579">
      <c r="A579" s="29" t="s">
        <v>1813</v>
      </c>
      <c r="B579" s="29" t="s">
        <v>2616</v>
      </c>
      <c r="C579" s="29" t="s">
        <v>529</v>
      </c>
      <c r="D579" s="29" t="s">
        <v>80</v>
      </c>
    </row>
    <row r="580">
      <c r="A580" s="29" t="s">
        <v>1816</v>
      </c>
      <c r="B580" s="29" t="s">
        <v>2617</v>
      </c>
      <c r="C580" s="29" t="s">
        <v>126</v>
      </c>
      <c r="D580" s="29" t="s">
        <v>80</v>
      </c>
    </row>
    <row r="581">
      <c r="A581" s="29" t="s">
        <v>1819</v>
      </c>
      <c r="B581" s="29" t="s">
        <v>2384</v>
      </c>
      <c r="C581" s="29" t="s">
        <v>144</v>
      </c>
      <c r="D581" s="29" t="s">
        <v>80</v>
      </c>
    </row>
    <row r="582">
      <c r="A582" s="29" t="s">
        <v>1821</v>
      </c>
      <c r="B582" s="29" t="s">
        <v>2618</v>
      </c>
      <c r="C582" s="29" t="s">
        <v>126</v>
      </c>
      <c r="D582" s="29" t="s">
        <v>80</v>
      </c>
    </row>
    <row r="583">
      <c r="A583" s="29" t="s">
        <v>1824</v>
      </c>
      <c r="B583" s="29" t="s">
        <v>2619</v>
      </c>
      <c r="C583" s="29" t="s">
        <v>92</v>
      </c>
      <c r="D583" s="29" t="s">
        <v>80</v>
      </c>
    </row>
    <row r="584">
      <c r="A584" s="29" t="s">
        <v>1827</v>
      </c>
      <c r="B584" s="29" t="s">
        <v>2620</v>
      </c>
      <c r="C584" s="29" t="s">
        <v>120</v>
      </c>
      <c r="D584" s="29" t="s">
        <v>80</v>
      </c>
    </row>
    <row r="585">
      <c r="A585" s="29" t="s">
        <v>1830</v>
      </c>
      <c r="B585" s="29" t="s">
        <v>2621</v>
      </c>
      <c r="C585" s="29" t="s">
        <v>216</v>
      </c>
      <c r="D585" s="29" t="s">
        <v>80</v>
      </c>
    </row>
    <row r="586">
      <c r="A586" s="29" t="s">
        <v>2622</v>
      </c>
      <c r="B586" s="29" t="s">
        <v>2623</v>
      </c>
      <c r="C586" s="29" t="s">
        <v>285</v>
      </c>
      <c r="D586" s="29" t="s">
        <v>80</v>
      </c>
    </row>
    <row r="587">
      <c r="A587" s="29" t="s">
        <v>1833</v>
      </c>
      <c r="B587" s="29" t="s">
        <v>2624</v>
      </c>
      <c r="C587" s="29" t="s">
        <v>102</v>
      </c>
      <c r="D587" s="29" t="s">
        <v>80</v>
      </c>
    </row>
    <row r="588">
      <c r="A588" s="29" t="s">
        <v>1836</v>
      </c>
      <c r="B588" s="29" t="s">
        <v>2625</v>
      </c>
      <c r="C588" s="29" t="s">
        <v>126</v>
      </c>
      <c r="D588" s="29" t="s">
        <v>80</v>
      </c>
    </row>
    <row r="589">
      <c r="A589" s="29" t="s">
        <v>1839</v>
      </c>
      <c r="B589" s="29" t="s">
        <v>2626</v>
      </c>
      <c r="C589" s="29" t="s">
        <v>138</v>
      </c>
      <c r="D589" s="29" t="s">
        <v>80</v>
      </c>
    </row>
    <row r="590">
      <c r="A590" s="29" t="s">
        <v>1842</v>
      </c>
      <c r="B590" s="29" t="s">
        <v>2627</v>
      </c>
      <c r="C590" s="29" t="s">
        <v>19</v>
      </c>
      <c r="D590" s="29" t="s">
        <v>19</v>
      </c>
    </row>
    <row r="591">
      <c r="A591" s="29" t="s">
        <v>1845</v>
      </c>
      <c r="B591" s="29" t="s">
        <v>2065</v>
      </c>
      <c r="C591" s="29" t="s">
        <v>19</v>
      </c>
      <c r="D591" s="29" t="s">
        <v>19</v>
      </c>
    </row>
    <row r="592">
      <c r="A592" s="29" t="s">
        <v>1847</v>
      </c>
      <c r="B592" s="29" t="s">
        <v>2628</v>
      </c>
      <c r="C592" s="29" t="s">
        <v>19</v>
      </c>
      <c r="D592" s="29" t="s">
        <v>19</v>
      </c>
    </row>
    <row r="593">
      <c r="A593" s="29" t="s">
        <v>1850</v>
      </c>
      <c r="B593" s="29" t="s">
        <v>2629</v>
      </c>
      <c r="C593" s="29" t="s">
        <v>116</v>
      </c>
      <c r="D593" s="29" t="s">
        <v>80</v>
      </c>
    </row>
    <row r="594">
      <c r="A594" s="29" t="s">
        <v>1853</v>
      </c>
      <c r="B594" s="29" t="s">
        <v>2630</v>
      </c>
      <c r="C594" s="29" t="s">
        <v>19</v>
      </c>
      <c r="D594" s="29" t="s">
        <v>19</v>
      </c>
    </row>
    <row r="595">
      <c r="A595" s="29" t="s">
        <v>1856</v>
      </c>
      <c r="B595" s="29" t="s">
        <v>2631</v>
      </c>
      <c r="C595" s="29" t="s">
        <v>19</v>
      </c>
      <c r="D595" s="29" t="s">
        <v>19</v>
      </c>
    </row>
    <row r="596">
      <c r="A596" s="29" t="s">
        <v>1859</v>
      </c>
      <c r="B596" s="29" t="s">
        <v>2632</v>
      </c>
      <c r="C596" s="29" t="s">
        <v>138</v>
      </c>
      <c r="D596" s="29" t="s">
        <v>80</v>
      </c>
    </row>
    <row r="597">
      <c r="A597" s="29" t="s">
        <v>1862</v>
      </c>
      <c r="B597" s="29" t="s">
        <v>2633</v>
      </c>
      <c r="C597" s="29" t="s">
        <v>116</v>
      </c>
      <c r="D597" s="29" t="s">
        <v>80</v>
      </c>
    </row>
    <row r="598">
      <c r="A598" s="29" t="s">
        <v>1865</v>
      </c>
      <c r="B598" s="29" t="s">
        <v>2634</v>
      </c>
      <c r="C598" s="29" t="s">
        <v>138</v>
      </c>
      <c r="D598" s="29" t="s">
        <v>80</v>
      </c>
    </row>
    <row r="599">
      <c r="A599" s="29" t="s">
        <v>1868</v>
      </c>
      <c r="B599" s="29" t="s">
        <v>2635</v>
      </c>
      <c r="C599" s="29" t="s">
        <v>97</v>
      </c>
      <c r="D599" s="29" t="s">
        <v>80</v>
      </c>
    </row>
    <row r="600">
      <c r="A600" s="29" t="s">
        <v>1871</v>
      </c>
      <c r="B600" s="29" t="s">
        <v>2636</v>
      </c>
      <c r="C600" s="29" t="s">
        <v>102</v>
      </c>
      <c r="D600" s="29" t="s">
        <v>80</v>
      </c>
    </row>
    <row r="601">
      <c r="A601" s="29" t="s">
        <v>1874</v>
      </c>
      <c r="B601" s="29" t="s">
        <v>2637</v>
      </c>
      <c r="C601" s="29" t="s">
        <v>116</v>
      </c>
      <c r="D601" s="29" t="s">
        <v>80</v>
      </c>
    </row>
    <row r="602">
      <c r="A602" s="29" t="s">
        <v>1877</v>
      </c>
      <c r="B602" s="29" t="s">
        <v>2638</v>
      </c>
      <c r="C602" s="29" t="s">
        <v>126</v>
      </c>
      <c r="D602" s="29" t="s">
        <v>80</v>
      </c>
    </row>
    <row r="603">
      <c r="A603" s="29" t="s">
        <v>1880</v>
      </c>
      <c r="B603" s="29" t="s">
        <v>2639</v>
      </c>
      <c r="C603" s="29" t="s">
        <v>120</v>
      </c>
      <c r="D603" s="29" t="s">
        <v>80</v>
      </c>
    </row>
    <row r="604">
      <c r="A604" s="29" t="s">
        <v>1883</v>
      </c>
      <c r="B604" s="29" t="s">
        <v>2640</v>
      </c>
      <c r="C604" s="29" t="s">
        <v>529</v>
      </c>
      <c r="D604" s="29" t="s">
        <v>80</v>
      </c>
    </row>
    <row r="605">
      <c r="A605" s="29" t="s">
        <v>1886</v>
      </c>
      <c r="B605" s="29" t="s">
        <v>2641</v>
      </c>
      <c r="C605" s="29" t="s">
        <v>126</v>
      </c>
      <c r="D605" s="29" t="s">
        <v>80</v>
      </c>
    </row>
    <row r="606">
      <c r="A606" s="29" t="s">
        <v>1889</v>
      </c>
      <c r="B606" s="29" t="s">
        <v>2642</v>
      </c>
      <c r="C606" s="29" t="s">
        <v>216</v>
      </c>
      <c r="D606" s="29" t="s">
        <v>80</v>
      </c>
    </row>
    <row r="607">
      <c r="A607" s="29" t="s">
        <v>1892</v>
      </c>
      <c r="B607" s="29" t="s">
        <v>2643</v>
      </c>
      <c r="C607" s="29" t="s">
        <v>144</v>
      </c>
      <c r="D607" s="29" t="s">
        <v>80</v>
      </c>
    </row>
    <row r="608">
      <c r="A608" s="29" t="s">
        <v>1895</v>
      </c>
      <c r="B608" s="29" t="s">
        <v>2644</v>
      </c>
      <c r="C608" s="29" t="s">
        <v>81</v>
      </c>
      <c r="D608" s="29" t="s">
        <v>80</v>
      </c>
    </row>
    <row r="609">
      <c r="A609" s="29" t="s">
        <v>1898</v>
      </c>
      <c r="B609" s="29" t="s">
        <v>2645</v>
      </c>
      <c r="C609" s="29" t="s">
        <v>144</v>
      </c>
      <c r="D609" s="29" t="s">
        <v>80</v>
      </c>
    </row>
    <row r="610">
      <c r="A610" s="29" t="s">
        <v>1901</v>
      </c>
      <c r="B610" s="29" t="s">
        <v>2646</v>
      </c>
      <c r="C610" s="29" t="s">
        <v>263</v>
      </c>
      <c r="D610" s="29" t="s">
        <v>80</v>
      </c>
    </row>
    <row r="611">
      <c r="A611" s="29" t="s">
        <v>1904</v>
      </c>
      <c r="B611" s="29" t="s">
        <v>2647</v>
      </c>
      <c r="C611" s="29" t="s">
        <v>270</v>
      </c>
      <c r="D611" s="29" t="s">
        <v>80</v>
      </c>
    </row>
    <row r="612">
      <c r="A612" s="29" t="s">
        <v>1907</v>
      </c>
      <c r="B612" s="29" t="s">
        <v>2648</v>
      </c>
      <c r="C612" s="29" t="s">
        <v>216</v>
      </c>
      <c r="D612" s="29" t="s">
        <v>80</v>
      </c>
    </row>
    <row r="613">
      <c r="A613" s="29" t="s">
        <v>1910</v>
      </c>
      <c r="B613" s="29" t="s">
        <v>2649</v>
      </c>
      <c r="C613" s="29" t="s">
        <v>120</v>
      </c>
      <c r="D613" s="29" t="s">
        <v>80</v>
      </c>
    </row>
    <row r="614">
      <c r="A614" s="29" t="s">
        <v>1913</v>
      </c>
      <c r="B614" s="29" t="s">
        <v>2650</v>
      </c>
      <c r="C614" s="29" t="s">
        <v>108</v>
      </c>
      <c r="D614" s="29" t="s">
        <v>80</v>
      </c>
    </row>
    <row r="615">
      <c r="A615" s="29" t="s">
        <v>1916</v>
      </c>
      <c r="B615" s="29" t="s">
        <v>2651</v>
      </c>
      <c r="C615" s="29" t="s">
        <v>186</v>
      </c>
      <c r="D615" s="29" t="s">
        <v>80</v>
      </c>
    </row>
    <row r="616">
      <c r="A616" s="29" t="s">
        <v>1919</v>
      </c>
      <c r="B616" s="29" t="s">
        <v>2652</v>
      </c>
      <c r="C616" s="29" t="s">
        <v>216</v>
      </c>
      <c r="D616" s="29" t="s">
        <v>80</v>
      </c>
    </row>
    <row r="617">
      <c r="A617" s="29" t="s">
        <v>1922</v>
      </c>
      <c r="B617" s="29" t="s">
        <v>2653</v>
      </c>
      <c r="C617" s="29" t="s">
        <v>126</v>
      </c>
      <c r="D617" s="29" t="s">
        <v>80</v>
      </c>
    </row>
    <row r="618">
      <c r="A618" s="29" t="s">
        <v>1925</v>
      </c>
      <c r="B618" s="29" t="s">
        <v>2654</v>
      </c>
      <c r="C618" s="29" t="s">
        <v>186</v>
      </c>
      <c r="D618" s="29" t="s">
        <v>80</v>
      </c>
    </row>
    <row r="619">
      <c r="A619" s="29" t="s">
        <v>1928</v>
      </c>
      <c r="B619" s="29" t="s">
        <v>2655</v>
      </c>
      <c r="C619" s="29" t="s">
        <v>108</v>
      </c>
      <c r="D619" s="29" t="s">
        <v>80</v>
      </c>
    </row>
    <row r="620">
      <c r="A620" s="29" t="s">
        <v>1931</v>
      </c>
      <c r="B620" s="29" t="s">
        <v>2656</v>
      </c>
      <c r="C620" s="29" t="s">
        <v>81</v>
      </c>
      <c r="D620" s="29" t="s">
        <v>80</v>
      </c>
    </row>
    <row r="621">
      <c r="A621" s="29" t="s">
        <v>1934</v>
      </c>
      <c r="B621" s="29" t="s">
        <v>2657</v>
      </c>
      <c r="C621" s="29" t="s">
        <v>81</v>
      </c>
      <c r="D621" s="29" t="s">
        <v>80</v>
      </c>
    </row>
    <row r="622">
      <c r="A622" s="29" t="s">
        <v>1937</v>
      </c>
      <c r="B622" s="29" t="s">
        <v>2658</v>
      </c>
      <c r="C622" s="29" t="s">
        <v>529</v>
      </c>
      <c r="D622" s="29" t="s">
        <v>80</v>
      </c>
    </row>
    <row r="623">
      <c r="A623" s="29" t="s">
        <v>1940</v>
      </c>
      <c r="B623" s="29" t="s">
        <v>2659</v>
      </c>
      <c r="C623" s="29" t="s">
        <v>529</v>
      </c>
      <c r="D623" s="29" t="s">
        <v>80</v>
      </c>
    </row>
    <row r="624">
      <c r="A624" s="29" t="s">
        <v>1943</v>
      </c>
      <c r="B624" s="29" t="s">
        <v>2660</v>
      </c>
      <c r="C624" s="29" t="s">
        <v>97</v>
      </c>
      <c r="D624" s="29" t="s">
        <v>80</v>
      </c>
    </row>
    <row r="625">
      <c r="A625" s="29" t="s">
        <v>1946</v>
      </c>
      <c r="B625" s="29" t="s">
        <v>2110</v>
      </c>
      <c r="C625" s="29" t="s">
        <v>263</v>
      </c>
      <c r="D625" s="29" t="s">
        <v>80</v>
      </c>
    </row>
    <row r="626">
      <c r="A626" s="29" t="s">
        <v>1948</v>
      </c>
      <c r="B626" s="29" t="s">
        <v>2661</v>
      </c>
      <c r="C626" s="29" t="s">
        <v>120</v>
      </c>
      <c r="D626" s="29" t="s">
        <v>80</v>
      </c>
    </row>
    <row r="627">
      <c r="A627" s="29" t="s">
        <v>1951</v>
      </c>
      <c r="B627" s="29" t="s">
        <v>2662</v>
      </c>
      <c r="C627" s="29" t="s">
        <v>120</v>
      </c>
      <c r="D627" s="29" t="s">
        <v>80</v>
      </c>
    </row>
    <row r="628">
      <c r="A628" s="29" t="s">
        <v>1954</v>
      </c>
      <c r="B628" s="29" t="s">
        <v>2335</v>
      </c>
      <c r="C628" s="29" t="s">
        <v>108</v>
      </c>
      <c r="D628" s="29" t="s">
        <v>80</v>
      </c>
    </row>
    <row r="629">
      <c r="A629" s="29" t="s">
        <v>1956</v>
      </c>
      <c r="B629" s="29" t="s">
        <v>2663</v>
      </c>
      <c r="C629" s="29" t="s">
        <v>216</v>
      </c>
      <c r="D629" s="29" t="s">
        <v>80</v>
      </c>
    </row>
    <row r="630">
      <c r="A630" s="29" t="s">
        <v>1959</v>
      </c>
      <c r="B630" s="29" t="s">
        <v>2664</v>
      </c>
      <c r="C630" s="29" t="s">
        <v>426</v>
      </c>
      <c r="D630" s="29" t="s">
        <v>19</v>
      </c>
    </row>
    <row r="631">
      <c r="A631" s="29" t="s">
        <v>1962</v>
      </c>
      <c r="B631" s="29" t="s">
        <v>2665</v>
      </c>
      <c r="C631" s="29" t="s">
        <v>426</v>
      </c>
      <c r="D631" s="29" t="s">
        <v>19</v>
      </c>
    </row>
    <row r="632">
      <c r="A632" s="29" t="s">
        <v>1965</v>
      </c>
      <c r="B632" s="29" t="s">
        <v>2666</v>
      </c>
      <c r="C632" s="29" t="s">
        <v>426</v>
      </c>
      <c r="D632" s="29" t="s">
        <v>19</v>
      </c>
    </row>
    <row r="633">
      <c r="A633" s="29" t="s">
        <v>1968</v>
      </c>
      <c r="B633" s="29" t="s">
        <v>2667</v>
      </c>
      <c r="C633" s="29" t="s">
        <v>426</v>
      </c>
      <c r="D633" s="29" t="s">
        <v>19</v>
      </c>
    </row>
    <row r="634">
      <c r="A634" s="29" t="s">
        <v>1971</v>
      </c>
      <c r="B634" s="29" t="s">
        <v>2668</v>
      </c>
      <c r="C634" s="29" t="s">
        <v>426</v>
      </c>
      <c r="D634" s="29" t="s">
        <v>19</v>
      </c>
    </row>
    <row r="635">
      <c r="A635" s="29" t="s">
        <v>1974</v>
      </c>
      <c r="B635" s="29" t="s">
        <v>2669</v>
      </c>
      <c r="C635" s="29" t="s">
        <v>426</v>
      </c>
      <c r="D635" s="29" t="s">
        <v>19</v>
      </c>
    </row>
    <row r="636">
      <c r="A636" s="29" t="s">
        <v>1977</v>
      </c>
      <c r="B636" s="29" t="s">
        <v>2670</v>
      </c>
      <c r="C636" s="29" t="s">
        <v>426</v>
      </c>
      <c r="D636" s="29" t="s">
        <v>19</v>
      </c>
    </row>
    <row r="637">
      <c r="A637" s="29" t="s">
        <v>1980</v>
      </c>
      <c r="B637" s="29" t="s">
        <v>2671</v>
      </c>
      <c r="C637" s="29" t="s">
        <v>426</v>
      </c>
      <c r="D637" s="29" t="s">
        <v>19</v>
      </c>
    </row>
    <row r="638">
      <c r="A638" s="29" t="s">
        <v>1983</v>
      </c>
      <c r="B638" s="29" t="s">
        <v>2672</v>
      </c>
      <c r="C638" s="29" t="s">
        <v>426</v>
      </c>
      <c r="D638" s="29" t="s">
        <v>19</v>
      </c>
    </row>
    <row r="639">
      <c r="A639" s="29" t="s">
        <v>1986</v>
      </c>
      <c r="B639" s="29" t="s">
        <v>2673</v>
      </c>
      <c r="C639" s="29" t="s">
        <v>426</v>
      </c>
      <c r="D639" s="29" t="s">
        <v>19</v>
      </c>
    </row>
    <row r="640">
      <c r="A640" s="29" t="s">
        <v>1989</v>
      </c>
      <c r="B640" s="29" t="s">
        <v>2674</v>
      </c>
      <c r="C640" s="29" t="s">
        <v>426</v>
      </c>
      <c r="D640" s="29" t="s">
        <v>19</v>
      </c>
    </row>
    <row r="641">
      <c r="A641" s="29" t="s">
        <v>1992</v>
      </c>
      <c r="B641" s="29" t="s">
        <v>2675</v>
      </c>
      <c r="C641" s="29" t="s">
        <v>426</v>
      </c>
      <c r="D641" s="29" t="s">
        <v>19</v>
      </c>
    </row>
    <row r="642">
      <c r="A642" s="29" t="s">
        <v>1995</v>
      </c>
      <c r="B642" s="29" t="s">
        <v>2676</v>
      </c>
      <c r="C642" s="29" t="s">
        <v>426</v>
      </c>
      <c r="D642" s="29" t="s">
        <v>19</v>
      </c>
    </row>
    <row r="643">
      <c r="A643" s="29" t="s">
        <v>1998</v>
      </c>
      <c r="B643" s="29" t="s">
        <v>2677</v>
      </c>
      <c r="C643" s="29" t="s">
        <v>426</v>
      </c>
      <c r="D643" s="29" t="s">
        <v>19</v>
      </c>
    </row>
    <row r="644">
      <c r="A644" s="29" t="s">
        <v>2001</v>
      </c>
      <c r="B644" s="29" t="s">
        <v>2678</v>
      </c>
      <c r="C644" s="29" t="s">
        <v>426</v>
      </c>
      <c r="D644" s="29" t="s">
        <v>19</v>
      </c>
    </row>
    <row r="645">
      <c r="A645" s="29" t="s">
        <v>2004</v>
      </c>
      <c r="B645" s="29" t="s">
        <v>2679</v>
      </c>
      <c r="C645" s="29" t="s">
        <v>426</v>
      </c>
      <c r="D645" s="29" t="s">
        <v>19</v>
      </c>
    </row>
    <row r="646">
      <c r="A646" s="29" t="s">
        <v>2007</v>
      </c>
      <c r="B646" s="29" t="s">
        <v>2680</v>
      </c>
      <c r="C646" s="29" t="s">
        <v>426</v>
      </c>
      <c r="D646" s="29" t="s">
        <v>19</v>
      </c>
    </row>
    <row r="647">
      <c r="A647" s="29" t="s">
        <v>2010</v>
      </c>
      <c r="B647" s="29" t="s">
        <v>2681</v>
      </c>
      <c r="C647" s="29" t="s">
        <v>92</v>
      </c>
      <c r="D647" s="29" t="s">
        <v>80</v>
      </c>
    </row>
    <row r="648">
      <c r="A648" s="29" t="s">
        <v>2013</v>
      </c>
      <c r="B648" s="29" t="s">
        <v>2682</v>
      </c>
      <c r="C648" s="29" t="s">
        <v>231</v>
      </c>
      <c r="D648" s="29" t="s">
        <v>80</v>
      </c>
    </row>
    <row r="649">
      <c r="A649" s="29" t="s">
        <v>2016</v>
      </c>
      <c r="B649" s="29" t="s">
        <v>2683</v>
      </c>
      <c r="C649" s="29" t="s">
        <v>108</v>
      </c>
      <c r="D649" s="29" t="s">
        <v>80</v>
      </c>
    </row>
    <row r="650">
      <c r="A650" s="29" t="s">
        <v>2019</v>
      </c>
      <c r="B650" s="29" t="s">
        <v>2684</v>
      </c>
      <c r="C650" s="29" t="s">
        <v>529</v>
      </c>
      <c r="D650" s="29" t="s">
        <v>80</v>
      </c>
    </row>
    <row r="651">
      <c r="A651" s="29"/>
      <c r="B651" s="29"/>
      <c r="C651" s="29"/>
      <c r="D651" s="29"/>
    </row>
    <row r="652">
      <c r="A652" s="29"/>
      <c r="B652" s="29"/>
      <c r="C652" s="29"/>
      <c r="D652" s="29"/>
    </row>
    <row r="653">
      <c r="A653" s="29"/>
      <c r="B653" s="29"/>
      <c r="C653" s="29"/>
      <c r="D653" s="29"/>
    </row>
    <row r="654">
      <c r="A654" s="29"/>
      <c r="B654" s="29"/>
      <c r="C654" s="29"/>
      <c r="D654" s="29"/>
    </row>
    <row r="655">
      <c r="A655" s="29"/>
      <c r="B655" s="29"/>
      <c r="C655" s="29"/>
      <c r="D655" s="29"/>
    </row>
    <row r="656">
      <c r="A656" s="29"/>
      <c r="B656" s="29"/>
      <c r="C656" s="29"/>
      <c r="D656" s="29"/>
    </row>
    <row r="657">
      <c r="A657" s="29"/>
      <c r="B657" s="29"/>
      <c r="C657" s="29"/>
      <c r="D657" s="29"/>
    </row>
    <row r="658">
      <c r="A658" s="29"/>
      <c r="B658" s="29"/>
      <c r="C658" s="29"/>
      <c r="D658" s="29"/>
    </row>
    <row r="659">
      <c r="A659" s="29"/>
      <c r="B659" s="29"/>
      <c r="C659" s="29"/>
      <c r="D659" s="29"/>
    </row>
    <row r="660">
      <c r="A660" s="29"/>
      <c r="B660" s="29"/>
      <c r="C660" s="29"/>
      <c r="D660" s="29"/>
    </row>
    <row r="661">
      <c r="A661" s="29"/>
      <c r="B661" s="29"/>
      <c r="C661" s="29"/>
      <c r="D661" s="29"/>
    </row>
    <row r="662">
      <c r="A662" s="29"/>
      <c r="B662" s="29"/>
      <c r="C662" s="29"/>
      <c r="D662" s="29"/>
    </row>
    <row r="663">
      <c r="A663" s="29"/>
      <c r="B663" s="29"/>
      <c r="C663" s="29"/>
      <c r="D663" s="29"/>
    </row>
    <row r="664">
      <c r="A664" s="29"/>
      <c r="B664" s="29"/>
      <c r="C664" s="29"/>
      <c r="D664" s="29"/>
    </row>
    <row r="665">
      <c r="A665" s="29"/>
      <c r="B665" s="29"/>
      <c r="C665" s="29"/>
      <c r="D665" s="29"/>
    </row>
    <row r="666">
      <c r="A666" s="29"/>
      <c r="B666" s="29"/>
      <c r="C666" s="29"/>
      <c r="D666" s="29"/>
    </row>
    <row r="667">
      <c r="A667" s="29"/>
      <c r="B667" s="29"/>
      <c r="C667" s="29"/>
      <c r="D667" s="29"/>
    </row>
    <row r="668">
      <c r="A668" s="29"/>
      <c r="B668" s="29"/>
      <c r="C668" s="29"/>
      <c r="D668" s="29"/>
    </row>
    <row r="669">
      <c r="A669" s="29"/>
      <c r="B669" s="29"/>
      <c r="C669" s="29"/>
      <c r="D669" s="29"/>
    </row>
    <row r="670">
      <c r="A670" s="29"/>
      <c r="B670" s="29"/>
      <c r="C670" s="29"/>
      <c r="D670" s="29"/>
    </row>
    <row r="671">
      <c r="A671" s="29"/>
      <c r="B671" s="29"/>
      <c r="C671" s="29"/>
      <c r="D671" s="29"/>
    </row>
    <row r="672">
      <c r="A672" s="29"/>
      <c r="B672" s="29"/>
      <c r="C672" s="29"/>
      <c r="D672" s="29"/>
    </row>
    <row r="673">
      <c r="A673" s="29"/>
      <c r="B673" s="29"/>
      <c r="C673" s="29"/>
      <c r="D673" s="29"/>
    </row>
    <row r="674">
      <c r="A674" s="29"/>
      <c r="B674" s="29"/>
      <c r="C674" s="29"/>
      <c r="D674" s="29"/>
    </row>
    <row r="675">
      <c r="A675" s="29"/>
      <c r="B675" s="29"/>
      <c r="C675" s="29"/>
      <c r="D675" s="29"/>
    </row>
    <row r="676">
      <c r="A676" s="29"/>
      <c r="B676" s="29"/>
      <c r="C676" s="29"/>
      <c r="D676" s="29"/>
    </row>
    <row r="677">
      <c r="A677" s="29"/>
      <c r="B677" s="29"/>
      <c r="C677" s="29"/>
      <c r="D677" s="29"/>
    </row>
    <row r="678">
      <c r="A678" s="29"/>
      <c r="B678" s="29"/>
      <c r="C678" s="29"/>
      <c r="D678" s="29"/>
    </row>
    <row r="679">
      <c r="A679" s="29"/>
      <c r="B679" s="29"/>
      <c r="C679" s="29"/>
      <c r="D679" s="29"/>
    </row>
    <row r="680">
      <c r="A680" s="29"/>
      <c r="B680" s="29"/>
      <c r="C680" s="29"/>
      <c r="D680" s="29"/>
    </row>
    <row r="681">
      <c r="A681" s="29"/>
      <c r="B681" s="29"/>
      <c r="C681" s="29"/>
      <c r="D681" s="29"/>
    </row>
    <row r="682">
      <c r="A682" s="29"/>
      <c r="B682" s="29"/>
      <c r="C682" s="29"/>
      <c r="D682" s="29"/>
    </row>
    <row r="683">
      <c r="A683" s="29"/>
      <c r="B683" s="29"/>
      <c r="C683" s="29"/>
      <c r="D683" s="29"/>
    </row>
    <row r="684">
      <c r="A684" s="29"/>
      <c r="B684" s="29"/>
      <c r="C684" s="29"/>
      <c r="D684" s="29"/>
    </row>
    <row r="685">
      <c r="A685" s="29"/>
      <c r="B685" s="29"/>
      <c r="C685" s="29"/>
      <c r="D685" s="29"/>
    </row>
    <row r="686">
      <c r="A686" s="29"/>
      <c r="B686" s="29"/>
      <c r="C686" s="29"/>
      <c r="D686" s="29"/>
    </row>
    <row r="687">
      <c r="A687" s="29"/>
      <c r="B687" s="29"/>
      <c r="C687" s="29"/>
      <c r="D687" s="29"/>
    </row>
    <row r="688">
      <c r="A688" s="29"/>
      <c r="B688" s="29"/>
      <c r="C688" s="29"/>
      <c r="D688" s="29"/>
    </row>
    <row r="689">
      <c r="A689" s="29"/>
      <c r="B689" s="29"/>
      <c r="C689" s="29"/>
      <c r="D689" s="29"/>
    </row>
    <row r="690">
      <c r="A690" s="29"/>
      <c r="B690" s="29"/>
      <c r="C690" s="29"/>
      <c r="D690" s="29"/>
    </row>
    <row r="691">
      <c r="A691" s="29"/>
      <c r="B691" s="29"/>
      <c r="C691" s="29"/>
      <c r="D691" s="29"/>
    </row>
    <row r="692">
      <c r="A692" s="29"/>
      <c r="B692" s="29"/>
      <c r="C692" s="29"/>
      <c r="D692" s="29"/>
    </row>
    <row r="693">
      <c r="A693" s="29"/>
      <c r="B693" s="29"/>
      <c r="C693" s="29"/>
      <c r="D693" s="29"/>
    </row>
    <row r="694">
      <c r="A694" s="29"/>
      <c r="B694" s="29"/>
      <c r="C694" s="29"/>
      <c r="D694" s="29"/>
    </row>
    <row r="695">
      <c r="A695" s="29"/>
      <c r="B695" s="29"/>
      <c r="C695" s="29"/>
      <c r="D695" s="29"/>
    </row>
    <row r="696">
      <c r="A696" s="29"/>
      <c r="B696" s="29"/>
      <c r="C696" s="29"/>
      <c r="D696" s="29"/>
    </row>
    <row r="697">
      <c r="A697" s="29"/>
      <c r="B697" s="29"/>
      <c r="C697" s="29"/>
      <c r="D697" s="29"/>
    </row>
    <row r="698">
      <c r="A698" s="29"/>
      <c r="B698" s="29"/>
      <c r="C698" s="29"/>
      <c r="D698" s="29"/>
    </row>
    <row r="699">
      <c r="A699" s="29"/>
      <c r="B699" s="29"/>
      <c r="C699" s="29"/>
      <c r="D699" s="29"/>
    </row>
    <row r="700">
      <c r="A700" s="29"/>
      <c r="B700" s="29"/>
      <c r="C700" s="29"/>
      <c r="D700" s="29"/>
    </row>
    <row r="701">
      <c r="A701" s="29"/>
      <c r="B701" s="29"/>
      <c r="C701" s="29"/>
      <c r="D701" s="29"/>
    </row>
    <row r="702">
      <c r="A702" s="29"/>
      <c r="B702" s="29"/>
      <c r="C702" s="29"/>
      <c r="D702" s="29"/>
    </row>
    <row r="703">
      <c r="A703" s="29"/>
      <c r="B703" s="29"/>
      <c r="C703" s="29"/>
      <c r="D703" s="29"/>
    </row>
    <row r="704">
      <c r="A704" s="29"/>
      <c r="B704" s="29"/>
      <c r="C704" s="29"/>
      <c r="D704" s="29"/>
    </row>
    <row r="705">
      <c r="A705" s="29"/>
      <c r="B705" s="29"/>
      <c r="C705" s="29"/>
      <c r="D705" s="29"/>
    </row>
    <row r="706">
      <c r="A706" s="29"/>
      <c r="B706" s="29"/>
      <c r="C706" s="29"/>
      <c r="D706" s="29"/>
    </row>
    <row r="707">
      <c r="A707" s="29"/>
      <c r="B707" s="29"/>
      <c r="C707" s="29"/>
      <c r="D707" s="29"/>
    </row>
    <row r="708">
      <c r="A708" s="29"/>
      <c r="B708" s="29"/>
      <c r="C708" s="29"/>
      <c r="D708" s="29"/>
    </row>
    <row r="709">
      <c r="A709" s="29"/>
      <c r="B709" s="29"/>
      <c r="C709" s="29"/>
      <c r="D709" s="29"/>
    </row>
    <row r="710">
      <c r="A710" s="29"/>
      <c r="B710" s="29"/>
      <c r="C710" s="29"/>
      <c r="D710" s="29"/>
    </row>
    <row r="711">
      <c r="A711" s="29"/>
      <c r="B711" s="29"/>
      <c r="C711" s="29"/>
      <c r="D711" s="29"/>
    </row>
    <row r="712">
      <c r="A712" s="29"/>
      <c r="B712" s="29"/>
      <c r="C712" s="29"/>
      <c r="D712" s="29"/>
    </row>
    <row r="713">
      <c r="A713" s="29"/>
      <c r="B713" s="29"/>
      <c r="C713" s="29"/>
      <c r="D713" s="29"/>
    </row>
    <row r="714">
      <c r="A714" s="29"/>
      <c r="B714" s="29"/>
      <c r="C714" s="29"/>
      <c r="D714" s="29"/>
    </row>
    <row r="715">
      <c r="A715" s="29"/>
      <c r="B715" s="29"/>
      <c r="C715" s="29"/>
      <c r="D715" s="29"/>
    </row>
    <row r="716">
      <c r="A716" s="29"/>
      <c r="B716" s="29"/>
      <c r="C716" s="29"/>
      <c r="D716" s="29"/>
    </row>
    <row r="717">
      <c r="A717" s="29"/>
      <c r="B717" s="29"/>
      <c r="C717" s="29"/>
      <c r="D717" s="29"/>
    </row>
    <row r="718">
      <c r="A718" s="29"/>
      <c r="B718" s="29"/>
      <c r="C718" s="29"/>
      <c r="D718" s="29"/>
    </row>
    <row r="719">
      <c r="A719" s="29"/>
      <c r="B719" s="29"/>
      <c r="C719" s="29"/>
      <c r="D719" s="29"/>
    </row>
    <row r="720">
      <c r="A720" s="29"/>
      <c r="B720" s="29"/>
      <c r="C720" s="29"/>
      <c r="D720" s="29"/>
    </row>
    <row r="721">
      <c r="A721" s="29"/>
      <c r="B721" s="29"/>
      <c r="C721" s="29"/>
      <c r="D721" s="29"/>
    </row>
    <row r="722">
      <c r="A722" s="29"/>
      <c r="B722" s="29"/>
      <c r="C722" s="29"/>
      <c r="D722" s="29"/>
    </row>
    <row r="723">
      <c r="A723" s="29"/>
      <c r="B723" s="29"/>
      <c r="C723" s="29"/>
      <c r="D723" s="29"/>
    </row>
    <row r="724">
      <c r="A724" s="29"/>
      <c r="B724" s="29"/>
      <c r="C724" s="29"/>
      <c r="D724" s="29"/>
    </row>
    <row r="725">
      <c r="A725" s="29"/>
      <c r="B725" s="29"/>
      <c r="C725" s="29"/>
      <c r="D725" s="29"/>
    </row>
    <row r="726">
      <c r="A726" s="29"/>
      <c r="B726" s="29"/>
      <c r="C726" s="29"/>
      <c r="D726" s="29"/>
    </row>
    <row r="727">
      <c r="A727" s="29"/>
      <c r="B727" s="29"/>
      <c r="C727" s="29"/>
      <c r="D727" s="29"/>
    </row>
    <row r="728">
      <c r="A728" s="29"/>
      <c r="B728" s="29"/>
      <c r="C728" s="29"/>
      <c r="D728" s="29"/>
    </row>
    <row r="729">
      <c r="A729" s="29"/>
      <c r="B729" s="29"/>
      <c r="C729" s="29"/>
      <c r="D729" s="29"/>
    </row>
    <row r="730">
      <c r="A730" s="29"/>
      <c r="B730" s="29"/>
      <c r="C730" s="29"/>
      <c r="D730" s="29"/>
    </row>
    <row r="731">
      <c r="A731" s="29"/>
      <c r="B731" s="29"/>
      <c r="C731" s="29"/>
      <c r="D731" s="29"/>
    </row>
    <row r="732">
      <c r="A732" s="29"/>
      <c r="B732" s="29"/>
      <c r="C732" s="29"/>
      <c r="D732" s="29"/>
    </row>
    <row r="733">
      <c r="A733" s="29"/>
      <c r="B733" s="29"/>
      <c r="C733" s="29"/>
      <c r="D733" s="29"/>
    </row>
    <row r="734">
      <c r="A734" s="29"/>
      <c r="B734" s="29"/>
      <c r="C734" s="29"/>
      <c r="D734" s="29"/>
    </row>
    <row r="735">
      <c r="A735" s="29"/>
      <c r="B735" s="29"/>
      <c r="C735" s="29"/>
      <c r="D735" s="29"/>
    </row>
    <row r="736">
      <c r="A736" s="29"/>
      <c r="B736" s="29"/>
      <c r="C736" s="29"/>
      <c r="D736" s="29"/>
    </row>
    <row r="737">
      <c r="A737" s="29"/>
      <c r="B737" s="29"/>
      <c r="C737" s="29"/>
      <c r="D737" s="29"/>
    </row>
    <row r="738">
      <c r="A738" s="29"/>
      <c r="B738" s="29"/>
      <c r="C738" s="29"/>
      <c r="D738" s="29"/>
    </row>
    <row r="739">
      <c r="A739" s="29"/>
      <c r="B739" s="29"/>
      <c r="C739" s="29"/>
      <c r="D739" s="29"/>
    </row>
    <row r="740">
      <c r="A740" s="29"/>
      <c r="B740" s="29"/>
      <c r="C740" s="29"/>
      <c r="D740" s="29"/>
    </row>
    <row r="741">
      <c r="A741" s="29"/>
      <c r="B741" s="29"/>
      <c r="C741" s="29"/>
      <c r="D741" s="29"/>
    </row>
    <row r="742">
      <c r="A742" s="29"/>
      <c r="B742" s="29"/>
      <c r="C742" s="29"/>
      <c r="D742" s="29"/>
    </row>
    <row r="743">
      <c r="A743" s="29"/>
      <c r="B743" s="29"/>
      <c r="C743" s="29"/>
      <c r="D743" s="29"/>
    </row>
    <row r="744">
      <c r="A744" s="29"/>
      <c r="B744" s="29"/>
      <c r="C744" s="29"/>
      <c r="D744" s="29"/>
    </row>
    <row r="745">
      <c r="A745" s="29"/>
      <c r="B745" s="29"/>
      <c r="C745" s="29"/>
      <c r="D745" s="29"/>
    </row>
    <row r="746">
      <c r="A746" s="29"/>
      <c r="B746" s="29"/>
      <c r="C746" s="29"/>
      <c r="D746" s="29"/>
    </row>
    <row r="747">
      <c r="A747" s="29"/>
      <c r="B747" s="29"/>
      <c r="C747" s="29"/>
      <c r="D747" s="29"/>
    </row>
    <row r="748">
      <c r="A748" s="29"/>
      <c r="B748" s="29"/>
      <c r="C748" s="29"/>
      <c r="D748" s="29"/>
    </row>
    <row r="749">
      <c r="A749" s="29"/>
      <c r="B749" s="29"/>
      <c r="C749" s="29"/>
      <c r="D749" s="29"/>
    </row>
    <row r="750">
      <c r="A750" s="29"/>
      <c r="B750" s="29"/>
      <c r="C750" s="29"/>
      <c r="D750" s="29"/>
    </row>
    <row r="751">
      <c r="A751" s="29"/>
      <c r="B751" s="29"/>
      <c r="C751" s="29"/>
      <c r="D751" s="29"/>
    </row>
    <row r="752">
      <c r="A752" s="29"/>
      <c r="B752" s="29"/>
      <c r="C752" s="29"/>
      <c r="D752" s="29"/>
    </row>
    <row r="753">
      <c r="A753" s="29"/>
      <c r="B753" s="29"/>
      <c r="C753" s="29"/>
      <c r="D753" s="29"/>
    </row>
    <row r="754">
      <c r="A754" s="29"/>
      <c r="B754" s="29"/>
      <c r="C754" s="29"/>
      <c r="D754" s="29"/>
    </row>
    <row r="755">
      <c r="A755" s="29"/>
      <c r="B755" s="29"/>
      <c r="C755" s="29"/>
      <c r="D755" s="29"/>
    </row>
    <row r="756">
      <c r="A756" s="29"/>
      <c r="B756" s="29"/>
      <c r="C756" s="29"/>
      <c r="D756" s="29"/>
    </row>
    <row r="757">
      <c r="A757" s="29"/>
      <c r="B757" s="29"/>
      <c r="C757" s="29"/>
      <c r="D757" s="29"/>
    </row>
    <row r="758">
      <c r="A758" s="29"/>
      <c r="B758" s="29"/>
      <c r="C758" s="29"/>
      <c r="D758" s="29"/>
    </row>
    <row r="759">
      <c r="A759" s="29"/>
      <c r="B759" s="29"/>
      <c r="C759" s="29"/>
      <c r="D759" s="29"/>
    </row>
    <row r="760">
      <c r="A760" s="29"/>
      <c r="B760" s="29"/>
      <c r="C760" s="29"/>
      <c r="D760" s="29"/>
    </row>
    <row r="761">
      <c r="A761" s="29"/>
      <c r="B761" s="29"/>
      <c r="C761" s="29"/>
      <c r="D761" s="29"/>
    </row>
    <row r="762">
      <c r="A762" s="29"/>
      <c r="B762" s="29"/>
      <c r="C762" s="29"/>
      <c r="D762" s="29"/>
    </row>
    <row r="763">
      <c r="A763" s="29"/>
      <c r="B763" s="29"/>
      <c r="C763" s="29"/>
      <c r="D763" s="29"/>
    </row>
    <row r="764">
      <c r="A764" s="29"/>
      <c r="B764" s="29"/>
      <c r="C764" s="29"/>
      <c r="D764" s="29"/>
    </row>
    <row r="765">
      <c r="A765" s="29"/>
      <c r="B765" s="29"/>
      <c r="C765" s="29"/>
      <c r="D765" s="29"/>
    </row>
    <row r="766">
      <c r="A766" s="29"/>
      <c r="B766" s="29"/>
      <c r="C766" s="29"/>
      <c r="D766" s="29"/>
    </row>
    <row r="767">
      <c r="A767" s="29"/>
      <c r="B767" s="29"/>
      <c r="C767" s="29"/>
      <c r="D767" s="29"/>
    </row>
    <row r="768">
      <c r="A768" s="29"/>
      <c r="B768" s="29"/>
      <c r="C768" s="29"/>
      <c r="D768" s="29"/>
    </row>
    <row r="769">
      <c r="A769" s="29"/>
      <c r="B769" s="29"/>
      <c r="C769" s="29"/>
      <c r="D769" s="29"/>
    </row>
    <row r="770">
      <c r="A770" s="29"/>
      <c r="B770" s="29"/>
      <c r="C770" s="29"/>
      <c r="D770" s="29"/>
    </row>
    <row r="771">
      <c r="A771" s="29"/>
      <c r="B771" s="29"/>
      <c r="C771" s="29"/>
      <c r="D771" s="29"/>
    </row>
    <row r="772">
      <c r="A772" s="29"/>
      <c r="B772" s="29"/>
      <c r="C772" s="29"/>
      <c r="D772" s="29"/>
    </row>
    <row r="773">
      <c r="A773" s="29"/>
      <c r="B773" s="29"/>
      <c r="C773" s="29"/>
      <c r="D773" s="29"/>
    </row>
    <row r="774">
      <c r="A774" s="29"/>
      <c r="B774" s="29"/>
      <c r="C774" s="29"/>
      <c r="D774" s="29"/>
    </row>
    <row r="775">
      <c r="A775" s="29"/>
      <c r="B775" s="29"/>
      <c r="C775" s="29"/>
      <c r="D775" s="29"/>
    </row>
    <row r="776">
      <c r="A776" s="29"/>
      <c r="B776" s="29"/>
      <c r="C776" s="29"/>
      <c r="D776" s="29"/>
    </row>
    <row r="777">
      <c r="A777" s="29"/>
      <c r="B777" s="29"/>
      <c r="C777" s="29"/>
      <c r="D777" s="29"/>
    </row>
    <row r="778">
      <c r="A778" s="29"/>
      <c r="B778" s="29"/>
      <c r="C778" s="29"/>
      <c r="D778" s="29"/>
    </row>
    <row r="779">
      <c r="A779" s="29"/>
      <c r="B779" s="29"/>
      <c r="C779" s="29"/>
      <c r="D779" s="29"/>
    </row>
    <row r="780">
      <c r="A780" s="29"/>
      <c r="B780" s="29"/>
      <c r="C780" s="29"/>
      <c r="D780" s="29"/>
    </row>
    <row r="781">
      <c r="A781" s="29"/>
      <c r="B781" s="29"/>
      <c r="C781" s="29"/>
      <c r="D781" s="29"/>
    </row>
    <row r="782">
      <c r="A782" s="29"/>
      <c r="B782" s="29"/>
      <c r="C782" s="29"/>
      <c r="D782" s="29"/>
    </row>
    <row r="783">
      <c r="A783" s="29"/>
      <c r="B783" s="29"/>
      <c r="C783" s="29"/>
      <c r="D783" s="29"/>
    </row>
    <row r="784">
      <c r="A784" s="29"/>
      <c r="B784" s="29"/>
      <c r="C784" s="29"/>
      <c r="D784" s="29"/>
    </row>
    <row r="785">
      <c r="A785" s="29"/>
      <c r="B785" s="29"/>
      <c r="C785" s="29"/>
      <c r="D785" s="29"/>
    </row>
    <row r="786">
      <c r="A786" s="29"/>
      <c r="B786" s="29"/>
      <c r="C786" s="29"/>
      <c r="D786" s="29"/>
    </row>
    <row r="787">
      <c r="A787" s="29"/>
      <c r="B787" s="29"/>
      <c r="C787" s="29"/>
      <c r="D787" s="29"/>
    </row>
    <row r="788">
      <c r="A788" s="29"/>
      <c r="B788" s="29"/>
      <c r="C788" s="29"/>
      <c r="D788" s="29"/>
    </row>
    <row r="789">
      <c r="A789" s="29"/>
      <c r="B789" s="29"/>
      <c r="C789" s="29"/>
      <c r="D789" s="29"/>
    </row>
    <row r="790">
      <c r="A790" s="29"/>
      <c r="B790" s="29"/>
      <c r="C790" s="29"/>
      <c r="D790" s="29"/>
    </row>
    <row r="791">
      <c r="A791" s="29"/>
      <c r="B791" s="29"/>
      <c r="C791" s="29"/>
      <c r="D791" s="29"/>
    </row>
    <row r="792">
      <c r="A792" s="29"/>
      <c r="B792" s="29"/>
      <c r="C792" s="29"/>
      <c r="D792" s="29"/>
    </row>
    <row r="793">
      <c r="A793" s="29"/>
      <c r="B793" s="29"/>
      <c r="C793" s="29"/>
      <c r="D793" s="29"/>
    </row>
    <row r="794">
      <c r="A794" s="29"/>
      <c r="B794" s="29"/>
      <c r="C794" s="29"/>
      <c r="D794" s="29"/>
    </row>
    <row r="795">
      <c r="A795" s="29"/>
      <c r="B795" s="29"/>
      <c r="C795" s="29"/>
      <c r="D795" s="29"/>
    </row>
    <row r="796">
      <c r="A796" s="29"/>
      <c r="B796" s="29"/>
      <c r="C796" s="29"/>
      <c r="D796" s="29"/>
    </row>
    <row r="797">
      <c r="A797" s="29"/>
      <c r="B797" s="29"/>
      <c r="C797" s="29"/>
      <c r="D797" s="29"/>
    </row>
    <row r="798">
      <c r="A798" s="29"/>
      <c r="B798" s="29"/>
      <c r="C798" s="29"/>
      <c r="D798" s="29"/>
    </row>
    <row r="799">
      <c r="A799" s="29"/>
      <c r="B799" s="29"/>
      <c r="C799" s="29"/>
      <c r="D799" s="29"/>
    </row>
    <row r="800">
      <c r="A800" s="29"/>
      <c r="B800" s="29"/>
      <c r="C800" s="29"/>
      <c r="D800" s="29"/>
    </row>
    <row r="801">
      <c r="A801" s="29"/>
      <c r="B801" s="29"/>
      <c r="C801" s="29"/>
      <c r="D801" s="29"/>
    </row>
    <row r="802">
      <c r="A802" s="29"/>
      <c r="B802" s="29"/>
      <c r="C802" s="29"/>
      <c r="D802" s="29"/>
    </row>
    <row r="803">
      <c r="A803" s="29"/>
      <c r="B803" s="29"/>
      <c r="C803" s="29"/>
      <c r="D803" s="29"/>
    </row>
    <row r="804">
      <c r="A804" s="29"/>
      <c r="B804" s="29"/>
      <c r="C804" s="29"/>
      <c r="D804" s="29"/>
    </row>
    <row r="805">
      <c r="A805" s="29"/>
      <c r="B805" s="29"/>
      <c r="C805" s="29"/>
      <c r="D805" s="29"/>
    </row>
    <row r="806">
      <c r="A806" s="29"/>
      <c r="B806" s="29"/>
      <c r="C806" s="29"/>
      <c r="D806" s="29"/>
    </row>
    <row r="807">
      <c r="A807" s="29"/>
      <c r="B807" s="29"/>
      <c r="C807" s="29"/>
      <c r="D807" s="29"/>
    </row>
    <row r="808">
      <c r="A808" s="29"/>
      <c r="B808" s="29"/>
      <c r="C808" s="29"/>
      <c r="D808" s="29"/>
    </row>
    <row r="809">
      <c r="A809" s="29"/>
      <c r="B809" s="29"/>
      <c r="C809" s="29"/>
      <c r="D809" s="29"/>
    </row>
    <row r="810">
      <c r="A810" s="29"/>
      <c r="B810" s="29"/>
      <c r="C810" s="29"/>
      <c r="D810" s="29"/>
    </row>
    <row r="811">
      <c r="A811" s="29"/>
      <c r="B811" s="29"/>
      <c r="C811" s="29"/>
      <c r="D811" s="29"/>
    </row>
    <row r="812">
      <c r="A812" s="29"/>
      <c r="B812" s="29"/>
      <c r="C812" s="29"/>
      <c r="D812" s="29"/>
    </row>
    <row r="813">
      <c r="A813" s="29"/>
      <c r="B813" s="29"/>
      <c r="C813" s="29"/>
      <c r="D813" s="29"/>
    </row>
    <row r="814">
      <c r="A814" s="29"/>
      <c r="B814" s="29"/>
      <c r="C814" s="29"/>
      <c r="D814" s="29"/>
    </row>
    <row r="815">
      <c r="A815" s="29"/>
      <c r="B815" s="29"/>
      <c r="C815" s="29"/>
      <c r="D815" s="29"/>
    </row>
    <row r="816">
      <c r="A816" s="29"/>
      <c r="B816" s="29"/>
      <c r="C816" s="29"/>
      <c r="D816" s="29"/>
    </row>
    <row r="817">
      <c r="A817" s="29"/>
      <c r="B817" s="29"/>
      <c r="C817" s="29"/>
      <c r="D817" s="29"/>
    </row>
    <row r="818">
      <c r="A818" s="29"/>
      <c r="B818" s="29"/>
      <c r="C818" s="29"/>
      <c r="D818" s="29"/>
    </row>
    <row r="819">
      <c r="A819" s="29"/>
      <c r="B819" s="29"/>
      <c r="C819" s="29"/>
      <c r="D819" s="29"/>
    </row>
    <row r="820">
      <c r="A820" s="29"/>
      <c r="B820" s="29"/>
      <c r="C820" s="29"/>
      <c r="D820" s="29"/>
    </row>
    <row r="821">
      <c r="A821" s="29"/>
      <c r="B821" s="29"/>
      <c r="C821" s="29"/>
      <c r="D821" s="29"/>
    </row>
    <row r="822">
      <c r="A822" s="29"/>
      <c r="B822" s="29"/>
      <c r="C822" s="29"/>
      <c r="D822" s="29"/>
    </row>
    <row r="823">
      <c r="A823" s="29"/>
      <c r="B823" s="29"/>
      <c r="C823" s="29"/>
      <c r="D823" s="29"/>
    </row>
    <row r="824">
      <c r="A824" s="29"/>
      <c r="B824" s="29"/>
      <c r="C824" s="29"/>
      <c r="D824" s="29"/>
    </row>
    <row r="825">
      <c r="A825" s="29"/>
      <c r="B825" s="29"/>
      <c r="C825" s="29"/>
      <c r="D825" s="29"/>
    </row>
    <row r="826">
      <c r="A826" s="29"/>
      <c r="B826" s="29"/>
      <c r="C826" s="29"/>
      <c r="D826" s="29"/>
    </row>
    <row r="827">
      <c r="A827" s="29"/>
      <c r="B827" s="29"/>
      <c r="C827" s="29"/>
      <c r="D827" s="29"/>
    </row>
    <row r="828">
      <c r="A828" s="29"/>
      <c r="B828" s="29"/>
      <c r="C828" s="29"/>
      <c r="D828" s="29"/>
    </row>
    <row r="829">
      <c r="A829" s="29"/>
      <c r="B829" s="29"/>
      <c r="C829" s="29"/>
      <c r="D829" s="29"/>
    </row>
    <row r="830">
      <c r="A830" s="29"/>
      <c r="B830" s="29"/>
      <c r="C830" s="29"/>
      <c r="D830" s="29"/>
    </row>
    <row r="831">
      <c r="A831" s="29"/>
      <c r="B831" s="29"/>
      <c r="C831" s="29"/>
      <c r="D831" s="29"/>
    </row>
    <row r="832">
      <c r="A832" s="29"/>
      <c r="B832" s="29"/>
      <c r="C832" s="29"/>
      <c r="D832" s="29"/>
    </row>
    <row r="833">
      <c r="A833" s="29"/>
      <c r="B833" s="29"/>
      <c r="C833" s="29"/>
      <c r="D833" s="29"/>
    </row>
    <row r="834">
      <c r="A834" s="29"/>
      <c r="B834" s="29"/>
      <c r="C834" s="29"/>
      <c r="D834" s="29"/>
    </row>
    <row r="835">
      <c r="A835" s="29"/>
      <c r="B835" s="29"/>
      <c r="C835" s="29"/>
      <c r="D835" s="29"/>
    </row>
    <row r="836">
      <c r="A836" s="29"/>
      <c r="B836" s="29"/>
      <c r="C836" s="29"/>
      <c r="D836" s="29"/>
    </row>
    <row r="837">
      <c r="A837" s="29"/>
      <c r="B837" s="29"/>
      <c r="C837" s="29"/>
      <c r="D837" s="29"/>
    </row>
    <row r="838">
      <c r="A838" s="29"/>
      <c r="B838" s="29"/>
      <c r="C838" s="29"/>
      <c r="D838" s="29"/>
    </row>
    <row r="839">
      <c r="A839" s="29"/>
      <c r="B839" s="29"/>
      <c r="C839" s="29"/>
      <c r="D839" s="29"/>
    </row>
    <row r="840">
      <c r="A840" s="29"/>
      <c r="B840" s="29"/>
      <c r="C840" s="29"/>
      <c r="D840" s="29"/>
    </row>
    <row r="841">
      <c r="A841" s="29"/>
      <c r="B841" s="29"/>
      <c r="C841" s="29"/>
      <c r="D841" s="29"/>
    </row>
    <row r="842">
      <c r="A842" s="29"/>
      <c r="B842" s="29"/>
      <c r="C842" s="29"/>
      <c r="D842" s="29"/>
    </row>
    <row r="843">
      <c r="A843" s="29"/>
      <c r="B843" s="29"/>
      <c r="C843" s="29"/>
      <c r="D843" s="29"/>
    </row>
    <row r="844">
      <c r="A844" s="29"/>
      <c r="B844" s="29"/>
      <c r="C844" s="29"/>
      <c r="D844" s="29"/>
    </row>
    <row r="845">
      <c r="A845" s="29"/>
      <c r="B845" s="29"/>
      <c r="C845" s="29"/>
      <c r="D845" s="29"/>
    </row>
    <row r="846">
      <c r="A846" s="29"/>
      <c r="B846" s="29"/>
      <c r="C846" s="29"/>
      <c r="D846" s="29"/>
    </row>
    <row r="847">
      <c r="A847" s="29"/>
      <c r="B847" s="29"/>
      <c r="C847" s="29"/>
      <c r="D847" s="29"/>
    </row>
    <row r="848">
      <c r="A848" s="29"/>
      <c r="B848" s="29"/>
      <c r="C848" s="29"/>
      <c r="D848" s="29"/>
    </row>
    <row r="849">
      <c r="A849" s="29"/>
      <c r="B849" s="29"/>
      <c r="C849" s="29"/>
      <c r="D849" s="29"/>
    </row>
    <row r="850">
      <c r="A850" s="29"/>
      <c r="B850" s="29"/>
      <c r="C850" s="29"/>
      <c r="D850" s="29"/>
    </row>
    <row r="851">
      <c r="A851" s="29"/>
      <c r="B851" s="29"/>
      <c r="C851" s="29"/>
      <c r="D851" s="29"/>
    </row>
    <row r="852">
      <c r="A852" s="29"/>
      <c r="B852" s="29"/>
      <c r="C852" s="29"/>
      <c r="D852" s="29"/>
    </row>
    <row r="853">
      <c r="A853" s="29"/>
      <c r="B853" s="29"/>
      <c r="C853" s="29"/>
      <c r="D853" s="29"/>
    </row>
    <row r="854">
      <c r="A854" s="29"/>
      <c r="B854" s="29"/>
      <c r="C854" s="29"/>
      <c r="D854" s="29"/>
    </row>
    <row r="855">
      <c r="A855" s="29"/>
      <c r="B855" s="29"/>
      <c r="C855" s="29"/>
      <c r="D855" s="29"/>
    </row>
    <row r="856">
      <c r="A856" s="29"/>
      <c r="B856" s="29"/>
      <c r="C856" s="29"/>
      <c r="D856" s="29"/>
    </row>
    <row r="857">
      <c r="A857" s="29"/>
      <c r="B857" s="29"/>
      <c r="C857" s="29"/>
      <c r="D857" s="29"/>
    </row>
    <row r="858">
      <c r="A858" s="29"/>
      <c r="B858" s="29"/>
      <c r="C858" s="29"/>
      <c r="D858" s="29"/>
    </row>
    <row r="859">
      <c r="A859" s="29"/>
      <c r="B859" s="29"/>
      <c r="C859" s="29"/>
      <c r="D859" s="29"/>
    </row>
    <row r="860">
      <c r="A860" s="29"/>
      <c r="B860" s="29"/>
      <c r="C860" s="29"/>
      <c r="D860" s="29"/>
    </row>
    <row r="861">
      <c r="A861" s="29"/>
      <c r="B861" s="29"/>
      <c r="C861" s="29"/>
      <c r="D861" s="29"/>
    </row>
    <row r="862">
      <c r="A862" s="29"/>
      <c r="B862" s="29"/>
      <c r="C862" s="29"/>
      <c r="D862" s="29"/>
    </row>
    <row r="863">
      <c r="A863" s="29"/>
      <c r="B863" s="29"/>
      <c r="C863" s="29"/>
      <c r="D863" s="29"/>
    </row>
    <row r="864">
      <c r="A864" s="29"/>
      <c r="B864" s="29"/>
      <c r="C864" s="29"/>
      <c r="D864" s="29"/>
    </row>
    <row r="865">
      <c r="A865" s="29"/>
      <c r="B865" s="29"/>
      <c r="C865" s="29"/>
      <c r="D865" s="29"/>
    </row>
    <row r="866">
      <c r="A866" s="29"/>
      <c r="B866" s="29"/>
      <c r="C866" s="29"/>
      <c r="D866" s="29"/>
    </row>
    <row r="867">
      <c r="A867" s="29"/>
      <c r="B867" s="29"/>
      <c r="C867" s="29"/>
      <c r="D867" s="29"/>
    </row>
    <row r="868">
      <c r="A868" s="29"/>
      <c r="B868" s="29"/>
      <c r="C868" s="29"/>
      <c r="D868" s="29"/>
    </row>
    <row r="869">
      <c r="A869" s="29"/>
      <c r="B869" s="29"/>
      <c r="C869" s="29"/>
      <c r="D869" s="29"/>
    </row>
    <row r="870">
      <c r="A870" s="29"/>
      <c r="B870" s="29"/>
      <c r="C870" s="29"/>
      <c r="D870" s="29"/>
    </row>
    <row r="871">
      <c r="A871" s="29"/>
      <c r="B871" s="29"/>
      <c r="C871" s="29"/>
      <c r="D871" s="29"/>
    </row>
    <row r="872">
      <c r="A872" s="29"/>
      <c r="B872" s="29"/>
      <c r="C872" s="29"/>
      <c r="D872" s="29"/>
    </row>
    <row r="873">
      <c r="A873" s="29"/>
      <c r="B873" s="29"/>
      <c r="C873" s="29"/>
      <c r="D873" s="29"/>
    </row>
    <row r="874">
      <c r="A874" s="29"/>
      <c r="B874" s="29"/>
      <c r="C874" s="29"/>
      <c r="D874" s="29"/>
    </row>
    <row r="875">
      <c r="A875" s="29"/>
      <c r="B875" s="29"/>
      <c r="C875" s="29"/>
      <c r="D875" s="29"/>
    </row>
    <row r="876">
      <c r="A876" s="29"/>
      <c r="B876" s="29"/>
      <c r="C876" s="29"/>
      <c r="D876" s="29"/>
    </row>
    <row r="877">
      <c r="A877" s="29"/>
      <c r="B877" s="29"/>
      <c r="C877" s="29"/>
      <c r="D877" s="29"/>
    </row>
    <row r="878">
      <c r="A878" s="29"/>
      <c r="B878" s="29"/>
      <c r="C878" s="29"/>
      <c r="D878" s="29"/>
    </row>
    <row r="879">
      <c r="A879" s="29"/>
      <c r="B879" s="29"/>
      <c r="C879" s="29"/>
      <c r="D879" s="29"/>
    </row>
    <row r="880">
      <c r="A880" s="29"/>
      <c r="B880" s="29"/>
      <c r="C880" s="29"/>
      <c r="D880" s="29"/>
    </row>
    <row r="881">
      <c r="A881" s="29"/>
      <c r="B881" s="29"/>
      <c r="C881" s="29"/>
      <c r="D881" s="29"/>
    </row>
    <row r="882">
      <c r="A882" s="29"/>
      <c r="B882" s="29"/>
      <c r="C882" s="29"/>
      <c r="D882" s="29"/>
    </row>
    <row r="883">
      <c r="A883" s="29"/>
      <c r="B883" s="29"/>
      <c r="C883" s="29"/>
      <c r="D883" s="29"/>
    </row>
    <row r="884">
      <c r="A884" s="29"/>
      <c r="B884" s="29"/>
      <c r="C884" s="29"/>
      <c r="D884" s="29"/>
    </row>
    <row r="885">
      <c r="A885" s="29"/>
      <c r="B885" s="29"/>
      <c r="C885" s="29"/>
      <c r="D885" s="29"/>
    </row>
    <row r="886">
      <c r="A886" s="29"/>
      <c r="B886" s="29"/>
      <c r="C886" s="29"/>
      <c r="D886" s="29"/>
    </row>
    <row r="887">
      <c r="A887" s="29"/>
      <c r="B887" s="29"/>
      <c r="C887" s="29"/>
      <c r="D887" s="29"/>
    </row>
    <row r="888">
      <c r="A888" s="29"/>
      <c r="B888" s="29"/>
      <c r="C888" s="29"/>
      <c r="D888" s="29"/>
    </row>
    <row r="889">
      <c r="A889" s="29"/>
      <c r="B889" s="29"/>
      <c r="C889" s="29"/>
      <c r="D889" s="29"/>
    </row>
    <row r="890">
      <c r="A890" s="29"/>
      <c r="B890" s="29"/>
      <c r="C890" s="29"/>
      <c r="D890" s="29"/>
    </row>
    <row r="891">
      <c r="A891" s="29"/>
      <c r="B891" s="29"/>
      <c r="C891" s="29"/>
      <c r="D891" s="29"/>
    </row>
    <row r="892">
      <c r="A892" s="29"/>
      <c r="B892" s="29"/>
      <c r="C892" s="29"/>
      <c r="D892" s="29"/>
    </row>
    <row r="893">
      <c r="A893" s="29"/>
      <c r="B893" s="29"/>
      <c r="C893" s="29"/>
      <c r="D893" s="29"/>
    </row>
    <row r="894">
      <c r="A894" s="29"/>
      <c r="B894" s="29"/>
      <c r="C894" s="29"/>
      <c r="D894" s="29"/>
    </row>
    <row r="895">
      <c r="A895" s="29"/>
      <c r="B895" s="29"/>
      <c r="C895" s="29"/>
      <c r="D895" s="29"/>
    </row>
    <row r="896">
      <c r="A896" s="29"/>
      <c r="B896" s="29"/>
      <c r="C896" s="29"/>
      <c r="D896" s="29"/>
    </row>
    <row r="897">
      <c r="A897" s="29"/>
      <c r="B897" s="29"/>
      <c r="C897" s="29"/>
      <c r="D897" s="29"/>
    </row>
    <row r="898">
      <c r="A898" s="29"/>
      <c r="B898" s="29"/>
      <c r="C898" s="29"/>
      <c r="D898" s="29"/>
    </row>
    <row r="899">
      <c r="A899" s="29"/>
      <c r="B899" s="29"/>
      <c r="C899" s="29"/>
      <c r="D899" s="29"/>
    </row>
    <row r="900">
      <c r="A900" s="29"/>
      <c r="B900" s="29"/>
      <c r="C900" s="29"/>
      <c r="D900" s="29"/>
    </row>
    <row r="901">
      <c r="A901" s="29"/>
      <c r="B901" s="29"/>
      <c r="C901" s="29"/>
      <c r="D901" s="29"/>
    </row>
    <row r="902">
      <c r="A902" s="29"/>
      <c r="B902" s="29"/>
      <c r="C902" s="29"/>
      <c r="D902" s="29"/>
    </row>
    <row r="903">
      <c r="A903" s="29"/>
      <c r="B903" s="29"/>
      <c r="C903" s="29"/>
      <c r="D903" s="29"/>
    </row>
    <row r="904">
      <c r="A904" s="29"/>
      <c r="B904" s="29"/>
      <c r="C904" s="29"/>
      <c r="D904" s="29"/>
    </row>
    <row r="905">
      <c r="A905" s="29"/>
      <c r="B905" s="29"/>
      <c r="C905" s="29"/>
      <c r="D905" s="29"/>
    </row>
    <row r="906">
      <c r="A906" s="29"/>
      <c r="B906" s="29"/>
      <c r="C906" s="29"/>
      <c r="D906" s="29"/>
    </row>
    <row r="907">
      <c r="A907" s="29"/>
      <c r="B907" s="29"/>
      <c r="C907" s="29"/>
      <c r="D907" s="29"/>
    </row>
    <row r="908">
      <c r="A908" s="29"/>
      <c r="B908" s="29"/>
      <c r="C908" s="29"/>
      <c r="D908" s="29"/>
    </row>
    <row r="909">
      <c r="A909" s="29"/>
      <c r="B909" s="29"/>
      <c r="C909" s="29"/>
      <c r="D909" s="29"/>
    </row>
    <row r="910">
      <c r="A910" s="29"/>
      <c r="B910" s="29"/>
      <c r="C910" s="29"/>
      <c r="D910" s="29"/>
    </row>
    <row r="911">
      <c r="A911" s="29"/>
      <c r="B911" s="29"/>
      <c r="C911" s="29"/>
      <c r="D911" s="29"/>
    </row>
    <row r="912">
      <c r="A912" s="29"/>
      <c r="B912" s="29"/>
      <c r="C912" s="29"/>
      <c r="D912" s="29"/>
    </row>
    <row r="913">
      <c r="A913" s="29"/>
      <c r="B913" s="29"/>
      <c r="C913" s="29"/>
      <c r="D913" s="29"/>
    </row>
    <row r="914">
      <c r="A914" s="29"/>
      <c r="B914" s="29"/>
      <c r="C914" s="29"/>
      <c r="D914" s="29"/>
    </row>
    <row r="915">
      <c r="A915" s="29"/>
      <c r="B915" s="29"/>
      <c r="C915" s="29"/>
      <c r="D915" s="29"/>
    </row>
    <row r="916">
      <c r="A916" s="29"/>
      <c r="B916" s="29"/>
      <c r="C916" s="29"/>
      <c r="D916" s="29"/>
    </row>
    <row r="917">
      <c r="A917" s="29"/>
      <c r="B917" s="29"/>
      <c r="C917" s="29"/>
      <c r="D917" s="29"/>
    </row>
    <row r="918">
      <c r="A918" s="29"/>
      <c r="B918" s="29"/>
      <c r="C918" s="29"/>
      <c r="D918" s="29"/>
    </row>
    <row r="919">
      <c r="A919" s="29"/>
      <c r="B919" s="29"/>
      <c r="C919" s="29"/>
      <c r="D919" s="29"/>
    </row>
    <row r="920">
      <c r="A920" s="29"/>
      <c r="B920" s="29"/>
      <c r="C920" s="29"/>
      <c r="D920" s="29"/>
    </row>
    <row r="921">
      <c r="A921" s="29"/>
      <c r="B921" s="29"/>
      <c r="C921" s="29"/>
      <c r="D921" s="29"/>
    </row>
    <row r="922">
      <c r="A922" s="29"/>
      <c r="B922" s="29"/>
      <c r="C922" s="29"/>
      <c r="D922" s="29"/>
    </row>
    <row r="923">
      <c r="A923" s="29"/>
      <c r="B923" s="29"/>
      <c r="C923" s="29"/>
      <c r="D923" s="29"/>
    </row>
    <row r="924">
      <c r="A924" s="29"/>
      <c r="B924" s="29"/>
      <c r="C924" s="29"/>
      <c r="D924" s="29"/>
    </row>
    <row r="925">
      <c r="A925" s="29"/>
      <c r="B925" s="29"/>
      <c r="C925" s="29"/>
      <c r="D925" s="29"/>
    </row>
    <row r="926">
      <c r="A926" s="29"/>
      <c r="B926" s="29"/>
      <c r="C926" s="29"/>
      <c r="D926" s="29"/>
    </row>
    <row r="927">
      <c r="A927" s="29"/>
      <c r="B927" s="29"/>
      <c r="C927" s="29"/>
      <c r="D927" s="29"/>
    </row>
    <row r="928">
      <c r="A928" s="29"/>
      <c r="B928" s="29"/>
      <c r="C928" s="29"/>
      <c r="D928" s="29"/>
    </row>
    <row r="929">
      <c r="A929" s="29"/>
      <c r="B929" s="29"/>
      <c r="C929" s="29"/>
      <c r="D929" s="29"/>
    </row>
    <row r="930">
      <c r="A930" s="29"/>
      <c r="B930" s="29"/>
      <c r="C930" s="29"/>
      <c r="D930" s="29"/>
    </row>
    <row r="931">
      <c r="A931" s="29"/>
      <c r="B931" s="29"/>
      <c r="C931" s="29"/>
      <c r="D931" s="29"/>
    </row>
    <row r="932">
      <c r="A932" s="29"/>
      <c r="B932" s="29"/>
      <c r="C932" s="29"/>
      <c r="D932" s="29"/>
    </row>
    <row r="933">
      <c r="A933" s="29"/>
      <c r="B933" s="29"/>
      <c r="C933" s="29"/>
      <c r="D933" s="29"/>
    </row>
    <row r="934">
      <c r="A934" s="29"/>
      <c r="B934" s="29"/>
      <c r="C934" s="29"/>
      <c r="D934" s="29"/>
    </row>
    <row r="935">
      <c r="A935" s="29"/>
      <c r="B935" s="29"/>
      <c r="C935" s="29"/>
      <c r="D935" s="29"/>
    </row>
    <row r="936">
      <c r="A936" s="29"/>
      <c r="B936" s="29"/>
      <c r="C936" s="29"/>
      <c r="D936" s="29"/>
    </row>
    <row r="937">
      <c r="A937" s="29"/>
      <c r="B937" s="29"/>
      <c r="C937" s="29"/>
      <c r="D937" s="29"/>
    </row>
    <row r="938">
      <c r="A938" s="29"/>
      <c r="B938" s="29"/>
      <c r="C938" s="29"/>
      <c r="D938" s="29"/>
    </row>
    <row r="939">
      <c r="A939" s="29"/>
      <c r="B939" s="29"/>
      <c r="C939" s="29"/>
      <c r="D939" s="29"/>
    </row>
    <row r="940">
      <c r="A940" s="29"/>
      <c r="B940" s="29"/>
      <c r="C940" s="29"/>
      <c r="D940" s="29"/>
    </row>
    <row r="941">
      <c r="A941" s="29"/>
      <c r="B941" s="29"/>
      <c r="C941" s="29"/>
      <c r="D941" s="29"/>
    </row>
    <row r="942">
      <c r="A942" s="29"/>
      <c r="B942" s="29"/>
      <c r="C942" s="29"/>
      <c r="D942" s="29"/>
    </row>
    <row r="943">
      <c r="A943" s="29"/>
      <c r="B943" s="29"/>
      <c r="C943" s="29"/>
      <c r="D943" s="29"/>
    </row>
    <row r="944">
      <c r="A944" s="29"/>
      <c r="B944" s="29"/>
      <c r="C944" s="29"/>
      <c r="D944" s="29"/>
    </row>
    <row r="945">
      <c r="A945" s="29"/>
      <c r="B945" s="29"/>
      <c r="C945" s="29"/>
      <c r="D945" s="29"/>
    </row>
    <row r="946">
      <c r="A946" s="29"/>
      <c r="B946" s="29"/>
      <c r="C946" s="29"/>
      <c r="D946" s="29"/>
    </row>
    <row r="947">
      <c r="A947" s="29"/>
      <c r="B947" s="29"/>
      <c r="C947" s="29"/>
      <c r="D947" s="29"/>
    </row>
    <row r="948">
      <c r="A948" s="29"/>
      <c r="B948" s="29"/>
      <c r="C948" s="29"/>
      <c r="D948" s="29"/>
    </row>
    <row r="949">
      <c r="A949" s="29"/>
      <c r="B949" s="29"/>
      <c r="C949" s="29"/>
      <c r="D949" s="29"/>
    </row>
    <row r="950">
      <c r="A950" s="29"/>
      <c r="B950" s="29"/>
      <c r="C950" s="29"/>
      <c r="D950" s="29"/>
    </row>
    <row r="951">
      <c r="A951" s="29"/>
      <c r="B951" s="29"/>
      <c r="C951" s="29"/>
      <c r="D951" s="29"/>
    </row>
    <row r="952">
      <c r="A952" s="29"/>
      <c r="B952" s="29"/>
      <c r="C952" s="29"/>
      <c r="D952" s="29"/>
    </row>
    <row r="953">
      <c r="A953" s="29"/>
      <c r="B953" s="29"/>
      <c r="C953" s="29"/>
      <c r="D953" s="29"/>
    </row>
    <row r="954">
      <c r="A954" s="29"/>
      <c r="B954" s="29"/>
      <c r="C954" s="29"/>
      <c r="D954" s="29"/>
    </row>
    <row r="955">
      <c r="A955" s="29"/>
      <c r="B955" s="29"/>
      <c r="C955" s="29"/>
      <c r="D955" s="29"/>
    </row>
    <row r="956">
      <c r="A956" s="29"/>
      <c r="B956" s="29"/>
      <c r="C956" s="29"/>
      <c r="D956" s="29"/>
    </row>
    <row r="957">
      <c r="A957" s="29"/>
      <c r="B957" s="29"/>
      <c r="C957" s="29"/>
      <c r="D957" s="29"/>
    </row>
    <row r="958">
      <c r="A958" s="29"/>
      <c r="B958" s="29"/>
      <c r="C958" s="29"/>
      <c r="D958" s="29"/>
    </row>
    <row r="959">
      <c r="A959" s="29"/>
      <c r="B959" s="29"/>
      <c r="C959" s="29"/>
      <c r="D959" s="29"/>
    </row>
    <row r="960">
      <c r="A960" s="29"/>
      <c r="B960" s="29"/>
      <c r="C960" s="29"/>
      <c r="D960" s="29"/>
    </row>
    <row r="961">
      <c r="A961" s="29"/>
      <c r="B961" s="29"/>
      <c r="C961" s="29"/>
      <c r="D961" s="29"/>
    </row>
    <row r="962">
      <c r="A962" s="29"/>
      <c r="B962" s="29"/>
      <c r="C962" s="29"/>
      <c r="D962" s="29"/>
    </row>
    <row r="963">
      <c r="A963" s="29"/>
      <c r="B963" s="29"/>
      <c r="C963" s="29"/>
      <c r="D963" s="29"/>
    </row>
    <row r="964">
      <c r="A964" s="29"/>
      <c r="B964" s="29"/>
      <c r="C964" s="29"/>
      <c r="D964" s="29"/>
    </row>
    <row r="965">
      <c r="A965" s="29"/>
      <c r="B965" s="29"/>
      <c r="C965" s="29"/>
      <c r="D965" s="29"/>
    </row>
    <row r="966">
      <c r="A966" s="29"/>
      <c r="B966" s="29"/>
      <c r="C966" s="29"/>
      <c r="D966" s="29"/>
    </row>
    <row r="967">
      <c r="A967" s="29"/>
      <c r="B967" s="29"/>
      <c r="C967" s="29"/>
      <c r="D967" s="29"/>
    </row>
    <row r="968">
      <c r="A968" s="29"/>
      <c r="B968" s="29"/>
      <c r="C968" s="29"/>
      <c r="D968" s="29"/>
    </row>
    <row r="969">
      <c r="A969" s="29"/>
      <c r="B969" s="29"/>
      <c r="C969" s="29"/>
      <c r="D969" s="29"/>
    </row>
    <row r="970">
      <c r="A970" s="29"/>
      <c r="B970" s="29"/>
      <c r="C970" s="29"/>
      <c r="D970" s="29"/>
    </row>
    <row r="971">
      <c r="A971" s="29"/>
      <c r="B971" s="29"/>
      <c r="C971" s="29"/>
      <c r="D971" s="29"/>
    </row>
    <row r="972">
      <c r="A972" s="29"/>
      <c r="B972" s="29"/>
      <c r="C972" s="29"/>
      <c r="D972" s="29"/>
    </row>
    <row r="973">
      <c r="A973" s="29"/>
      <c r="B973" s="29"/>
      <c r="C973" s="29"/>
      <c r="D973" s="29"/>
    </row>
    <row r="974">
      <c r="A974" s="29"/>
      <c r="B974" s="29"/>
      <c r="C974" s="29"/>
      <c r="D974" s="29"/>
    </row>
    <row r="975">
      <c r="A975" s="29"/>
      <c r="B975" s="29"/>
      <c r="C975" s="29"/>
      <c r="D975" s="29"/>
    </row>
    <row r="976">
      <c r="A976" s="29"/>
      <c r="B976" s="29"/>
      <c r="C976" s="29"/>
      <c r="D976" s="29"/>
    </row>
    <row r="977">
      <c r="A977" s="29"/>
      <c r="B977" s="29"/>
      <c r="C977" s="29"/>
      <c r="D977" s="29"/>
    </row>
    <row r="978">
      <c r="A978" s="29"/>
      <c r="B978" s="29"/>
      <c r="C978" s="29"/>
      <c r="D978" s="29"/>
    </row>
    <row r="979">
      <c r="A979" s="29"/>
      <c r="B979" s="29"/>
      <c r="C979" s="29"/>
      <c r="D979" s="29"/>
    </row>
    <row r="980">
      <c r="A980" s="29"/>
      <c r="B980" s="29"/>
      <c r="C980" s="29"/>
      <c r="D980" s="29"/>
    </row>
    <row r="981">
      <c r="A981" s="29"/>
      <c r="B981" s="29"/>
      <c r="C981" s="29"/>
      <c r="D981" s="29"/>
    </row>
    <row r="982">
      <c r="A982" s="29"/>
      <c r="B982" s="29"/>
      <c r="C982" s="29"/>
      <c r="D982" s="29"/>
    </row>
    <row r="983">
      <c r="A983" s="29"/>
      <c r="B983" s="29"/>
      <c r="C983" s="29"/>
      <c r="D983" s="29"/>
    </row>
    <row r="984">
      <c r="A984" s="29"/>
      <c r="B984" s="29"/>
      <c r="C984" s="29"/>
      <c r="D984" s="29"/>
    </row>
    <row r="985">
      <c r="A985" s="29"/>
      <c r="B985" s="29"/>
      <c r="C985" s="29"/>
      <c r="D985" s="29"/>
    </row>
    <row r="986">
      <c r="A986" s="29"/>
      <c r="B986" s="29"/>
      <c r="C986" s="29"/>
      <c r="D986" s="29"/>
    </row>
    <row r="987">
      <c r="A987" s="29"/>
      <c r="B987" s="29"/>
      <c r="C987" s="29"/>
      <c r="D987" s="29"/>
    </row>
    <row r="988">
      <c r="A988" s="29"/>
      <c r="B988" s="29"/>
      <c r="C988" s="29"/>
      <c r="D988" s="29"/>
    </row>
    <row r="989">
      <c r="A989" s="29"/>
      <c r="B989" s="29"/>
      <c r="C989" s="29"/>
      <c r="D989" s="29"/>
    </row>
    <row r="990">
      <c r="A990" s="29"/>
      <c r="B990" s="29"/>
      <c r="C990" s="29"/>
      <c r="D990" s="29"/>
    </row>
    <row r="991">
      <c r="A991" s="29"/>
      <c r="B991" s="29"/>
      <c r="C991" s="29"/>
      <c r="D991" s="29"/>
    </row>
    <row r="992">
      <c r="A992" s="29"/>
      <c r="B992" s="29"/>
      <c r="C992" s="29"/>
      <c r="D992" s="29"/>
    </row>
    <row r="993">
      <c r="A993" s="29"/>
      <c r="B993" s="29"/>
      <c r="C993" s="29"/>
      <c r="D993" s="29"/>
    </row>
    <row r="994">
      <c r="A994" s="29"/>
      <c r="B994" s="29"/>
      <c r="C994" s="29"/>
      <c r="D994" s="29"/>
    </row>
    <row r="995">
      <c r="A995" s="29"/>
      <c r="B995" s="29"/>
      <c r="C995" s="29"/>
      <c r="D995" s="29"/>
    </row>
    <row r="996">
      <c r="A996" s="29"/>
      <c r="B996" s="29"/>
      <c r="C996" s="29"/>
      <c r="D996" s="29"/>
    </row>
    <row r="997">
      <c r="A997" s="29"/>
      <c r="B997" s="29"/>
      <c r="C997" s="29"/>
      <c r="D997" s="29"/>
    </row>
    <row r="998">
      <c r="A998" s="29"/>
      <c r="B998" s="29"/>
      <c r="C998" s="29"/>
      <c r="D998" s="29"/>
    </row>
    <row r="999">
      <c r="A999" s="29"/>
      <c r="B999" s="29"/>
      <c r="C999" s="29"/>
      <c r="D999" s="29"/>
    </row>
    <row r="1000">
      <c r="A1000" s="29"/>
      <c r="B1000" s="29"/>
      <c r="C1000" s="29"/>
      <c r="D1000" s="29"/>
    </row>
    <row r="1001">
      <c r="A1001" s="29"/>
      <c r="B1001" s="29"/>
      <c r="C1001" s="29"/>
      <c r="D1001" s="2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2685</v>
      </c>
      <c r="B1" s="31" t="s">
        <v>9</v>
      </c>
      <c r="C1" s="26"/>
    </row>
    <row r="2">
      <c r="A2" s="26" t="s">
        <v>2686</v>
      </c>
      <c r="B2" s="26" t="s">
        <v>222</v>
      </c>
      <c r="C2" s="26" t="s">
        <v>2687</v>
      </c>
    </row>
    <row r="3">
      <c r="A3" s="26" t="s">
        <v>2688</v>
      </c>
      <c r="B3" s="26" t="s">
        <v>36</v>
      </c>
      <c r="C3" s="26" t="s">
        <v>2689</v>
      </c>
    </row>
    <row r="4">
      <c r="A4" s="26" t="s">
        <v>2690</v>
      </c>
      <c r="B4" s="26" t="s">
        <v>232</v>
      </c>
      <c r="C4" s="26" t="s">
        <v>2691</v>
      </c>
    </row>
    <row r="5">
      <c r="A5" s="26" t="s">
        <v>2692</v>
      </c>
      <c r="B5" s="26" t="s">
        <v>103</v>
      </c>
      <c r="C5" s="26" t="s">
        <v>2693</v>
      </c>
    </row>
    <row r="6">
      <c r="A6" s="26" t="s">
        <v>2694</v>
      </c>
      <c r="B6" s="26" t="s">
        <v>31</v>
      </c>
      <c r="C6" s="26" t="s">
        <v>2695</v>
      </c>
    </row>
    <row r="7">
      <c r="A7" s="26" t="s">
        <v>2696</v>
      </c>
      <c r="B7" s="26" t="s">
        <v>204</v>
      </c>
      <c r="C7" s="26" t="s">
        <v>2697</v>
      </c>
    </row>
    <row r="8">
      <c r="A8" s="26" t="s">
        <v>2698</v>
      </c>
      <c r="B8" s="26" t="s">
        <v>21</v>
      </c>
      <c r="C8" s="26" t="s">
        <v>2699</v>
      </c>
    </row>
    <row r="9">
      <c r="A9" s="26" t="s">
        <v>2700</v>
      </c>
      <c r="B9" s="26" t="s">
        <v>139</v>
      </c>
      <c r="C9" s="26" t="s">
        <v>2701</v>
      </c>
    </row>
    <row r="10">
      <c r="A10" s="26" t="s">
        <v>2702</v>
      </c>
      <c r="B10" s="26" t="s">
        <v>178</v>
      </c>
      <c r="C10" s="26" t="s">
        <v>2703</v>
      </c>
    </row>
    <row r="11">
      <c r="A11" s="26" t="s">
        <v>2704</v>
      </c>
      <c r="B11" s="26" t="s">
        <v>121</v>
      </c>
      <c r="C11" s="26" t="s">
        <v>2705</v>
      </c>
    </row>
    <row r="12">
      <c r="A12" s="26" t="s">
        <v>2706</v>
      </c>
      <c r="B12" s="26" t="s">
        <v>199</v>
      </c>
      <c r="C12" s="26" t="s">
        <v>2707</v>
      </c>
    </row>
    <row r="13">
      <c r="A13" s="26" t="s">
        <v>2708</v>
      </c>
      <c r="B13" s="26" t="s">
        <v>87</v>
      </c>
      <c r="C13" s="26" t="s">
        <v>2709</v>
      </c>
    </row>
    <row r="14">
      <c r="A14" s="26" t="s">
        <v>2710</v>
      </c>
      <c r="B14" s="26" t="s">
        <v>47</v>
      </c>
      <c r="C14" s="26" t="s">
        <v>2711</v>
      </c>
    </row>
    <row r="15">
      <c r="A15" s="26" t="s">
        <v>2712</v>
      </c>
      <c r="B15" s="26" t="s">
        <v>243</v>
      </c>
      <c r="C15" s="26" t="s">
        <v>2713</v>
      </c>
    </row>
    <row r="16">
      <c r="A16" s="26" t="s">
        <v>2714</v>
      </c>
      <c r="B16" s="26" t="s">
        <v>217</v>
      </c>
      <c r="C16" s="26" t="s">
        <v>2715</v>
      </c>
    </row>
    <row r="17">
      <c r="A17" s="26" t="s">
        <v>2716</v>
      </c>
      <c r="B17" s="26" t="s">
        <v>462</v>
      </c>
      <c r="C17" s="26" t="s">
        <v>2717</v>
      </c>
    </row>
    <row r="18">
      <c r="A18" s="26" t="s">
        <v>2718</v>
      </c>
      <c r="B18" s="26" t="s">
        <v>42</v>
      </c>
      <c r="C18" s="26" t="s">
        <v>2719</v>
      </c>
    </row>
    <row r="19">
      <c r="A19" s="26" t="s">
        <v>2720</v>
      </c>
      <c r="B19" s="26" t="s">
        <v>26</v>
      </c>
      <c r="C19" s="26" t="s">
        <v>2721</v>
      </c>
    </row>
    <row r="20">
      <c r="A20" s="26" t="s">
        <v>2722</v>
      </c>
      <c r="B20" s="26" t="s">
        <v>187</v>
      </c>
      <c r="C20" s="26" t="s">
        <v>2723</v>
      </c>
    </row>
    <row r="21">
      <c r="A21" s="26" t="s">
        <v>2724</v>
      </c>
      <c r="B21" s="26" t="s">
        <v>82</v>
      </c>
      <c r="C21" s="26" t="s">
        <v>2725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</cols>
  <sheetData>
    <row r="1">
      <c r="A1" s="32" t="s">
        <v>0</v>
      </c>
      <c r="B1" s="32" t="s">
        <v>1</v>
      </c>
      <c r="C1" s="32" t="s">
        <v>2570</v>
      </c>
      <c r="D1" s="26" t="s">
        <v>15</v>
      </c>
      <c r="E1" s="26" t="s">
        <v>2726</v>
      </c>
      <c r="F1" s="26" t="s">
        <v>12</v>
      </c>
    </row>
    <row r="2">
      <c r="A2" s="33">
        <v>400153.0</v>
      </c>
      <c r="B2" s="32" t="s">
        <v>17</v>
      </c>
      <c r="C2" s="32" t="s">
        <v>22</v>
      </c>
    </row>
    <row r="3">
      <c r="A3" s="33">
        <v>400101.0</v>
      </c>
      <c r="B3" s="32" t="s">
        <v>24</v>
      </c>
      <c r="C3" s="32" t="s">
        <v>27</v>
      </c>
    </row>
    <row r="4">
      <c r="A4" s="33">
        <v>400120.0</v>
      </c>
      <c r="B4" s="32" t="s">
        <v>28</v>
      </c>
      <c r="C4" s="32" t="s">
        <v>32</v>
      </c>
    </row>
    <row r="5">
      <c r="A5" s="33">
        <v>400121.0</v>
      </c>
      <c r="B5" s="32" t="s">
        <v>34</v>
      </c>
      <c r="C5" s="32" t="s">
        <v>37</v>
      </c>
    </row>
    <row r="6">
      <c r="A6" s="33">
        <v>400081.0</v>
      </c>
      <c r="B6" s="32" t="s">
        <v>39</v>
      </c>
      <c r="C6" s="32" t="s">
        <v>43</v>
      </c>
    </row>
    <row r="7">
      <c r="A7" s="33">
        <v>400082.0</v>
      </c>
      <c r="B7" s="32" t="s">
        <v>45</v>
      </c>
      <c r="C7" s="32" t="s">
        <v>48</v>
      </c>
    </row>
    <row r="8">
      <c r="A8" s="33">
        <v>400085.0</v>
      </c>
      <c r="B8" s="32" t="s">
        <v>50</v>
      </c>
      <c r="C8" s="32" t="s">
        <v>53</v>
      </c>
    </row>
    <row r="9">
      <c r="A9" s="33">
        <v>400112.0</v>
      </c>
      <c r="B9" s="32" t="s">
        <v>55</v>
      </c>
      <c r="C9" s="32" t="s">
        <v>57</v>
      </c>
    </row>
    <row r="10">
      <c r="A10" s="33">
        <v>400089.0</v>
      </c>
      <c r="B10" s="32" t="s">
        <v>58</v>
      </c>
      <c r="C10" s="32" t="s">
        <v>60</v>
      </c>
    </row>
    <row r="11">
      <c r="A11" s="33">
        <v>400083.0</v>
      </c>
      <c r="B11" s="32" t="s">
        <v>61</v>
      </c>
      <c r="C11" s="32" t="s">
        <v>63</v>
      </c>
    </row>
    <row r="12">
      <c r="A12" s="33">
        <v>400114.0</v>
      </c>
      <c r="B12" s="32" t="s">
        <v>64</v>
      </c>
      <c r="C12" s="32" t="s">
        <v>66</v>
      </c>
    </row>
    <row r="13">
      <c r="A13" s="33">
        <v>400149.0</v>
      </c>
      <c r="B13" s="32" t="s">
        <v>68</v>
      </c>
      <c r="C13" s="32" t="s">
        <v>70</v>
      </c>
    </row>
    <row r="14">
      <c r="A14" s="33">
        <v>400084.0</v>
      </c>
      <c r="B14" s="32" t="s">
        <v>71</v>
      </c>
      <c r="C14" s="32" t="s">
        <v>73</v>
      </c>
    </row>
    <row r="15">
      <c r="A15" s="33">
        <v>400080.0</v>
      </c>
      <c r="B15" s="32" t="s">
        <v>74</v>
      </c>
      <c r="C15" s="32" t="s">
        <v>53</v>
      </c>
    </row>
    <row r="16">
      <c r="A16" s="33">
        <v>400079.0</v>
      </c>
      <c r="B16" s="32" t="s">
        <v>76</v>
      </c>
      <c r="C16" s="32" t="s">
        <v>53</v>
      </c>
    </row>
    <row r="17">
      <c r="A17" s="33">
        <v>609772.0</v>
      </c>
      <c r="B17" s="32" t="s">
        <v>78</v>
      </c>
      <c r="C17" s="32" t="s">
        <v>83</v>
      </c>
    </row>
    <row r="18">
      <c r="A18" s="33">
        <v>400060.0</v>
      </c>
      <c r="B18" s="32" t="s">
        <v>85</v>
      </c>
      <c r="C18" s="32" t="s">
        <v>88</v>
      </c>
    </row>
    <row r="19">
      <c r="A19" s="33">
        <v>610513.0</v>
      </c>
      <c r="B19" s="32" t="s">
        <v>90</v>
      </c>
      <c r="C19" s="32" t="s">
        <v>93</v>
      </c>
    </row>
    <row r="20">
      <c r="A20" s="33">
        <v>610212.0</v>
      </c>
      <c r="B20" s="32" t="s">
        <v>95</v>
      </c>
      <c r="C20" s="32" t="s">
        <v>98</v>
      </c>
    </row>
    <row r="21">
      <c r="A21" s="33">
        <v>609774.0</v>
      </c>
      <c r="B21" s="32" t="s">
        <v>100</v>
      </c>
      <c r="C21" s="32" t="s">
        <v>104</v>
      </c>
    </row>
    <row r="22">
      <c r="A22" s="33">
        <v>610524.0</v>
      </c>
      <c r="B22" s="32" t="s">
        <v>106</v>
      </c>
      <c r="C22" s="32" t="s">
        <v>109</v>
      </c>
    </row>
    <row r="23">
      <c r="A23" s="33">
        <v>609848.0</v>
      </c>
      <c r="B23" s="32" t="s">
        <v>111</v>
      </c>
      <c r="C23" s="32" t="s">
        <v>113</v>
      </c>
    </row>
    <row r="24">
      <c r="A24" s="33">
        <v>609695.0</v>
      </c>
      <c r="B24" s="32" t="s">
        <v>114</v>
      </c>
      <c r="C24" s="32" t="s">
        <v>117</v>
      </c>
    </row>
    <row r="25">
      <c r="A25" s="33">
        <v>609951.0</v>
      </c>
      <c r="B25" s="32" t="s">
        <v>118</v>
      </c>
      <c r="C25" s="32" t="s">
        <v>122</v>
      </c>
    </row>
    <row r="26">
      <c r="A26" s="33">
        <v>609777.0</v>
      </c>
      <c r="B26" s="32" t="s">
        <v>124</v>
      </c>
      <c r="C26" s="32" t="s">
        <v>127</v>
      </c>
    </row>
    <row r="27">
      <c r="A27" s="33">
        <v>609779.0</v>
      </c>
      <c r="B27" s="32" t="s">
        <v>128</v>
      </c>
      <c r="C27" s="32" t="s">
        <v>130</v>
      </c>
    </row>
    <row r="28">
      <c r="A28" s="33">
        <v>400181.0</v>
      </c>
      <c r="B28" s="32" t="s">
        <v>132</v>
      </c>
      <c r="C28" s="32" t="s">
        <v>134</v>
      </c>
    </row>
    <row r="29">
      <c r="A29" s="33">
        <v>610287.0</v>
      </c>
      <c r="B29" s="32" t="s">
        <v>136</v>
      </c>
      <c r="C29" s="32" t="s">
        <v>140</v>
      </c>
    </row>
    <row r="30">
      <c r="A30" s="33">
        <v>610268.0</v>
      </c>
      <c r="B30" s="32" t="s">
        <v>142</v>
      </c>
      <c r="C30" s="32" t="s">
        <v>145</v>
      </c>
    </row>
    <row r="31">
      <c r="A31" s="33">
        <v>400172.0</v>
      </c>
      <c r="B31" s="32" t="s">
        <v>146</v>
      </c>
      <c r="C31" s="32" t="s">
        <v>148</v>
      </c>
    </row>
    <row r="32">
      <c r="A32" s="33">
        <v>400013.0</v>
      </c>
      <c r="B32" s="32" t="s">
        <v>149</v>
      </c>
      <c r="C32" s="32" t="s">
        <v>151</v>
      </c>
    </row>
    <row r="33">
      <c r="A33" s="33">
        <v>400017.0</v>
      </c>
      <c r="B33" s="32" t="s">
        <v>153</v>
      </c>
      <c r="C33" s="32" t="s">
        <v>155</v>
      </c>
    </row>
    <row r="34">
      <c r="A34" s="33">
        <v>609782.0</v>
      </c>
      <c r="B34" s="32" t="s">
        <v>156</v>
      </c>
      <c r="C34" s="32" t="s">
        <v>158</v>
      </c>
    </row>
    <row r="35">
      <c r="A35" s="33">
        <v>610518.0</v>
      </c>
      <c r="B35" s="32" t="s">
        <v>159</v>
      </c>
      <c r="C35" s="32" t="s">
        <v>161</v>
      </c>
    </row>
    <row r="36">
      <c r="A36" s="33">
        <v>609786.0</v>
      </c>
      <c r="B36" s="32" t="s">
        <v>163</v>
      </c>
      <c r="C36" s="32" t="s">
        <v>165</v>
      </c>
    </row>
    <row r="37">
      <c r="A37" s="33">
        <v>610325.0</v>
      </c>
      <c r="B37" s="32" t="s">
        <v>166</v>
      </c>
      <c r="C37" s="32" t="s">
        <v>168</v>
      </c>
    </row>
    <row r="38">
      <c r="A38" s="33">
        <v>610544.0</v>
      </c>
      <c r="B38" s="32" t="s">
        <v>169</v>
      </c>
      <c r="C38" s="32" t="s">
        <v>171</v>
      </c>
    </row>
    <row r="39">
      <c r="A39" s="33">
        <v>610563.0</v>
      </c>
      <c r="B39" s="32" t="s">
        <v>173</v>
      </c>
      <c r="C39" s="32" t="s">
        <v>175</v>
      </c>
    </row>
    <row r="40">
      <c r="A40" s="33">
        <v>609788.0</v>
      </c>
      <c r="B40" s="32" t="s">
        <v>176</v>
      </c>
      <c r="C40" s="32" t="s">
        <v>179</v>
      </c>
    </row>
    <row r="41">
      <c r="A41" s="33">
        <v>609789.0</v>
      </c>
      <c r="B41" s="32" t="s">
        <v>181</v>
      </c>
      <c r="C41" s="32" t="s">
        <v>183</v>
      </c>
    </row>
    <row r="42">
      <c r="A42" s="33">
        <v>609790.0</v>
      </c>
      <c r="B42" s="32" t="s">
        <v>184</v>
      </c>
      <c r="C42" s="32" t="s">
        <v>188</v>
      </c>
    </row>
    <row r="43">
      <c r="A43" s="33">
        <v>609791.0</v>
      </c>
      <c r="B43" s="32" t="s">
        <v>190</v>
      </c>
      <c r="C43" s="32" t="s">
        <v>192</v>
      </c>
    </row>
    <row r="44">
      <c r="A44" s="33">
        <v>609792.0</v>
      </c>
      <c r="B44" s="32" t="s">
        <v>194</v>
      </c>
      <c r="C44" s="32" t="s">
        <v>196</v>
      </c>
    </row>
    <row r="45">
      <c r="A45" s="33">
        <v>610083.0</v>
      </c>
      <c r="B45" s="32" t="s">
        <v>197</v>
      </c>
      <c r="C45" s="32" t="s">
        <v>200</v>
      </c>
    </row>
    <row r="46">
      <c r="A46" s="33">
        <v>610246.0</v>
      </c>
      <c r="B46" s="32" t="s">
        <v>202</v>
      </c>
      <c r="C46" s="32" t="s">
        <v>205</v>
      </c>
    </row>
    <row r="47">
      <c r="A47" s="33">
        <v>609796.0</v>
      </c>
      <c r="B47" s="32" t="s">
        <v>207</v>
      </c>
      <c r="C47" s="32" t="s">
        <v>209</v>
      </c>
    </row>
    <row r="48">
      <c r="A48" s="33">
        <v>610237.0</v>
      </c>
      <c r="B48" s="32" t="s">
        <v>211</v>
      </c>
      <c r="C48" s="32" t="s">
        <v>213</v>
      </c>
    </row>
    <row r="49">
      <c r="A49" s="33">
        <v>609797.0</v>
      </c>
      <c r="B49" s="32" t="s">
        <v>214</v>
      </c>
      <c r="C49" s="32" t="s">
        <v>218</v>
      </c>
    </row>
    <row r="50">
      <c r="A50" s="33">
        <v>609798.0</v>
      </c>
      <c r="B50" s="32" t="s">
        <v>220</v>
      </c>
      <c r="C50" s="32" t="s">
        <v>223</v>
      </c>
    </row>
    <row r="51">
      <c r="A51" s="33">
        <v>609799.0</v>
      </c>
      <c r="B51" s="32" t="s">
        <v>225</v>
      </c>
      <c r="C51" s="32" t="s">
        <v>227</v>
      </c>
    </row>
    <row r="52">
      <c r="A52" s="33">
        <v>609922.0</v>
      </c>
      <c r="B52" s="32" t="s">
        <v>229</v>
      </c>
      <c r="C52" s="32" t="s">
        <v>233</v>
      </c>
    </row>
    <row r="53">
      <c r="A53" s="33">
        <v>609800.0</v>
      </c>
      <c r="B53" s="32" t="s">
        <v>234</v>
      </c>
      <c r="C53" s="32" t="s">
        <v>236</v>
      </c>
    </row>
    <row r="54">
      <c r="A54" s="33">
        <v>610350.0</v>
      </c>
      <c r="B54" s="32" t="s">
        <v>238</v>
      </c>
      <c r="C54" s="32" t="s">
        <v>240</v>
      </c>
    </row>
    <row r="55">
      <c r="A55" s="33">
        <v>609803.0</v>
      </c>
      <c r="B55" s="32" t="s">
        <v>241</v>
      </c>
      <c r="C55" s="32" t="s">
        <v>244</v>
      </c>
    </row>
    <row r="56">
      <c r="A56" s="33">
        <v>610087.0</v>
      </c>
      <c r="B56" s="32" t="s">
        <v>246</v>
      </c>
      <c r="C56" s="32" t="s">
        <v>249</v>
      </c>
    </row>
    <row r="57">
      <c r="A57" s="33">
        <v>609698.0</v>
      </c>
      <c r="B57" s="32" t="s">
        <v>251</v>
      </c>
      <c r="C57" s="32" t="s">
        <v>253</v>
      </c>
    </row>
    <row r="58">
      <c r="A58" s="33">
        <v>610238.0</v>
      </c>
      <c r="B58" s="32" t="s">
        <v>254</v>
      </c>
      <c r="C58" s="32" t="s">
        <v>256</v>
      </c>
    </row>
    <row r="59">
      <c r="A59" s="33">
        <v>609815.0</v>
      </c>
      <c r="B59" s="32" t="s">
        <v>257</v>
      </c>
      <c r="C59" s="32" t="s">
        <v>259</v>
      </c>
    </row>
    <row r="60">
      <c r="A60" s="33">
        <v>610323.0</v>
      </c>
      <c r="B60" s="32" t="s">
        <v>261</v>
      </c>
      <c r="C60" s="32" t="s">
        <v>264</v>
      </c>
    </row>
    <row r="61">
      <c r="A61" s="33">
        <v>609806.0</v>
      </c>
      <c r="B61" s="32" t="s">
        <v>265</v>
      </c>
      <c r="C61" s="32" t="s">
        <v>267</v>
      </c>
    </row>
    <row r="62">
      <c r="A62" s="33">
        <v>610242.0</v>
      </c>
      <c r="B62" s="32" t="s">
        <v>268</v>
      </c>
      <c r="C62" s="32" t="s">
        <v>271</v>
      </c>
    </row>
    <row r="63">
      <c r="A63" s="33">
        <v>609809.0</v>
      </c>
      <c r="B63" s="32" t="s">
        <v>272</v>
      </c>
      <c r="C63" s="32" t="s">
        <v>274</v>
      </c>
    </row>
    <row r="64">
      <c r="A64" s="33">
        <v>609810.0</v>
      </c>
      <c r="B64" s="32" t="s">
        <v>276</v>
      </c>
      <c r="C64" s="32" t="s">
        <v>278</v>
      </c>
    </row>
    <row r="65">
      <c r="A65" s="33">
        <v>609811.0</v>
      </c>
      <c r="B65" s="32" t="s">
        <v>280</v>
      </c>
      <c r="C65" s="32" t="s">
        <v>282</v>
      </c>
    </row>
    <row r="66">
      <c r="A66" s="33">
        <v>610317.0</v>
      </c>
      <c r="B66" s="32" t="s">
        <v>283</v>
      </c>
      <c r="C66" s="32" t="s">
        <v>286</v>
      </c>
    </row>
    <row r="67">
      <c r="A67" s="33">
        <v>610590.0</v>
      </c>
      <c r="B67" s="32" t="s">
        <v>287</v>
      </c>
      <c r="C67" s="32" t="s">
        <v>289</v>
      </c>
    </row>
    <row r="68">
      <c r="A68" s="33">
        <v>610381.0</v>
      </c>
      <c r="B68" s="32" t="s">
        <v>290</v>
      </c>
      <c r="C68" s="32" t="s">
        <v>292</v>
      </c>
    </row>
    <row r="69">
      <c r="A69" s="33">
        <v>609726.0</v>
      </c>
      <c r="B69" s="32" t="s">
        <v>293</v>
      </c>
      <c r="C69" s="32" t="s">
        <v>295</v>
      </c>
    </row>
    <row r="70">
      <c r="A70" s="33">
        <v>610091.0</v>
      </c>
      <c r="B70" s="32" t="s">
        <v>296</v>
      </c>
      <c r="C70" s="32" t="s">
        <v>298</v>
      </c>
    </row>
    <row r="71">
      <c r="A71" s="33">
        <v>609812.0</v>
      </c>
      <c r="B71" s="32" t="s">
        <v>299</v>
      </c>
      <c r="C71" s="32" t="s">
        <v>302</v>
      </c>
    </row>
    <row r="72">
      <c r="A72" s="33">
        <v>609813.0</v>
      </c>
      <c r="B72" s="32" t="s">
        <v>303</v>
      </c>
      <c r="C72" s="32" t="s">
        <v>305</v>
      </c>
    </row>
    <row r="73">
      <c r="A73" s="33">
        <v>609830.0</v>
      </c>
      <c r="B73" s="32" t="s">
        <v>307</v>
      </c>
      <c r="C73" s="32" t="s">
        <v>309</v>
      </c>
    </row>
    <row r="74">
      <c r="A74" s="33">
        <v>609817.0</v>
      </c>
      <c r="B74" s="32" t="s">
        <v>310</v>
      </c>
      <c r="C74" s="32" t="s">
        <v>312</v>
      </c>
    </row>
    <row r="75">
      <c r="A75" s="33">
        <v>609818.0</v>
      </c>
      <c r="B75" s="32" t="s">
        <v>313</v>
      </c>
      <c r="C75" s="32" t="s">
        <v>315</v>
      </c>
    </row>
    <row r="76">
      <c r="A76" s="33">
        <v>609819.0</v>
      </c>
      <c r="B76" s="32" t="s">
        <v>316</v>
      </c>
      <c r="C76" s="32" t="s">
        <v>318</v>
      </c>
    </row>
    <row r="77">
      <c r="A77" s="33">
        <v>609820.0</v>
      </c>
      <c r="B77" s="32" t="s">
        <v>319</v>
      </c>
      <c r="C77" s="32" t="s">
        <v>321</v>
      </c>
    </row>
    <row r="78">
      <c r="A78" s="33">
        <v>609821.0</v>
      </c>
      <c r="B78" s="32" t="s">
        <v>322</v>
      </c>
      <c r="C78" s="32" t="s">
        <v>324</v>
      </c>
    </row>
    <row r="79">
      <c r="A79" s="33">
        <v>609827.0</v>
      </c>
      <c r="B79" s="32" t="s">
        <v>325</v>
      </c>
      <c r="C79" s="32" t="s">
        <v>327</v>
      </c>
    </row>
    <row r="80">
      <c r="A80" s="33">
        <v>609828.0</v>
      </c>
      <c r="B80" s="32" t="s">
        <v>328</v>
      </c>
      <c r="C80" s="32" t="s">
        <v>330</v>
      </c>
    </row>
    <row r="81">
      <c r="A81" s="33">
        <v>609829.0</v>
      </c>
      <c r="B81" s="32" t="s">
        <v>331</v>
      </c>
      <c r="C81" s="32" t="s">
        <v>333</v>
      </c>
    </row>
    <row r="82">
      <c r="A82" s="33">
        <v>609832.0</v>
      </c>
      <c r="B82" s="32" t="s">
        <v>334</v>
      </c>
      <c r="C82" s="32" t="s">
        <v>336</v>
      </c>
    </row>
    <row r="83">
      <c r="A83" s="33">
        <v>610353.0</v>
      </c>
      <c r="B83" s="32" t="s">
        <v>337</v>
      </c>
      <c r="C83" s="32" t="s">
        <v>339</v>
      </c>
    </row>
    <row r="84">
      <c r="A84" s="33">
        <v>609835.0</v>
      </c>
      <c r="B84" s="32" t="s">
        <v>340</v>
      </c>
      <c r="C84" s="32" t="s">
        <v>342</v>
      </c>
    </row>
    <row r="85">
      <c r="A85" s="33">
        <v>610539.0</v>
      </c>
      <c r="B85" s="32" t="s">
        <v>343</v>
      </c>
      <c r="C85" s="32" t="s">
        <v>345</v>
      </c>
    </row>
    <row r="86">
      <c r="A86" s="33">
        <v>609836.0</v>
      </c>
      <c r="B86" s="32" t="s">
        <v>347</v>
      </c>
      <c r="C86" s="32" t="s">
        <v>349</v>
      </c>
    </row>
    <row r="87">
      <c r="A87" s="33">
        <v>610024.0</v>
      </c>
      <c r="B87" s="32" t="s">
        <v>350</v>
      </c>
      <c r="C87" s="32" t="s">
        <v>352</v>
      </c>
    </row>
    <row r="88">
      <c r="A88" s="33">
        <v>609837.0</v>
      </c>
      <c r="B88" s="32" t="s">
        <v>354</v>
      </c>
      <c r="C88" s="32" t="s">
        <v>356</v>
      </c>
    </row>
    <row r="89">
      <c r="A89" s="33">
        <v>609839.0</v>
      </c>
      <c r="B89" s="32" t="s">
        <v>358</v>
      </c>
      <c r="C89" s="32" t="s">
        <v>360</v>
      </c>
    </row>
    <row r="90">
      <c r="A90" s="33">
        <v>609842.0</v>
      </c>
      <c r="B90" s="32" t="s">
        <v>361</v>
      </c>
      <c r="C90" s="32" t="s">
        <v>363</v>
      </c>
    </row>
    <row r="91">
      <c r="A91" s="33">
        <v>609844.0</v>
      </c>
      <c r="B91" s="32" t="s">
        <v>365</v>
      </c>
      <c r="C91" s="32" t="s">
        <v>367</v>
      </c>
    </row>
    <row r="92">
      <c r="A92" s="33">
        <v>609845.0</v>
      </c>
      <c r="B92" s="32" t="s">
        <v>369</v>
      </c>
      <c r="C92" s="32" t="s">
        <v>371</v>
      </c>
    </row>
    <row r="93">
      <c r="A93" s="33">
        <v>609760.0</v>
      </c>
      <c r="B93" s="32" t="s">
        <v>372</v>
      </c>
      <c r="C93" s="32" t="s">
        <v>374</v>
      </c>
    </row>
    <row r="94">
      <c r="A94" s="33">
        <v>610021.0</v>
      </c>
      <c r="B94" s="32" t="s">
        <v>375</v>
      </c>
      <c r="C94" s="32" t="s">
        <v>377</v>
      </c>
    </row>
    <row r="95">
      <c r="A95" s="33">
        <v>609849.0</v>
      </c>
      <c r="B95" s="32" t="s">
        <v>379</v>
      </c>
      <c r="C95" s="32" t="s">
        <v>381</v>
      </c>
    </row>
    <row r="96">
      <c r="A96" s="33">
        <v>610599.0</v>
      </c>
      <c r="B96" s="32" t="s">
        <v>382</v>
      </c>
      <c r="C96" s="32" t="s">
        <v>385</v>
      </c>
    </row>
    <row r="97">
      <c r="A97" s="33">
        <v>400021.0</v>
      </c>
      <c r="B97" s="32" t="s">
        <v>386</v>
      </c>
      <c r="C97" s="32" t="s">
        <v>388</v>
      </c>
    </row>
    <row r="98">
      <c r="A98" s="33">
        <v>400115.0</v>
      </c>
      <c r="B98" s="32" t="s">
        <v>389</v>
      </c>
      <c r="C98" s="32" t="s">
        <v>391</v>
      </c>
    </row>
    <row r="99">
      <c r="A99" s="33">
        <v>400182.0</v>
      </c>
      <c r="B99" s="32" t="s">
        <v>392</v>
      </c>
      <c r="C99" s="32" t="s">
        <v>391</v>
      </c>
    </row>
    <row r="100">
      <c r="A100" s="33">
        <v>610251.0</v>
      </c>
      <c r="B100" s="32" t="s">
        <v>393</v>
      </c>
      <c r="C100" s="32" t="s">
        <v>395</v>
      </c>
    </row>
    <row r="101">
      <c r="A101" s="33">
        <v>609851.0</v>
      </c>
      <c r="B101" s="32" t="s">
        <v>396</v>
      </c>
      <c r="C101" s="32" t="s">
        <v>398</v>
      </c>
    </row>
    <row r="102">
      <c r="A102" s="33">
        <v>609852.0</v>
      </c>
      <c r="B102" s="32" t="s">
        <v>400</v>
      </c>
      <c r="C102" s="32" t="s">
        <v>402</v>
      </c>
    </row>
    <row r="103">
      <c r="A103" s="33">
        <v>609853.0</v>
      </c>
      <c r="B103" s="32" t="s">
        <v>403</v>
      </c>
      <c r="C103" s="32" t="s">
        <v>405</v>
      </c>
    </row>
    <row r="104">
      <c r="A104" s="33">
        <v>610148.0</v>
      </c>
      <c r="B104" s="32" t="s">
        <v>406</v>
      </c>
      <c r="C104" s="32" t="s">
        <v>408</v>
      </c>
    </row>
    <row r="105">
      <c r="A105" s="33">
        <v>400022.0</v>
      </c>
      <c r="B105" s="32" t="s">
        <v>409</v>
      </c>
      <c r="C105" s="32" t="s">
        <v>412</v>
      </c>
    </row>
    <row r="106">
      <c r="A106" s="33">
        <v>610248.0</v>
      </c>
      <c r="B106" s="32" t="s">
        <v>413</v>
      </c>
      <c r="C106" s="32" t="s">
        <v>415</v>
      </c>
    </row>
    <row r="107">
      <c r="A107" s="33">
        <v>610340.0</v>
      </c>
      <c r="B107" s="32" t="s">
        <v>416</v>
      </c>
      <c r="C107" s="32" t="s">
        <v>415</v>
      </c>
    </row>
    <row r="108">
      <c r="A108" s="33">
        <v>609753.0</v>
      </c>
      <c r="B108" s="32" t="s">
        <v>418</v>
      </c>
      <c r="C108" s="32" t="s">
        <v>420</v>
      </c>
    </row>
    <row r="109">
      <c r="A109" s="33">
        <v>400161.0</v>
      </c>
      <c r="B109" s="32" t="s">
        <v>421</v>
      </c>
      <c r="C109" s="32" t="s">
        <v>423</v>
      </c>
    </row>
    <row r="110">
      <c r="A110" s="33">
        <v>400147.0</v>
      </c>
      <c r="B110" s="32" t="s">
        <v>424</v>
      </c>
      <c r="C110" s="32" t="s">
        <v>427</v>
      </c>
    </row>
    <row r="111">
      <c r="A111" s="33">
        <v>400035.0</v>
      </c>
      <c r="B111" s="32" t="s">
        <v>429</v>
      </c>
      <c r="C111" s="32" t="s">
        <v>431</v>
      </c>
    </row>
    <row r="112">
      <c r="A112" s="33">
        <v>609754.0</v>
      </c>
      <c r="B112" s="32" t="s">
        <v>432</v>
      </c>
      <c r="C112" s="32" t="s">
        <v>434</v>
      </c>
    </row>
    <row r="113">
      <c r="A113" s="33">
        <v>400091.0</v>
      </c>
      <c r="B113" s="32" t="s">
        <v>435</v>
      </c>
      <c r="C113" s="32" t="s">
        <v>437</v>
      </c>
    </row>
    <row r="114">
      <c r="A114" s="33">
        <v>609674.0</v>
      </c>
      <c r="B114" s="32" t="s">
        <v>438</v>
      </c>
      <c r="C114" s="32" t="s">
        <v>440</v>
      </c>
    </row>
    <row r="115">
      <c r="A115" s="33">
        <v>610060.0</v>
      </c>
      <c r="B115" s="32" t="s">
        <v>441</v>
      </c>
      <c r="C115" s="32" t="s">
        <v>443</v>
      </c>
    </row>
    <row r="116">
      <c r="A116" s="33">
        <v>609854.0</v>
      </c>
      <c r="B116" s="32" t="s">
        <v>445</v>
      </c>
      <c r="C116" s="32" t="s">
        <v>447</v>
      </c>
    </row>
    <row r="117">
      <c r="A117" s="33">
        <v>609855.0</v>
      </c>
      <c r="B117" s="32" t="s">
        <v>448</v>
      </c>
      <c r="C117" s="32" t="s">
        <v>450</v>
      </c>
    </row>
    <row r="118">
      <c r="A118" s="33">
        <v>400159.0</v>
      </c>
      <c r="B118" s="32" t="s">
        <v>451</v>
      </c>
      <c r="C118" s="32" t="s">
        <v>453</v>
      </c>
    </row>
    <row r="119">
      <c r="A119" s="33">
        <v>400023.0</v>
      </c>
      <c r="B119" s="32" t="s">
        <v>454</v>
      </c>
      <c r="C119" s="32" t="s">
        <v>455</v>
      </c>
    </row>
    <row r="120">
      <c r="A120" s="33">
        <v>400024.0</v>
      </c>
      <c r="B120" s="32" t="s">
        <v>456</v>
      </c>
      <c r="C120" s="32" t="s">
        <v>457</v>
      </c>
    </row>
    <row r="121">
      <c r="A121" s="33">
        <v>400092.0</v>
      </c>
      <c r="B121" s="32" t="s">
        <v>458</v>
      </c>
      <c r="C121" s="32" t="s">
        <v>460</v>
      </c>
    </row>
    <row r="122">
      <c r="A122" s="33">
        <v>400025.0</v>
      </c>
      <c r="B122" s="32" t="s">
        <v>461</v>
      </c>
      <c r="C122" s="32" t="s">
        <v>463</v>
      </c>
    </row>
    <row r="123">
      <c r="A123" s="33">
        <v>400032.0</v>
      </c>
      <c r="B123" s="32" t="s">
        <v>464</v>
      </c>
      <c r="C123" s="32" t="s">
        <v>466</v>
      </c>
    </row>
    <row r="124">
      <c r="A124" s="33">
        <v>400027.0</v>
      </c>
      <c r="B124" s="32" t="s">
        <v>467</v>
      </c>
      <c r="C124" s="32" t="s">
        <v>468</v>
      </c>
    </row>
    <row r="125">
      <c r="A125" s="33">
        <v>400033.0</v>
      </c>
      <c r="B125" s="32" t="s">
        <v>469</v>
      </c>
      <c r="C125" s="32" t="s">
        <v>470</v>
      </c>
    </row>
    <row r="126">
      <c r="A126" s="33">
        <v>400026.0</v>
      </c>
      <c r="B126" s="32" t="s">
        <v>471</v>
      </c>
      <c r="C126" s="32" t="s">
        <v>472</v>
      </c>
    </row>
    <row r="127">
      <c r="A127" s="33">
        <v>400034.0</v>
      </c>
      <c r="B127" s="32" t="s">
        <v>473</v>
      </c>
      <c r="C127" s="32" t="s">
        <v>475</v>
      </c>
    </row>
    <row r="128">
      <c r="A128" s="33">
        <v>400028.0</v>
      </c>
      <c r="B128" s="32" t="s">
        <v>476</v>
      </c>
      <c r="C128" s="32" t="s">
        <v>477</v>
      </c>
    </row>
    <row r="129">
      <c r="A129" s="33">
        <v>400029.0</v>
      </c>
      <c r="B129" s="32" t="s">
        <v>478</v>
      </c>
      <c r="C129" s="32" t="s">
        <v>479</v>
      </c>
    </row>
    <row r="130">
      <c r="A130" s="33">
        <v>400030.0</v>
      </c>
      <c r="B130" s="32" t="s">
        <v>480</v>
      </c>
      <c r="C130" s="32" t="s">
        <v>481</v>
      </c>
    </row>
    <row r="131">
      <c r="A131" s="33">
        <v>400031.0</v>
      </c>
      <c r="B131" s="32" t="s">
        <v>482</v>
      </c>
      <c r="C131" s="32" t="s">
        <v>483</v>
      </c>
    </row>
    <row r="132">
      <c r="A132" s="33">
        <v>610347.0</v>
      </c>
      <c r="B132" s="32" t="s">
        <v>484</v>
      </c>
      <c r="C132" s="32" t="s">
        <v>486</v>
      </c>
    </row>
    <row r="133">
      <c r="A133" s="33">
        <v>609795.0</v>
      </c>
      <c r="B133" s="32" t="s">
        <v>487</v>
      </c>
      <c r="C133" s="32" t="s">
        <v>489</v>
      </c>
    </row>
    <row r="134">
      <c r="A134" s="33">
        <v>610244.0</v>
      </c>
      <c r="B134" s="32" t="s">
        <v>490</v>
      </c>
      <c r="C134" s="32" t="s">
        <v>492</v>
      </c>
    </row>
    <row r="135">
      <c r="A135" s="33">
        <v>609856.0</v>
      </c>
      <c r="B135" s="32" t="s">
        <v>493</v>
      </c>
      <c r="C135" s="32" t="s">
        <v>495</v>
      </c>
    </row>
    <row r="136">
      <c r="A136" s="33">
        <v>609759.0</v>
      </c>
      <c r="B136" s="32" t="s">
        <v>496</v>
      </c>
      <c r="C136" s="32" t="s">
        <v>498</v>
      </c>
    </row>
    <row r="137">
      <c r="A137" s="33">
        <v>609857.0</v>
      </c>
      <c r="B137" s="32" t="s">
        <v>499</v>
      </c>
      <c r="C137" s="32" t="s">
        <v>501</v>
      </c>
    </row>
    <row r="138">
      <c r="A138" s="33">
        <v>609859.0</v>
      </c>
      <c r="B138" s="32" t="s">
        <v>502</v>
      </c>
      <c r="C138" s="32" t="s">
        <v>504</v>
      </c>
    </row>
    <row r="139">
      <c r="A139" s="33">
        <v>609861.0</v>
      </c>
      <c r="B139" s="32" t="s">
        <v>505</v>
      </c>
      <c r="C139" s="32" t="s">
        <v>507</v>
      </c>
    </row>
    <row r="140">
      <c r="A140" s="33">
        <v>610199.0</v>
      </c>
      <c r="B140" s="32" t="s">
        <v>508</v>
      </c>
      <c r="C140" s="32" t="s">
        <v>510</v>
      </c>
    </row>
    <row r="141">
      <c r="A141" s="33">
        <v>609862.0</v>
      </c>
      <c r="B141" s="32" t="s">
        <v>511</v>
      </c>
      <c r="C141" s="32" t="s">
        <v>513</v>
      </c>
    </row>
    <row r="142">
      <c r="A142" s="33">
        <v>610499.0</v>
      </c>
      <c r="B142" s="32" t="s">
        <v>514</v>
      </c>
      <c r="C142" s="32" t="s">
        <v>516</v>
      </c>
    </row>
    <row r="143">
      <c r="A143" s="33">
        <v>610170.0</v>
      </c>
      <c r="B143" s="32" t="s">
        <v>518</v>
      </c>
      <c r="C143" s="32" t="s">
        <v>520</v>
      </c>
    </row>
    <row r="144">
      <c r="A144" s="33">
        <v>609864.0</v>
      </c>
      <c r="B144" s="32" t="s">
        <v>521</v>
      </c>
      <c r="C144" s="32" t="s">
        <v>523</v>
      </c>
    </row>
    <row r="145">
      <c r="A145" s="33">
        <v>609866.0</v>
      </c>
      <c r="B145" s="32" t="s">
        <v>524</v>
      </c>
      <c r="C145" s="32" t="s">
        <v>526</v>
      </c>
    </row>
    <row r="146">
      <c r="A146" s="33">
        <v>609867.0</v>
      </c>
      <c r="B146" s="32" t="s">
        <v>527</v>
      </c>
      <c r="C146" s="32" t="s">
        <v>530</v>
      </c>
    </row>
    <row r="147">
      <c r="A147" s="33">
        <v>609870.0</v>
      </c>
      <c r="B147" s="32" t="s">
        <v>531</v>
      </c>
      <c r="C147" s="32" t="s">
        <v>533</v>
      </c>
    </row>
    <row r="148">
      <c r="A148" s="33">
        <v>609761.0</v>
      </c>
      <c r="B148" s="32" t="s">
        <v>534</v>
      </c>
      <c r="C148" s="32" t="s">
        <v>536</v>
      </c>
    </row>
    <row r="149">
      <c r="A149" s="33">
        <v>610355.0</v>
      </c>
      <c r="B149" s="32" t="s">
        <v>537</v>
      </c>
      <c r="C149" s="32" t="s">
        <v>539</v>
      </c>
    </row>
    <row r="150">
      <c r="A150" s="33">
        <v>610561.0</v>
      </c>
      <c r="B150" s="32" t="s">
        <v>540</v>
      </c>
      <c r="C150" s="32" t="s">
        <v>542</v>
      </c>
    </row>
    <row r="151">
      <c r="A151" s="33">
        <v>609873.0</v>
      </c>
      <c r="B151" s="32" t="s">
        <v>543</v>
      </c>
      <c r="C151" s="32" t="s">
        <v>545</v>
      </c>
    </row>
    <row r="152">
      <c r="A152" s="33">
        <v>610003.0</v>
      </c>
      <c r="B152" s="32" t="s">
        <v>546</v>
      </c>
      <c r="C152" s="32" t="s">
        <v>548</v>
      </c>
    </row>
    <row r="153">
      <c r="A153" s="33">
        <v>610004.0</v>
      </c>
      <c r="B153" s="32" t="s">
        <v>549</v>
      </c>
      <c r="C153" s="32" t="s">
        <v>551</v>
      </c>
    </row>
    <row r="154">
      <c r="A154" s="33">
        <v>609756.0</v>
      </c>
      <c r="B154" s="32" t="s">
        <v>552</v>
      </c>
      <c r="C154" s="32" t="s">
        <v>554</v>
      </c>
    </row>
    <row r="155">
      <c r="A155" s="33">
        <v>609900.0</v>
      </c>
      <c r="B155" s="32" t="s">
        <v>555</v>
      </c>
      <c r="C155" s="32" t="s">
        <v>557</v>
      </c>
    </row>
    <row r="156">
      <c r="A156" s="33">
        <v>609833.0</v>
      </c>
      <c r="B156" s="32" t="s">
        <v>558</v>
      </c>
      <c r="C156" s="32" t="s">
        <v>560</v>
      </c>
    </row>
    <row r="157">
      <c r="A157" s="33">
        <v>610239.0</v>
      </c>
      <c r="B157" s="32" t="s">
        <v>561</v>
      </c>
      <c r="C157" s="32" t="s">
        <v>563</v>
      </c>
    </row>
    <row r="158">
      <c r="A158" s="33">
        <v>609875.0</v>
      </c>
      <c r="B158" s="32" t="s">
        <v>564</v>
      </c>
      <c r="C158" s="32" t="s">
        <v>566</v>
      </c>
    </row>
    <row r="159">
      <c r="A159" s="33">
        <v>610521.0</v>
      </c>
      <c r="B159" s="32" t="s">
        <v>567</v>
      </c>
      <c r="C159" s="32" t="s">
        <v>569</v>
      </c>
    </row>
    <row r="160">
      <c r="A160" s="33">
        <v>609876.0</v>
      </c>
      <c r="B160" s="32" t="s">
        <v>570</v>
      </c>
      <c r="C160" s="32" t="s">
        <v>572</v>
      </c>
    </row>
    <row r="161">
      <c r="A161" s="33">
        <v>609879.0</v>
      </c>
      <c r="B161" s="32" t="s">
        <v>573</v>
      </c>
      <c r="C161" s="32" t="s">
        <v>575</v>
      </c>
    </row>
    <row r="162">
      <c r="A162" s="33">
        <v>610313.0</v>
      </c>
      <c r="B162" s="32" t="s">
        <v>576</v>
      </c>
      <c r="C162" s="32" t="s">
        <v>578</v>
      </c>
    </row>
    <row r="163">
      <c r="A163" s="33">
        <v>609880.0</v>
      </c>
      <c r="B163" s="32" t="s">
        <v>579</v>
      </c>
      <c r="C163" s="32" t="s">
        <v>581</v>
      </c>
    </row>
    <row r="164">
      <c r="A164" s="33">
        <v>609883.0</v>
      </c>
      <c r="B164" s="32" t="s">
        <v>582</v>
      </c>
      <c r="C164" s="32" t="s">
        <v>584</v>
      </c>
    </row>
    <row r="165">
      <c r="A165" s="33">
        <v>610367.0</v>
      </c>
      <c r="B165" s="32" t="s">
        <v>585</v>
      </c>
      <c r="C165" s="32" t="s">
        <v>587</v>
      </c>
    </row>
    <row r="166">
      <c r="A166" s="33">
        <v>610252.0</v>
      </c>
      <c r="B166" s="32" t="s">
        <v>588</v>
      </c>
      <c r="C166" s="32" t="s">
        <v>590</v>
      </c>
    </row>
    <row r="167">
      <c r="A167" s="33">
        <v>609884.0</v>
      </c>
      <c r="B167" s="32" t="s">
        <v>591</v>
      </c>
      <c r="C167" s="32" t="s">
        <v>593</v>
      </c>
    </row>
    <row r="168">
      <c r="A168" s="33">
        <v>610402.0</v>
      </c>
      <c r="B168" s="32" t="s">
        <v>594</v>
      </c>
      <c r="C168" s="32" t="s">
        <v>596</v>
      </c>
    </row>
    <row r="169">
      <c r="A169" s="33">
        <v>609885.0</v>
      </c>
      <c r="B169" s="32" t="s">
        <v>597</v>
      </c>
      <c r="C169" s="32" t="s">
        <v>599</v>
      </c>
    </row>
    <row r="170">
      <c r="A170" s="33">
        <v>609874.0</v>
      </c>
      <c r="B170" s="32" t="s">
        <v>600</v>
      </c>
      <c r="C170" s="32" t="s">
        <v>602</v>
      </c>
    </row>
    <row r="171">
      <c r="A171" s="33">
        <v>610363.0</v>
      </c>
      <c r="B171" s="32" t="s">
        <v>603</v>
      </c>
      <c r="C171" s="32" t="s">
        <v>605</v>
      </c>
    </row>
    <row r="172">
      <c r="A172" s="33">
        <v>610515.0</v>
      </c>
      <c r="B172" s="32" t="s">
        <v>606</v>
      </c>
      <c r="C172" s="32" t="s">
        <v>608</v>
      </c>
    </row>
    <row r="173">
      <c r="A173" s="33">
        <v>610564.0</v>
      </c>
      <c r="B173" s="32" t="s">
        <v>609</v>
      </c>
      <c r="C173" s="32" t="s">
        <v>611</v>
      </c>
    </row>
    <row r="174">
      <c r="A174" s="33">
        <v>609887.0</v>
      </c>
      <c r="B174" s="32" t="s">
        <v>612</v>
      </c>
      <c r="C174" s="32" t="s">
        <v>614</v>
      </c>
    </row>
    <row r="175">
      <c r="A175" s="33">
        <v>609891.0</v>
      </c>
      <c r="B175" s="32" t="s">
        <v>615</v>
      </c>
      <c r="C175" s="32" t="s">
        <v>617</v>
      </c>
    </row>
    <row r="176">
      <c r="A176" s="33">
        <v>609893.0</v>
      </c>
      <c r="B176" s="32" t="s">
        <v>618</v>
      </c>
      <c r="C176" s="32" t="s">
        <v>620</v>
      </c>
    </row>
    <row r="177">
      <c r="A177" s="33">
        <v>610245.0</v>
      </c>
      <c r="B177" s="32" t="s">
        <v>621</v>
      </c>
      <c r="C177" s="32" t="s">
        <v>623</v>
      </c>
    </row>
    <row r="178">
      <c r="A178" s="33">
        <v>609894.0</v>
      </c>
      <c r="B178" s="32" t="s">
        <v>624</v>
      </c>
      <c r="C178" s="32" t="s">
        <v>626</v>
      </c>
    </row>
    <row r="179">
      <c r="A179" s="33">
        <v>609896.0</v>
      </c>
      <c r="B179" s="32" t="s">
        <v>627</v>
      </c>
      <c r="C179" s="32" t="s">
        <v>629</v>
      </c>
    </row>
    <row r="180">
      <c r="A180" s="33">
        <v>610364.0</v>
      </c>
      <c r="B180" s="32" t="s">
        <v>630</v>
      </c>
      <c r="C180" s="32" t="s">
        <v>632</v>
      </c>
    </row>
    <row r="181">
      <c r="A181" s="33">
        <v>610263.0</v>
      </c>
      <c r="B181" s="32" t="s">
        <v>633</v>
      </c>
      <c r="C181" s="32" t="s">
        <v>635</v>
      </c>
    </row>
    <row r="182">
      <c r="A182" s="33">
        <v>609676.0</v>
      </c>
      <c r="B182" s="32" t="s">
        <v>636</v>
      </c>
      <c r="C182" s="32" t="s">
        <v>638</v>
      </c>
    </row>
    <row r="183">
      <c r="A183" s="33">
        <v>610188.0</v>
      </c>
      <c r="B183" s="32" t="s">
        <v>639</v>
      </c>
      <c r="C183" s="32" t="s">
        <v>641</v>
      </c>
    </row>
    <row r="184">
      <c r="A184" s="33">
        <v>610352.0</v>
      </c>
      <c r="B184" s="32" t="s">
        <v>642</v>
      </c>
      <c r="C184" s="32" t="s">
        <v>644</v>
      </c>
    </row>
    <row r="185">
      <c r="A185" s="33">
        <v>610254.0</v>
      </c>
      <c r="B185" s="32" t="s">
        <v>645</v>
      </c>
      <c r="C185" s="32" t="s">
        <v>647</v>
      </c>
    </row>
    <row r="186">
      <c r="A186" s="33">
        <v>610587.0</v>
      </c>
      <c r="B186" s="32" t="s">
        <v>648</v>
      </c>
      <c r="C186" s="32" t="s">
        <v>650</v>
      </c>
    </row>
    <row r="187">
      <c r="A187" s="33">
        <v>610316.0</v>
      </c>
      <c r="B187" s="32" t="s">
        <v>651</v>
      </c>
      <c r="C187" s="32" t="s">
        <v>653</v>
      </c>
    </row>
    <row r="188">
      <c r="A188" s="33">
        <v>609897.0</v>
      </c>
      <c r="B188" s="32" t="s">
        <v>654</v>
      </c>
      <c r="C188" s="32" t="s">
        <v>656</v>
      </c>
    </row>
    <row r="189">
      <c r="A189" s="33">
        <v>609898.0</v>
      </c>
      <c r="B189" s="32" t="s">
        <v>657</v>
      </c>
      <c r="C189" s="32" t="s">
        <v>659</v>
      </c>
    </row>
    <row r="190">
      <c r="A190" s="33">
        <v>609899.0</v>
      </c>
      <c r="B190" s="32" t="s">
        <v>660</v>
      </c>
      <c r="C190" s="32" t="s">
        <v>662</v>
      </c>
    </row>
    <row r="191">
      <c r="A191" s="33">
        <v>609901.0</v>
      </c>
      <c r="B191" s="32" t="s">
        <v>663</v>
      </c>
      <c r="C191" s="32" t="s">
        <v>665</v>
      </c>
    </row>
    <row r="192">
      <c r="A192" s="33">
        <v>609794.0</v>
      </c>
      <c r="B192" s="32" t="s">
        <v>666</v>
      </c>
      <c r="C192" s="32" t="s">
        <v>98</v>
      </c>
    </row>
    <row r="193">
      <c r="A193" s="33">
        <v>610523.0</v>
      </c>
      <c r="B193" s="32" t="s">
        <v>668</v>
      </c>
      <c r="C193" s="32" t="s">
        <v>670</v>
      </c>
    </row>
    <row r="194">
      <c r="A194" s="33">
        <v>609903.0</v>
      </c>
      <c r="B194" s="32" t="s">
        <v>671</v>
      </c>
      <c r="C194" s="32" t="s">
        <v>673</v>
      </c>
    </row>
    <row r="195">
      <c r="A195" s="33">
        <v>609904.0</v>
      </c>
      <c r="B195" s="32" t="s">
        <v>674</v>
      </c>
      <c r="C195" s="32" t="s">
        <v>676</v>
      </c>
    </row>
    <row r="196">
      <c r="A196" s="33">
        <v>610592.0</v>
      </c>
      <c r="B196" s="32" t="s">
        <v>677</v>
      </c>
      <c r="C196" s="32" t="s">
        <v>679</v>
      </c>
    </row>
    <row r="197">
      <c r="A197" s="33">
        <v>400094.0</v>
      </c>
      <c r="B197" s="32" t="s">
        <v>680</v>
      </c>
      <c r="C197" s="32" t="s">
        <v>682</v>
      </c>
    </row>
    <row r="198">
      <c r="A198" s="33">
        <v>609907.0</v>
      </c>
      <c r="B198" s="32" t="s">
        <v>683</v>
      </c>
      <c r="C198" s="32" t="s">
        <v>685</v>
      </c>
    </row>
    <row r="199">
      <c r="A199" s="33">
        <v>400039.0</v>
      </c>
      <c r="B199" s="32" t="s">
        <v>686</v>
      </c>
      <c r="C199" s="32" t="s">
        <v>688</v>
      </c>
    </row>
    <row r="200">
      <c r="A200" s="33">
        <v>609908.0</v>
      </c>
      <c r="B200" s="32" t="s">
        <v>689</v>
      </c>
      <c r="C200" s="32" t="s">
        <v>691</v>
      </c>
    </row>
    <row r="201">
      <c r="A201" s="33">
        <v>609909.0</v>
      </c>
      <c r="B201" s="32" t="s">
        <v>692</v>
      </c>
      <c r="C201" s="32" t="s">
        <v>694</v>
      </c>
    </row>
    <row r="202">
      <c r="A202" s="33">
        <v>610319.0</v>
      </c>
      <c r="B202" s="32" t="s">
        <v>695</v>
      </c>
      <c r="C202" s="32" t="s">
        <v>697</v>
      </c>
    </row>
    <row r="203">
      <c r="A203" s="33">
        <v>610362.0</v>
      </c>
      <c r="B203" s="32" t="s">
        <v>698</v>
      </c>
      <c r="C203" s="32" t="s">
        <v>700</v>
      </c>
    </row>
    <row r="204">
      <c r="A204" s="33">
        <v>610565.0</v>
      </c>
      <c r="B204" s="32" t="s">
        <v>701</v>
      </c>
      <c r="C204" s="32" t="s">
        <v>703</v>
      </c>
    </row>
    <row r="205">
      <c r="A205" s="33">
        <v>400175.0</v>
      </c>
      <c r="B205" s="32" t="s">
        <v>704</v>
      </c>
      <c r="C205" s="32" t="s">
        <v>706</v>
      </c>
    </row>
    <row r="206">
      <c r="A206" s="33">
        <v>400176.0</v>
      </c>
      <c r="B206" s="32" t="s">
        <v>707</v>
      </c>
      <c r="C206" s="32" t="s">
        <v>709</v>
      </c>
    </row>
    <row r="207">
      <c r="A207" s="33">
        <v>610057.0</v>
      </c>
      <c r="B207" s="32" t="s">
        <v>710</v>
      </c>
      <c r="C207" s="32" t="s">
        <v>712</v>
      </c>
    </row>
    <row r="208">
      <c r="A208" s="33">
        <v>609910.0</v>
      </c>
      <c r="B208" s="32" t="s">
        <v>713</v>
      </c>
      <c r="C208" s="32" t="s">
        <v>715</v>
      </c>
    </row>
    <row r="209">
      <c r="A209" s="33">
        <v>610055.0</v>
      </c>
      <c r="B209" s="32" t="s">
        <v>716</v>
      </c>
      <c r="C209" s="32" t="s">
        <v>718</v>
      </c>
    </row>
    <row r="210">
      <c r="A210" s="33">
        <v>609928.0</v>
      </c>
      <c r="B210" s="32" t="s">
        <v>719</v>
      </c>
      <c r="C210" s="32" t="s">
        <v>721</v>
      </c>
    </row>
    <row r="211">
      <c r="A211" s="33">
        <v>609912.0</v>
      </c>
      <c r="B211" s="32" t="s">
        <v>722</v>
      </c>
      <c r="C211" s="32" t="s">
        <v>724</v>
      </c>
    </row>
    <row r="212">
      <c r="A212" s="33">
        <v>609704.0</v>
      </c>
      <c r="B212" s="32" t="s">
        <v>725</v>
      </c>
      <c r="C212" s="32" t="s">
        <v>727</v>
      </c>
    </row>
    <row r="213">
      <c r="A213" s="33">
        <v>609705.0</v>
      </c>
      <c r="B213" s="32" t="s">
        <v>728</v>
      </c>
      <c r="C213" s="32" t="s">
        <v>730</v>
      </c>
    </row>
    <row r="214">
      <c r="A214" s="33">
        <v>609917.0</v>
      </c>
      <c r="B214" s="32" t="s">
        <v>731</v>
      </c>
      <c r="C214" s="32" t="s">
        <v>733</v>
      </c>
    </row>
    <row r="215">
      <c r="A215" s="33">
        <v>609918.0</v>
      </c>
      <c r="B215" s="32" t="s">
        <v>734</v>
      </c>
      <c r="C215" s="32" t="s">
        <v>736</v>
      </c>
    </row>
    <row r="216">
      <c r="A216" s="33">
        <v>609967.0</v>
      </c>
      <c r="B216" s="32" t="s">
        <v>737</v>
      </c>
      <c r="C216" s="32" t="s">
        <v>739</v>
      </c>
    </row>
    <row r="217">
      <c r="A217" s="33">
        <v>610595.0</v>
      </c>
      <c r="B217" s="32" t="s">
        <v>740</v>
      </c>
      <c r="C217" s="32" t="s">
        <v>742</v>
      </c>
    </row>
    <row r="218">
      <c r="A218" s="33">
        <v>609919.0</v>
      </c>
      <c r="B218" s="32" t="s">
        <v>743</v>
      </c>
      <c r="C218" s="32" t="s">
        <v>745</v>
      </c>
    </row>
    <row r="219">
      <c r="A219" s="33">
        <v>609708.0</v>
      </c>
      <c r="B219" s="32" t="s">
        <v>746</v>
      </c>
      <c r="C219" s="32" t="s">
        <v>748</v>
      </c>
    </row>
    <row r="220">
      <c r="A220" s="33">
        <v>609924.0</v>
      </c>
      <c r="B220" s="32" t="s">
        <v>749</v>
      </c>
      <c r="C220" s="32" t="s">
        <v>751</v>
      </c>
    </row>
    <row r="221">
      <c r="A221" s="33">
        <v>609927.0</v>
      </c>
      <c r="B221" s="32" t="s">
        <v>752</v>
      </c>
      <c r="C221" s="32" t="s">
        <v>754</v>
      </c>
    </row>
    <row r="222">
      <c r="A222" s="33">
        <v>609926.0</v>
      </c>
      <c r="B222" s="32" t="s">
        <v>755</v>
      </c>
      <c r="C222" s="32" t="s">
        <v>757</v>
      </c>
    </row>
    <row r="223">
      <c r="A223" s="33">
        <v>610503.0</v>
      </c>
      <c r="B223" s="32" t="s">
        <v>759</v>
      </c>
      <c r="C223" s="32" t="s">
        <v>761</v>
      </c>
    </row>
    <row r="224">
      <c r="A224" s="33">
        <v>609929.0</v>
      </c>
      <c r="B224" s="32" t="s">
        <v>762</v>
      </c>
      <c r="C224" s="32" t="s">
        <v>764</v>
      </c>
    </row>
    <row r="225">
      <c r="A225" s="33">
        <v>609930.0</v>
      </c>
      <c r="B225" s="32" t="s">
        <v>765</v>
      </c>
      <c r="C225" s="32" t="s">
        <v>767</v>
      </c>
    </row>
    <row r="226">
      <c r="A226" s="33">
        <v>609709.0</v>
      </c>
      <c r="B226" s="32" t="s">
        <v>768</v>
      </c>
      <c r="C226" s="32" t="s">
        <v>770</v>
      </c>
    </row>
    <row r="227">
      <c r="A227" s="33">
        <v>609933.0</v>
      </c>
      <c r="B227" s="32" t="s">
        <v>771</v>
      </c>
      <c r="C227" s="32" t="s">
        <v>773</v>
      </c>
    </row>
    <row r="228">
      <c r="A228" s="33">
        <v>610009.0</v>
      </c>
      <c r="B228" s="32" t="s">
        <v>774</v>
      </c>
      <c r="C228" s="32" t="s">
        <v>776</v>
      </c>
    </row>
    <row r="229">
      <c r="A229" s="33">
        <v>609935.0</v>
      </c>
      <c r="B229" s="32" t="s">
        <v>777</v>
      </c>
      <c r="C229" s="32" t="s">
        <v>779</v>
      </c>
    </row>
    <row r="230">
      <c r="A230" s="33">
        <v>610128.0</v>
      </c>
      <c r="B230" s="32" t="s">
        <v>780</v>
      </c>
      <c r="C230" s="32" t="s">
        <v>782</v>
      </c>
    </row>
    <row r="231">
      <c r="A231" s="33">
        <v>609937.0</v>
      </c>
      <c r="B231" s="32" t="s">
        <v>783</v>
      </c>
      <c r="C231" s="32" t="s">
        <v>785</v>
      </c>
    </row>
    <row r="232">
      <c r="A232" s="33">
        <v>609938.0</v>
      </c>
      <c r="B232" s="32" t="s">
        <v>786</v>
      </c>
      <c r="C232" s="32" t="s">
        <v>788</v>
      </c>
    </row>
    <row r="233">
      <c r="A233" s="33">
        <v>609939.0</v>
      </c>
      <c r="B233" s="32" t="s">
        <v>789</v>
      </c>
      <c r="C233" s="32" t="s">
        <v>791</v>
      </c>
    </row>
    <row r="234">
      <c r="A234" s="33">
        <v>609863.0</v>
      </c>
      <c r="B234" s="32" t="s">
        <v>792</v>
      </c>
      <c r="C234" s="32" t="s">
        <v>794</v>
      </c>
    </row>
    <row r="235">
      <c r="A235" s="33">
        <v>400009.0</v>
      </c>
      <c r="B235" s="32" t="s">
        <v>795</v>
      </c>
      <c r="C235" s="32" t="s">
        <v>797</v>
      </c>
    </row>
    <row r="236">
      <c r="A236" s="33">
        <v>609942.0</v>
      </c>
      <c r="B236" s="32" t="s">
        <v>798</v>
      </c>
      <c r="C236" s="32" t="s">
        <v>800</v>
      </c>
    </row>
    <row r="237">
      <c r="A237" s="33">
        <v>610558.0</v>
      </c>
      <c r="B237" s="32" t="s">
        <v>801</v>
      </c>
      <c r="C237" s="32" t="s">
        <v>803</v>
      </c>
    </row>
    <row r="238">
      <c r="A238" s="33">
        <v>609945.0</v>
      </c>
      <c r="B238" s="32" t="s">
        <v>804</v>
      </c>
      <c r="C238" s="32" t="s">
        <v>806</v>
      </c>
    </row>
    <row r="239">
      <c r="A239" s="33">
        <v>609947.0</v>
      </c>
      <c r="B239" s="32" t="s">
        <v>808</v>
      </c>
      <c r="C239" s="32" t="s">
        <v>810</v>
      </c>
    </row>
    <row r="240">
      <c r="A240" s="33">
        <v>609769.0</v>
      </c>
      <c r="B240" s="32" t="s">
        <v>811</v>
      </c>
      <c r="C240" s="32" t="s">
        <v>813</v>
      </c>
    </row>
    <row r="241">
      <c r="A241" s="33">
        <v>609949.0</v>
      </c>
      <c r="B241" s="32" t="s">
        <v>814</v>
      </c>
      <c r="C241" s="32" t="s">
        <v>816</v>
      </c>
    </row>
    <row r="242">
      <c r="A242" s="33">
        <v>400168.0</v>
      </c>
      <c r="B242" s="32" t="s">
        <v>817</v>
      </c>
      <c r="C242" s="32" t="s">
        <v>819</v>
      </c>
    </row>
    <row r="243">
      <c r="A243" s="33">
        <v>609850.0</v>
      </c>
      <c r="B243" s="32" t="s">
        <v>820</v>
      </c>
      <c r="C243" s="32" t="s">
        <v>822</v>
      </c>
    </row>
    <row r="244">
      <c r="A244" s="33">
        <v>610032.0</v>
      </c>
      <c r="B244" s="32" t="s">
        <v>823</v>
      </c>
      <c r="C244" s="32" t="s">
        <v>825</v>
      </c>
    </row>
    <row r="245">
      <c r="A245" s="33">
        <v>609952.0</v>
      </c>
      <c r="B245" s="32" t="s">
        <v>826</v>
      </c>
      <c r="C245" s="32" t="s">
        <v>828</v>
      </c>
    </row>
    <row r="246">
      <c r="A246" s="33">
        <v>609954.0</v>
      </c>
      <c r="B246" s="32" t="s">
        <v>829</v>
      </c>
      <c r="C246" s="32" t="s">
        <v>831</v>
      </c>
    </row>
    <row r="247">
      <c r="A247" s="33">
        <v>609955.0</v>
      </c>
      <c r="B247" s="32" t="s">
        <v>832</v>
      </c>
      <c r="C247" s="32" t="s">
        <v>834</v>
      </c>
    </row>
    <row r="248">
      <c r="A248" s="33">
        <v>609956.0</v>
      </c>
      <c r="B248" s="32" t="s">
        <v>835</v>
      </c>
      <c r="C248" s="32" t="s">
        <v>837</v>
      </c>
    </row>
    <row r="249">
      <c r="A249" s="33">
        <v>609944.0</v>
      </c>
      <c r="B249" s="32" t="s">
        <v>838</v>
      </c>
      <c r="C249" s="32" t="s">
        <v>840</v>
      </c>
    </row>
    <row r="250">
      <c r="A250" s="33">
        <v>609958.0</v>
      </c>
      <c r="B250" s="32" t="s">
        <v>841</v>
      </c>
      <c r="C250" s="32" t="s">
        <v>843</v>
      </c>
    </row>
    <row r="251">
      <c r="A251" s="33">
        <v>609959.0</v>
      </c>
      <c r="B251" s="32" t="s">
        <v>844</v>
      </c>
      <c r="C251" s="32" t="s">
        <v>846</v>
      </c>
    </row>
    <row r="252">
      <c r="A252" s="33">
        <v>609960.0</v>
      </c>
      <c r="B252" s="32" t="s">
        <v>847</v>
      </c>
      <c r="C252" s="32" t="s">
        <v>849</v>
      </c>
    </row>
    <row r="253">
      <c r="A253" s="33">
        <v>609808.0</v>
      </c>
      <c r="B253" s="32" t="s">
        <v>850</v>
      </c>
      <c r="C253" s="32" t="s">
        <v>852</v>
      </c>
    </row>
    <row r="254">
      <c r="A254" s="33">
        <v>609963.0</v>
      </c>
      <c r="B254" s="32" t="s">
        <v>853</v>
      </c>
      <c r="C254" s="32" t="s">
        <v>855</v>
      </c>
    </row>
    <row r="255">
      <c r="A255" s="33">
        <v>609964.0</v>
      </c>
      <c r="B255" s="32" t="s">
        <v>856</v>
      </c>
      <c r="C255" s="32" t="s">
        <v>858</v>
      </c>
    </row>
    <row r="256">
      <c r="A256" s="33">
        <v>609966.0</v>
      </c>
      <c r="B256" s="32" t="s">
        <v>859</v>
      </c>
      <c r="C256" s="32" t="s">
        <v>861</v>
      </c>
    </row>
    <row r="257">
      <c r="A257" s="33">
        <v>609807.0</v>
      </c>
      <c r="B257" s="32" t="s">
        <v>862</v>
      </c>
      <c r="C257" s="32" t="s">
        <v>864</v>
      </c>
    </row>
    <row r="258">
      <c r="A258" s="33">
        <v>609694.0</v>
      </c>
      <c r="B258" s="32" t="s">
        <v>865</v>
      </c>
      <c r="C258" s="32" t="s">
        <v>867</v>
      </c>
    </row>
    <row r="259">
      <c r="A259" s="33">
        <v>610068.0</v>
      </c>
      <c r="B259" s="32" t="s">
        <v>868</v>
      </c>
      <c r="C259" s="32" t="s">
        <v>870</v>
      </c>
    </row>
    <row r="260">
      <c r="A260" s="33">
        <v>609710.0</v>
      </c>
      <c r="B260" s="32" t="s">
        <v>871</v>
      </c>
      <c r="C260" s="32" t="s">
        <v>873</v>
      </c>
    </row>
    <row r="261">
      <c r="A261" s="33">
        <v>609969.0</v>
      </c>
      <c r="B261" s="32" t="s">
        <v>874</v>
      </c>
      <c r="C261" s="32" t="s">
        <v>876</v>
      </c>
    </row>
    <row r="262">
      <c r="A262" s="33">
        <v>609971.0</v>
      </c>
      <c r="B262" s="32" t="s">
        <v>877</v>
      </c>
      <c r="C262" s="32" t="s">
        <v>879</v>
      </c>
    </row>
    <row r="263">
      <c r="A263" s="33">
        <v>609972.0</v>
      </c>
      <c r="B263" s="32" t="s">
        <v>880</v>
      </c>
      <c r="C263" s="32" t="s">
        <v>882</v>
      </c>
    </row>
    <row r="264">
      <c r="A264" s="33">
        <v>609974.0</v>
      </c>
      <c r="B264" s="32" t="s">
        <v>883</v>
      </c>
      <c r="C264" s="32" t="s">
        <v>885</v>
      </c>
    </row>
    <row r="265">
      <c r="A265" s="33">
        <v>609975.0</v>
      </c>
      <c r="B265" s="32" t="s">
        <v>887</v>
      </c>
      <c r="C265" s="32" t="s">
        <v>889</v>
      </c>
    </row>
    <row r="266">
      <c r="A266" s="33">
        <v>609976.0</v>
      </c>
      <c r="B266" s="32" t="s">
        <v>890</v>
      </c>
      <c r="C266" s="32" t="s">
        <v>892</v>
      </c>
    </row>
    <row r="267">
      <c r="A267" s="33">
        <v>609979.0</v>
      </c>
      <c r="B267" s="32" t="s">
        <v>893</v>
      </c>
      <c r="C267" s="32" t="s">
        <v>895</v>
      </c>
    </row>
    <row r="268">
      <c r="A268" s="33">
        <v>609981.0</v>
      </c>
      <c r="B268" s="32" t="s">
        <v>896</v>
      </c>
      <c r="C268" s="32" t="s">
        <v>898</v>
      </c>
    </row>
    <row r="269">
      <c r="A269" s="33">
        <v>609983.0</v>
      </c>
      <c r="B269" s="32" t="s">
        <v>899</v>
      </c>
      <c r="C269" s="32" t="s">
        <v>901</v>
      </c>
    </row>
    <row r="270">
      <c r="A270" s="33">
        <v>609985.0</v>
      </c>
      <c r="B270" s="32" t="s">
        <v>902</v>
      </c>
      <c r="C270" s="32" t="s">
        <v>904</v>
      </c>
    </row>
    <row r="271">
      <c r="A271" s="33">
        <v>609986.0</v>
      </c>
      <c r="B271" s="32" t="s">
        <v>905</v>
      </c>
      <c r="C271" s="32" t="s">
        <v>907</v>
      </c>
    </row>
    <row r="272">
      <c r="A272" s="33">
        <v>609987.0</v>
      </c>
      <c r="B272" s="32" t="s">
        <v>908</v>
      </c>
      <c r="C272" s="32" t="s">
        <v>910</v>
      </c>
    </row>
    <row r="273">
      <c r="A273" s="33">
        <v>609988.0</v>
      </c>
      <c r="B273" s="32" t="s">
        <v>911</v>
      </c>
      <c r="C273" s="32" t="s">
        <v>913</v>
      </c>
    </row>
    <row r="274">
      <c r="A274" s="33">
        <v>610532.0</v>
      </c>
      <c r="B274" s="32" t="s">
        <v>914</v>
      </c>
      <c r="C274" s="32" t="s">
        <v>916</v>
      </c>
    </row>
    <row r="275">
      <c r="A275" s="33">
        <v>609991.0</v>
      </c>
      <c r="B275" s="32" t="s">
        <v>917</v>
      </c>
      <c r="C275" s="32" t="s">
        <v>919</v>
      </c>
    </row>
    <row r="276">
      <c r="A276" s="33">
        <v>609994.0</v>
      </c>
      <c r="B276" s="32" t="s">
        <v>920</v>
      </c>
      <c r="C276" s="32" t="s">
        <v>922</v>
      </c>
    </row>
    <row r="277">
      <c r="A277" s="33">
        <v>610295.0</v>
      </c>
      <c r="B277" s="32" t="s">
        <v>923</v>
      </c>
      <c r="C277" s="32" t="s">
        <v>925</v>
      </c>
    </row>
    <row r="278">
      <c r="A278" s="33">
        <v>609712.0</v>
      </c>
      <c r="B278" s="32" t="s">
        <v>926</v>
      </c>
      <c r="C278" s="32" t="s">
        <v>928</v>
      </c>
    </row>
    <row r="279">
      <c r="A279" s="33">
        <v>609995.0</v>
      </c>
      <c r="B279" s="32" t="s">
        <v>929</v>
      </c>
      <c r="C279" s="32" t="s">
        <v>931</v>
      </c>
    </row>
    <row r="280">
      <c r="A280" s="33">
        <v>609996.0</v>
      </c>
      <c r="B280" s="32" t="s">
        <v>932</v>
      </c>
      <c r="C280" s="32" t="s">
        <v>934</v>
      </c>
    </row>
    <row r="281">
      <c r="A281" s="33">
        <v>609997.0</v>
      </c>
      <c r="B281" s="32" t="s">
        <v>935</v>
      </c>
      <c r="C281" s="32" t="s">
        <v>937</v>
      </c>
    </row>
    <row r="282">
      <c r="A282" s="33">
        <v>400167.0</v>
      </c>
      <c r="B282" s="32" t="s">
        <v>938</v>
      </c>
      <c r="C282" s="32" t="s">
        <v>940</v>
      </c>
    </row>
    <row r="283">
      <c r="A283" s="33">
        <v>610000.0</v>
      </c>
      <c r="B283" s="32" t="s">
        <v>941</v>
      </c>
      <c r="C283" s="32" t="s">
        <v>943</v>
      </c>
    </row>
    <row r="284">
      <c r="A284" s="33">
        <v>610002.0</v>
      </c>
      <c r="B284" s="32" t="s">
        <v>944</v>
      </c>
      <c r="C284" s="32" t="s">
        <v>946</v>
      </c>
    </row>
    <row r="285">
      <c r="A285" s="33">
        <v>609741.0</v>
      </c>
      <c r="B285" s="32" t="s">
        <v>947</v>
      </c>
      <c r="C285" s="32" t="s">
        <v>949</v>
      </c>
    </row>
    <row r="286">
      <c r="A286" s="33">
        <v>610005.0</v>
      </c>
      <c r="B286" s="32" t="s">
        <v>950</v>
      </c>
      <c r="C286" s="32" t="s">
        <v>952</v>
      </c>
    </row>
    <row r="287">
      <c r="A287" s="33">
        <v>610368.0</v>
      </c>
      <c r="B287" s="32" t="s">
        <v>953</v>
      </c>
      <c r="C287" s="32" t="s">
        <v>955</v>
      </c>
    </row>
    <row r="288">
      <c r="A288" s="33">
        <v>610006.0</v>
      </c>
      <c r="B288" s="32" t="s">
        <v>956</v>
      </c>
      <c r="C288" s="32" t="s">
        <v>958</v>
      </c>
    </row>
    <row r="289">
      <c r="A289" s="33">
        <v>609713.0</v>
      </c>
      <c r="B289" s="32" t="s">
        <v>959</v>
      </c>
      <c r="C289" s="32" t="s">
        <v>961</v>
      </c>
    </row>
    <row r="290">
      <c r="A290" s="33">
        <v>610384.0</v>
      </c>
      <c r="B290" s="32" t="s">
        <v>962</v>
      </c>
      <c r="C290" s="32" t="s">
        <v>964</v>
      </c>
    </row>
    <row r="291">
      <c r="A291" s="33">
        <v>400104.0</v>
      </c>
      <c r="B291" s="32" t="s">
        <v>965</v>
      </c>
      <c r="C291" s="32" t="s">
        <v>967</v>
      </c>
    </row>
    <row r="292">
      <c r="A292" s="33">
        <v>400164.0</v>
      </c>
      <c r="B292" s="32" t="s">
        <v>968</v>
      </c>
      <c r="C292" s="32" t="s">
        <v>970</v>
      </c>
    </row>
    <row r="293">
      <c r="A293" s="33">
        <v>610078.0</v>
      </c>
      <c r="B293" s="32" t="s">
        <v>971</v>
      </c>
      <c r="C293" s="32" t="s">
        <v>973</v>
      </c>
    </row>
    <row r="294">
      <c r="A294" s="33">
        <v>400162.0</v>
      </c>
      <c r="B294" s="32" t="s">
        <v>974</v>
      </c>
      <c r="C294" s="32" t="s">
        <v>976</v>
      </c>
    </row>
    <row r="295">
      <c r="A295" s="33">
        <v>610121.0</v>
      </c>
      <c r="B295" s="32" t="s">
        <v>977</v>
      </c>
      <c r="C295" s="32" t="s">
        <v>979</v>
      </c>
    </row>
    <row r="296">
      <c r="A296" s="33">
        <v>610369.0</v>
      </c>
      <c r="B296" s="32" t="s">
        <v>980</v>
      </c>
      <c r="C296" s="32" t="s">
        <v>982</v>
      </c>
    </row>
    <row r="297">
      <c r="A297" s="33">
        <v>610010.0</v>
      </c>
      <c r="B297" s="32" t="s">
        <v>983</v>
      </c>
      <c r="C297" s="32" t="s">
        <v>985</v>
      </c>
    </row>
    <row r="298">
      <c r="A298" s="33">
        <v>610011.0</v>
      </c>
      <c r="B298" s="32" t="s">
        <v>986</v>
      </c>
      <c r="C298" s="32" t="s">
        <v>988</v>
      </c>
    </row>
    <row r="299">
      <c r="A299" s="33">
        <v>609783.0</v>
      </c>
      <c r="B299" s="32" t="s">
        <v>989</v>
      </c>
      <c r="C299" s="32" t="s">
        <v>991</v>
      </c>
    </row>
    <row r="300">
      <c r="A300" s="33">
        <v>610271.0</v>
      </c>
      <c r="B300" s="32" t="s">
        <v>992</v>
      </c>
      <c r="C300" s="32" t="s">
        <v>994</v>
      </c>
    </row>
    <row r="301">
      <c r="A301" s="33">
        <v>610274.0</v>
      </c>
      <c r="B301" s="32" t="s">
        <v>995</v>
      </c>
      <c r="C301" s="32" t="s">
        <v>997</v>
      </c>
    </row>
    <row r="302">
      <c r="A302" s="33">
        <v>609678.0</v>
      </c>
      <c r="B302" s="32" t="s">
        <v>998</v>
      </c>
      <c r="C302" s="32" t="s">
        <v>1000</v>
      </c>
    </row>
    <row r="303">
      <c r="A303" s="33">
        <v>609805.0</v>
      </c>
      <c r="B303" s="32" t="s">
        <v>1001</v>
      </c>
      <c r="C303" s="32" t="s">
        <v>1003</v>
      </c>
    </row>
    <row r="304">
      <c r="A304" s="33">
        <v>609865.0</v>
      </c>
      <c r="B304" s="32" t="s">
        <v>1004</v>
      </c>
      <c r="C304" s="32" t="s">
        <v>1006</v>
      </c>
    </row>
    <row r="305">
      <c r="A305" s="33">
        <v>609764.0</v>
      </c>
      <c r="B305" s="32" t="s">
        <v>1007</v>
      </c>
      <c r="C305" s="32" t="s">
        <v>1009</v>
      </c>
    </row>
    <row r="306">
      <c r="A306" s="33">
        <v>609762.0</v>
      </c>
      <c r="B306" s="32" t="s">
        <v>1010</v>
      </c>
      <c r="C306" s="32" t="s">
        <v>1012</v>
      </c>
    </row>
    <row r="307">
      <c r="A307" s="33">
        <v>610015.0</v>
      </c>
      <c r="B307" s="32" t="s">
        <v>1013</v>
      </c>
      <c r="C307" s="32" t="s">
        <v>1015</v>
      </c>
    </row>
    <row r="308">
      <c r="A308" s="33">
        <v>609920.0</v>
      </c>
      <c r="B308" s="32" t="s">
        <v>1016</v>
      </c>
      <c r="C308" s="32" t="s">
        <v>1018</v>
      </c>
    </row>
    <row r="309">
      <c r="A309" s="33">
        <v>610084.0</v>
      </c>
      <c r="B309" s="32" t="s">
        <v>1019</v>
      </c>
      <c r="C309" s="32" t="s">
        <v>1021</v>
      </c>
    </row>
    <row r="310">
      <c r="A310" s="33">
        <v>609925.0</v>
      </c>
      <c r="B310" s="32" t="s">
        <v>1022</v>
      </c>
      <c r="C310" s="32" t="s">
        <v>1024</v>
      </c>
    </row>
    <row r="311">
      <c r="A311" s="33">
        <v>610016.0</v>
      </c>
      <c r="B311" s="32" t="s">
        <v>1025</v>
      </c>
      <c r="C311" s="32" t="s">
        <v>1027</v>
      </c>
    </row>
    <row r="312">
      <c r="A312" s="33">
        <v>609715.0</v>
      </c>
      <c r="B312" s="32" t="s">
        <v>1028</v>
      </c>
      <c r="C312" s="32" t="s">
        <v>1030</v>
      </c>
    </row>
    <row r="313">
      <c r="A313" s="33">
        <v>609716.0</v>
      </c>
      <c r="B313" s="32" t="s">
        <v>1031</v>
      </c>
      <c r="C313" s="32" t="s">
        <v>1033</v>
      </c>
    </row>
    <row r="314">
      <c r="A314" s="33">
        <v>609718.0</v>
      </c>
      <c r="B314" s="32" t="s">
        <v>1034</v>
      </c>
      <c r="C314" s="32" t="s">
        <v>1036</v>
      </c>
    </row>
    <row r="315">
      <c r="A315" s="33">
        <v>609746.0</v>
      </c>
      <c r="B315" s="32" t="s">
        <v>1037</v>
      </c>
      <c r="C315" s="32" t="s">
        <v>1039</v>
      </c>
    </row>
    <row r="316">
      <c r="A316" s="33">
        <v>610019.0</v>
      </c>
      <c r="B316" s="32" t="s">
        <v>1040</v>
      </c>
      <c r="C316" s="32" t="s">
        <v>1042</v>
      </c>
    </row>
    <row r="317">
      <c r="A317" s="33">
        <v>610022.0</v>
      </c>
      <c r="B317" s="32" t="s">
        <v>1043</v>
      </c>
      <c r="C317" s="32" t="s">
        <v>1045</v>
      </c>
    </row>
    <row r="318">
      <c r="A318" s="33">
        <v>610299.0</v>
      </c>
      <c r="B318" s="32" t="s">
        <v>1046</v>
      </c>
      <c r="C318" s="32" t="s">
        <v>1048</v>
      </c>
    </row>
    <row r="319">
      <c r="A319" s="33">
        <v>609751.0</v>
      </c>
      <c r="B319" s="32" t="s">
        <v>1049</v>
      </c>
      <c r="C319" s="32" t="s">
        <v>1051</v>
      </c>
    </row>
    <row r="320">
      <c r="A320" s="33">
        <v>610026.0</v>
      </c>
      <c r="B320" s="32" t="s">
        <v>1052</v>
      </c>
      <c r="C320" s="32" t="s">
        <v>1054</v>
      </c>
    </row>
    <row r="321">
      <c r="A321" s="33">
        <v>610027.0</v>
      </c>
      <c r="B321" s="32" t="s">
        <v>1055</v>
      </c>
      <c r="C321" s="32" t="s">
        <v>1057</v>
      </c>
    </row>
    <row r="322">
      <c r="A322" s="33">
        <v>400146.0</v>
      </c>
      <c r="B322" s="32" t="s">
        <v>1058</v>
      </c>
      <c r="C322" s="32" t="s">
        <v>1060</v>
      </c>
    </row>
    <row r="323">
      <c r="A323" s="33">
        <v>400044.0</v>
      </c>
      <c r="B323" s="32" t="s">
        <v>1061</v>
      </c>
      <c r="C323" s="32" t="s">
        <v>1063</v>
      </c>
    </row>
    <row r="324">
      <c r="A324" s="33">
        <v>400163.0</v>
      </c>
      <c r="B324" s="32" t="s">
        <v>1064</v>
      </c>
      <c r="C324" s="32" t="s">
        <v>1066</v>
      </c>
    </row>
    <row r="325">
      <c r="A325" s="33">
        <v>400180.0</v>
      </c>
      <c r="B325" s="32" t="s">
        <v>1067</v>
      </c>
      <c r="C325" s="32" t="s">
        <v>1069</v>
      </c>
    </row>
    <row r="326">
      <c r="A326" s="33">
        <v>610030.0</v>
      </c>
      <c r="B326" s="32" t="s">
        <v>1070</v>
      </c>
      <c r="C326" s="32" t="s">
        <v>1072</v>
      </c>
    </row>
    <row r="327">
      <c r="A327" s="33">
        <v>609719.0</v>
      </c>
      <c r="B327" s="32" t="s">
        <v>1073</v>
      </c>
      <c r="C327" s="32" t="s">
        <v>1075</v>
      </c>
    </row>
    <row r="328">
      <c r="A328" s="33">
        <v>609720.0</v>
      </c>
      <c r="B328" s="32" t="s">
        <v>1076</v>
      </c>
      <c r="C328" s="32" t="s">
        <v>1078</v>
      </c>
    </row>
    <row r="329">
      <c r="A329" s="33">
        <v>609869.0</v>
      </c>
      <c r="B329" s="32" t="s">
        <v>1079</v>
      </c>
      <c r="C329" s="32" t="s">
        <v>1081</v>
      </c>
    </row>
    <row r="330">
      <c r="A330" s="33">
        <v>609993.0</v>
      </c>
      <c r="B330" s="32" t="s">
        <v>1082</v>
      </c>
      <c r="C330" s="32" t="s">
        <v>1084</v>
      </c>
    </row>
    <row r="331">
      <c r="A331" s="33">
        <v>610033.0</v>
      </c>
      <c r="B331" s="32" t="s">
        <v>1085</v>
      </c>
      <c r="C331" s="32" t="s">
        <v>1087</v>
      </c>
    </row>
    <row r="332">
      <c r="A332" s="33">
        <v>610520.0</v>
      </c>
      <c r="B332" s="32" t="s">
        <v>1088</v>
      </c>
      <c r="C332" s="32" t="s">
        <v>1090</v>
      </c>
    </row>
    <row r="333">
      <c r="A333" s="33">
        <v>610208.0</v>
      </c>
      <c r="B333" s="32" t="s">
        <v>1091</v>
      </c>
      <c r="C333" s="32" t="s">
        <v>1093</v>
      </c>
    </row>
    <row r="334">
      <c r="A334" s="33">
        <v>610034.0</v>
      </c>
      <c r="B334" s="32" t="s">
        <v>1094</v>
      </c>
      <c r="C334" s="32" t="s">
        <v>1096</v>
      </c>
    </row>
    <row r="335">
      <c r="A335" s="33">
        <v>400151.0</v>
      </c>
      <c r="B335" s="32" t="s">
        <v>1097</v>
      </c>
      <c r="C335" s="32" t="s">
        <v>1099</v>
      </c>
    </row>
    <row r="336">
      <c r="A336" s="33">
        <v>400046.0</v>
      </c>
      <c r="B336" s="32" t="s">
        <v>1100</v>
      </c>
      <c r="C336" s="32" t="s">
        <v>1102</v>
      </c>
    </row>
    <row r="337">
      <c r="A337" s="33">
        <v>400047.0</v>
      </c>
      <c r="B337" s="32" t="s">
        <v>1103</v>
      </c>
      <c r="C337" s="32" t="s">
        <v>1105</v>
      </c>
    </row>
    <row r="338">
      <c r="A338" s="33">
        <v>400048.0</v>
      </c>
      <c r="B338" s="32" t="s">
        <v>1106</v>
      </c>
      <c r="C338" s="32" t="s">
        <v>1099</v>
      </c>
    </row>
    <row r="339">
      <c r="A339" s="33">
        <v>400165.0</v>
      </c>
      <c r="B339" s="32" t="s">
        <v>1108</v>
      </c>
      <c r="C339" s="32" t="s">
        <v>1099</v>
      </c>
    </row>
    <row r="340">
      <c r="A340" s="33">
        <v>400111.0</v>
      </c>
      <c r="B340" s="32" t="s">
        <v>1110</v>
      </c>
      <c r="C340" s="32" t="s">
        <v>1112</v>
      </c>
    </row>
    <row r="341">
      <c r="A341" s="33">
        <v>400107.0</v>
      </c>
      <c r="B341" s="32" t="s">
        <v>1113</v>
      </c>
      <c r="C341" s="32" t="s">
        <v>1115</v>
      </c>
    </row>
    <row r="342">
      <c r="A342" s="33">
        <v>610291.0</v>
      </c>
      <c r="B342" s="32" t="s">
        <v>1116</v>
      </c>
      <c r="C342" s="32" t="s">
        <v>1118</v>
      </c>
    </row>
    <row r="343">
      <c r="A343" s="33">
        <v>400049.0</v>
      </c>
      <c r="B343" s="32" t="s">
        <v>1119</v>
      </c>
      <c r="C343" s="32" t="s">
        <v>1121</v>
      </c>
    </row>
    <row r="344">
      <c r="A344" s="33">
        <v>400119.0</v>
      </c>
      <c r="B344" s="32" t="s">
        <v>1122</v>
      </c>
      <c r="C344" s="32" t="s">
        <v>1124</v>
      </c>
    </row>
    <row r="345">
      <c r="A345" s="33">
        <v>610305.0</v>
      </c>
      <c r="B345" s="32" t="s">
        <v>1125</v>
      </c>
      <c r="C345" s="32" t="s">
        <v>1127</v>
      </c>
    </row>
    <row r="346">
      <c r="A346" s="33">
        <v>610298.0</v>
      </c>
      <c r="B346" s="32" t="s">
        <v>1128</v>
      </c>
      <c r="C346" s="32" t="s">
        <v>1130</v>
      </c>
    </row>
    <row r="347">
      <c r="A347" s="33">
        <v>610036.0</v>
      </c>
      <c r="B347" s="32" t="s">
        <v>1131</v>
      </c>
      <c r="C347" s="32" t="s">
        <v>1133</v>
      </c>
    </row>
    <row r="348">
      <c r="A348" s="33">
        <v>610037.0</v>
      </c>
      <c r="B348" s="32" t="s">
        <v>1134</v>
      </c>
      <c r="C348" s="32" t="s">
        <v>1136</v>
      </c>
    </row>
    <row r="349">
      <c r="A349" s="33">
        <v>610038.0</v>
      </c>
      <c r="B349" s="32" t="s">
        <v>1137</v>
      </c>
      <c r="C349" s="32" t="s">
        <v>1139</v>
      </c>
    </row>
    <row r="350">
      <c r="A350" s="33">
        <v>609738.0</v>
      </c>
      <c r="B350" s="32" t="s">
        <v>1140</v>
      </c>
      <c r="C350" s="32" t="s">
        <v>1142</v>
      </c>
    </row>
    <row r="351">
      <c r="A351" s="33">
        <v>610391.0</v>
      </c>
      <c r="B351" s="32" t="s">
        <v>1143</v>
      </c>
      <c r="C351" s="32" t="s">
        <v>1145</v>
      </c>
    </row>
    <row r="352">
      <c r="A352" s="33">
        <v>609834.0</v>
      </c>
      <c r="B352" s="32" t="s">
        <v>1146</v>
      </c>
      <c r="C352" s="32" t="s">
        <v>1148</v>
      </c>
    </row>
    <row r="353">
      <c r="A353" s="33">
        <v>610040.0</v>
      </c>
      <c r="B353" s="32" t="s">
        <v>1149</v>
      </c>
      <c r="C353" s="32" t="s">
        <v>1151</v>
      </c>
    </row>
    <row r="354">
      <c r="A354" s="33">
        <v>400011.0</v>
      </c>
      <c r="B354" s="32" t="s">
        <v>1152</v>
      </c>
      <c r="C354" s="32" t="s">
        <v>1154</v>
      </c>
    </row>
    <row r="355">
      <c r="A355" s="33">
        <v>610041.0</v>
      </c>
      <c r="B355" s="32" t="s">
        <v>1155</v>
      </c>
      <c r="C355" s="32" t="s">
        <v>1157</v>
      </c>
    </row>
    <row r="356">
      <c r="A356" s="33">
        <v>610074.0</v>
      </c>
      <c r="B356" s="32" t="s">
        <v>1158</v>
      </c>
      <c r="C356" s="32" t="s">
        <v>1159</v>
      </c>
    </row>
    <row r="357">
      <c r="A357" s="33">
        <v>610541.0</v>
      </c>
      <c r="B357" s="32" t="s">
        <v>1160</v>
      </c>
      <c r="C357" s="32" t="s">
        <v>1162</v>
      </c>
    </row>
    <row r="358">
      <c r="A358" s="33">
        <v>610043.0</v>
      </c>
      <c r="B358" s="32" t="s">
        <v>1163</v>
      </c>
      <c r="C358" s="32" t="s">
        <v>1165</v>
      </c>
    </row>
    <row r="359">
      <c r="A359" s="33">
        <v>610044.0</v>
      </c>
      <c r="B359" s="32" t="s">
        <v>1166</v>
      </c>
      <c r="C359" s="32" t="s">
        <v>1168</v>
      </c>
    </row>
    <row r="360">
      <c r="A360" s="33">
        <v>610029.0</v>
      </c>
      <c r="B360" s="32" t="s">
        <v>1169</v>
      </c>
      <c r="C360" s="32" t="s">
        <v>1171</v>
      </c>
    </row>
    <row r="361">
      <c r="A361" s="33">
        <v>610046.0</v>
      </c>
      <c r="B361" s="32" t="s">
        <v>1172</v>
      </c>
      <c r="C361" s="32" t="s">
        <v>1174</v>
      </c>
    </row>
    <row r="362">
      <c r="A362" s="33">
        <v>610215.0</v>
      </c>
      <c r="B362" s="32" t="s">
        <v>1175</v>
      </c>
      <c r="C362" s="32" t="s">
        <v>1177</v>
      </c>
    </row>
    <row r="363">
      <c r="A363" s="33">
        <v>610047.0</v>
      </c>
      <c r="B363" s="32" t="s">
        <v>1178</v>
      </c>
      <c r="C363" s="32" t="s">
        <v>1180</v>
      </c>
    </row>
    <row r="364">
      <c r="A364" s="33">
        <v>610048.0</v>
      </c>
      <c r="B364" s="32" t="s">
        <v>1181</v>
      </c>
      <c r="C364" s="32" t="s">
        <v>1183</v>
      </c>
    </row>
    <row r="365">
      <c r="A365" s="33">
        <v>609722.0</v>
      </c>
      <c r="B365" s="32" t="s">
        <v>1184</v>
      </c>
      <c r="C365" s="32" t="s">
        <v>1186</v>
      </c>
    </row>
    <row r="366">
      <c r="A366" s="33">
        <v>610052.0</v>
      </c>
      <c r="B366" s="32" t="s">
        <v>1187</v>
      </c>
      <c r="C366" s="32" t="s">
        <v>1189</v>
      </c>
    </row>
    <row r="367">
      <c r="A367" s="33">
        <v>609780.0</v>
      </c>
      <c r="B367" s="32" t="s">
        <v>1190</v>
      </c>
      <c r="C367" s="32" t="s">
        <v>1192</v>
      </c>
    </row>
    <row r="368">
      <c r="A368" s="33">
        <v>610053.0</v>
      </c>
      <c r="B368" s="32" t="s">
        <v>1193</v>
      </c>
      <c r="C368" s="32" t="s">
        <v>1195</v>
      </c>
    </row>
    <row r="369">
      <c r="A369" s="33">
        <v>610054.0</v>
      </c>
      <c r="B369" s="32" t="s">
        <v>1196</v>
      </c>
      <c r="C369" s="32" t="s">
        <v>1198</v>
      </c>
    </row>
    <row r="370">
      <c r="A370" s="33">
        <v>609723.0</v>
      </c>
      <c r="B370" s="32" t="s">
        <v>1199</v>
      </c>
      <c r="C370" s="32" t="s">
        <v>1201</v>
      </c>
    </row>
    <row r="371">
      <c r="A371" s="33">
        <v>610056.0</v>
      </c>
      <c r="B371" s="32" t="s">
        <v>1202</v>
      </c>
      <c r="C371" s="32" t="s">
        <v>1204</v>
      </c>
    </row>
    <row r="372">
      <c r="A372" s="33">
        <v>609724.0</v>
      </c>
      <c r="B372" s="32" t="s">
        <v>1205</v>
      </c>
      <c r="C372" s="32" t="s">
        <v>1207</v>
      </c>
    </row>
    <row r="373">
      <c r="A373" s="33">
        <v>610059.0</v>
      </c>
      <c r="B373" s="32" t="s">
        <v>1208</v>
      </c>
      <c r="C373" s="32" t="s">
        <v>1210</v>
      </c>
    </row>
    <row r="374">
      <c r="A374" s="33">
        <v>610290.0</v>
      </c>
      <c r="B374" s="32" t="s">
        <v>1211</v>
      </c>
      <c r="C374" s="32" t="s">
        <v>1213</v>
      </c>
    </row>
    <row r="375">
      <c r="A375" s="33">
        <v>609968.0</v>
      </c>
      <c r="B375" s="32" t="s">
        <v>1214</v>
      </c>
      <c r="C375" s="32" t="s">
        <v>1216</v>
      </c>
    </row>
    <row r="376">
      <c r="A376" s="33">
        <v>610063.0</v>
      </c>
      <c r="B376" s="32" t="s">
        <v>1217</v>
      </c>
      <c r="C376" s="32" t="s">
        <v>1219</v>
      </c>
    </row>
    <row r="377">
      <c r="A377" s="33">
        <v>610269.0</v>
      </c>
      <c r="B377" s="32" t="s">
        <v>1220</v>
      </c>
      <c r="C377" s="32" t="s">
        <v>1222</v>
      </c>
    </row>
    <row r="378">
      <c r="A378" s="33">
        <v>610066.0</v>
      </c>
      <c r="B378" s="32" t="s">
        <v>1223</v>
      </c>
      <c r="C378" s="32" t="s">
        <v>1225</v>
      </c>
    </row>
    <row r="379">
      <c r="A379" s="33">
        <v>610312.0</v>
      </c>
      <c r="B379" s="32" t="s">
        <v>1226</v>
      </c>
      <c r="C379" s="32" t="s">
        <v>1228</v>
      </c>
    </row>
    <row r="380">
      <c r="A380" s="33">
        <v>610067.0</v>
      </c>
      <c r="B380" s="32" t="s">
        <v>1229</v>
      </c>
      <c r="C380" s="32" t="s">
        <v>1231</v>
      </c>
    </row>
    <row r="381">
      <c r="A381" s="33">
        <v>610282.0</v>
      </c>
      <c r="B381" s="32" t="s">
        <v>1232</v>
      </c>
      <c r="C381" s="32" t="s">
        <v>1234</v>
      </c>
    </row>
    <row r="382">
      <c r="A382" s="33">
        <v>610070.0</v>
      </c>
      <c r="B382" s="32" t="s">
        <v>1235</v>
      </c>
      <c r="C382" s="32" t="s">
        <v>1237</v>
      </c>
    </row>
    <row r="383">
      <c r="A383" s="33">
        <v>610293.0</v>
      </c>
      <c r="B383" s="32" t="s">
        <v>1238</v>
      </c>
      <c r="C383" s="32" t="s">
        <v>1240</v>
      </c>
    </row>
    <row r="384">
      <c r="A384" s="33">
        <v>609902.0</v>
      </c>
      <c r="B384" s="32" t="s">
        <v>1241</v>
      </c>
      <c r="C384" s="32" t="s">
        <v>1243</v>
      </c>
    </row>
    <row r="385">
      <c r="A385" s="33">
        <v>610062.0</v>
      </c>
      <c r="B385" s="32" t="s">
        <v>1244</v>
      </c>
      <c r="C385" s="32" t="s">
        <v>1246</v>
      </c>
    </row>
    <row r="386">
      <c r="A386" s="33">
        <v>610171.0</v>
      </c>
      <c r="B386" s="32" t="s">
        <v>1247</v>
      </c>
      <c r="C386" s="32" t="s">
        <v>1249</v>
      </c>
    </row>
    <row r="387">
      <c r="A387" s="33">
        <v>610073.0</v>
      </c>
      <c r="B387" s="32" t="s">
        <v>1250</v>
      </c>
      <c r="C387" s="32" t="s">
        <v>1252</v>
      </c>
    </row>
    <row r="388">
      <c r="A388" s="33">
        <v>610276.0</v>
      </c>
      <c r="B388" s="32" t="s">
        <v>1253</v>
      </c>
      <c r="C388" s="32" t="s">
        <v>1255</v>
      </c>
    </row>
    <row r="389">
      <c r="A389" s="33">
        <v>610203.0</v>
      </c>
      <c r="B389" s="32" t="s">
        <v>1256</v>
      </c>
      <c r="C389" s="32" t="s">
        <v>1258</v>
      </c>
    </row>
    <row r="390">
      <c r="A390" s="33">
        <v>400116.0</v>
      </c>
      <c r="B390" s="32" t="s">
        <v>1259</v>
      </c>
      <c r="C390" s="32" t="s">
        <v>1261</v>
      </c>
    </row>
    <row r="391">
      <c r="A391" s="33">
        <v>610076.0</v>
      </c>
      <c r="B391" s="32" t="s">
        <v>1262</v>
      </c>
      <c r="C391" s="32" t="s">
        <v>1264</v>
      </c>
    </row>
    <row r="392">
      <c r="A392" s="33">
        <v>609725.0</v>
      </c>
      <c r="B392" s="32" t="s">
        <v>1265</v>
      </c>
      <c r="C392" s="32" t="s">
        <v>1267</v>
      </c>
    </row>
    <row r="393">
      <c r="A393" s="33">
        <v>610077.0</v>
      </c>
      <c r="B393" s="32" t="s">
        <v>1268</v>
      </c>
      <c r="C393" s="32" t="s">
        <v>1270</v>
      </c>
    </row>
    <row r="394">
      <c r="A394" s="33">
        <v>610257.0</v>
      </c>
      <c r="B394" s="32" t="s">
        <v>1271</v>
      </c>
      <c r="C394" s="32" t="s">
        <v>1273</v>
      </c>
    </row>
    <row r="395">
      <c r="A395" s="33">
        <v>609804.0</v>
      </c>
      <c r="B395" s="32" t="s">
        <v>1274</v>
      </c>
      <c r="C395" s="32" t="s">
        <v>1276</v>
      </c>
    </row>
    <row r="396">
      <c r="A396" s="33">
        <v>610082.0</v>
      </c>
      <c r="B396" s="32" t="s">
        <v>1277</v>
      </c>
      <c r="C396" s="32" t="s">
        <v>1279</v>
      </c>
    </row>
    <row r="397">
      <c r="A397" s="33">
        <v>610086.0</v>
      </c>
      <c r="B397" s="32" t="s">
        <v>1280</v>
      </c>
      <c r="C397" s="32" t="s">
        <v>1282</v>
      </c>
    </row>
    <row r="398">
      <c r="A398" s="33">
        <v>400178.0</v>
      </c>
      <c r="B398" s="32" t="s">
        <v>1283</v>
      </c>
      <c r="C398" s="32" t="s">
        <v>1285</v>
      </c>
    </row>
    <row r="399">
      <c r="A399" s="33">
        <v>610088.0</v>
      </c>
      <c r="B399" s="32" t="s">
        <v>1286</v>
      </c>
      <c r="C399" s="32" t="s">
        <v>1288</v>
      </c>
    </row>
    <row r="400">
      <c r="A400" s="33">
        <v>610385.0</v>
      </c>
      <c r="B400" s="32" t="s">
        <v>1289</v>
      </c>
      <c r="C400" s="32" t="s">
        <v>964</v>
      </c>
    </row>
    <row r="401">
      <c r="A401" s="33">
        <v>610089.0</v>
      </c>
      <c r="B401" s="32" t="s">
        <v>1291</v>
      </c>
      <c r="C401" s="32" t="s">
        <v>1293</v>
      </c>
    </row>
    <row r="402">
      <c r="A402" s="33">
        <v>610090.0</v>
      </c>
      <c r="B402" s="32" t="s">
        <v>1294</v>
      </c>
      <c r="C402" s="32" t="s">
        <v>1296</v>
      </c>
    </row>
    <row r="403">
      <c r="A403" s="33">
        <v>400050.0</v>
      </c>
      <c r="B403" s="32" t="s">
        <v>1297</v>
      </c>
      <c r="C403" s="32" t="s">
        <v>1299</v>
      </c>
    </row>
    <row r="404">
      <c r="A404" s="33">
        <v>610092.0</v>
      </c>
      <c r="B404" s="32" t="s">
        <v>1300</v>
      </c>
      <c r="C404" s="32" t="s">
        <v>1302</v>
      </c>
    </row>
    <row r="405">
      <c r="A405" s="33">
        <v>610231.0</v>
      </c>
      <c r="B405" s="32" t="s">
        <v>1303</v>
      </c>
      <c r="C405" s="32" t="s">
        <v>1305</v>
      </c>
    </row>
    <row r="406">
      <c r="A406" s="33">
        <v>610093.0</v>
      </c>
      <c r="B406" s="32" t="s">
        <v>1306</v>
      </c>
      <c r="C406" s="32" t="s">
        <v>1308</v>
      </c>
    </row>
    <row r="407">
      <c r="A407" s="33">
        <v>610094.0</v>
      </c>
      <c r="B407" s="32" t="s">
        <v>1309</v>
      </c>
      <c r="C407" s="32" t="s">
        <v>1311</v>
      </c>
    </row>
    <row r="408">
      <c r="A408" s="33">
        <v>610284.0</v>
      </c>
      <c r="B408" s="32" t="s">
        <v>1312</v>
      </c>
      <c r="C408" s="32" t="s">
        <v>1314</v>
      </c>
    </row>
    <row r="409">
      <c r="A409" s="33">
        <v>610193.0</v>
      </c>
      <c r="B409" s="32" t="s">
        <v>1315</v>
      </c>
      <c r="C409" s="32" t="s">
        <v>1317</v>
      </c>
    </row>
    <row r="410">
      <c r="A410" s="33">
        <v>610095.0</v>
      </c>
      <c r="B410" s="32" t="s">
        <v>1318</v>
      </c>
      <c r="C410" s="32" t="s">
        <v>1320</v>
      </c>
    </row>
    <row r="411">
      <c r="A411" s="33">
        <v>609793.0</v>
      </c>
      <c r="B411" s="32" t="s">
        <v>1321</v>
      </c>
      <c r="C411" s="32" t="s">
        <v>1323</v>
      </c>
    </row>
    <row r="412">
      <c r="A412" s="33">
        <v>610096.0</v>
      </c>
      <c r="B412" s="32" t="s">
        <v>1324</v>
      </c>
      <c r="C412" s="32" t="s">
        <v>1326</v>
      </c>
    </row>
    <row r="413">
      <c r="A413" s="33">
        <v>609961.0</v>
      </c>
      <c r="B413" s="32" t="s">
        <v>1327</v>
      </c>
      <c r="C413" s="32" t="s">
        <v>1329</v>
      </c>
    </row>
    <row r="414">
      <c r="A414" s="33">
        <v>610097.0</v>
      </c>
      <c r="B414" s="32" t="s">
        <v>1330</v>
      </c>
      <c r="C414" s="32" t="s">
        <v>1332</v>
      </c>
    </row>
    <row r="415">
      <c r="A415" s="33">
        <v>400058.0</v>
      </c>
      <c r="B415" s="32" t="s">
        <v>1333</v>
      </c>
      <c r="C415" s="32" t="s">
        <v>1335</v>
      </c>
    </row>
    <row r="416">
      <c r="A416" s="33">
        <v>400059.0</v>
      </c>
      <c r="B416" s="32" t="s">
        <v>1336</v>
      </c>
      <c r="C416" s="32" t="s">
        <v>516</v>
      </c>
    </row>
    <row r="417">
      <c r="A417" s="33">
        <v>610098.0</v>
      </c>
      <c r="B417" s="32" t="s">
        <v>1338</v>
      </c>
      <c r="C417" s="32" t="s">
        <v>1340</v>
      </c>
    </row>
    <row r="418">
      <c r="A418" s="33">
        <v>400170.0</v>
      </c>
      <c r="B418" s="32" t="s">
        <v>1341</v>
      </c>
      <c r="C418" s="32" t="s">
        <v>1343</v>
      </c>
    </row>
    <row r="419">
      <c r="A419" s="33">
        <v>400157.0</v>
      </c>
      <c r="B419" s="32" t="s">
        <v>1344</v>
      </c>
      <c r="C419" s="32" t="s">
        <v>264</v>
      </c>
    </row>
    <row r="420">
      <c r="A420" s="33">
        <v>400097.0</v>
      </c>
      <c r="B420" s="32" t="s">
        <v>1346</v>
      </c>
      <c r="C420" s="32" t="s">
        <v>1348</v>
      </c>
    </row>
    <row r="421">
      <c r="A421" s="33">
        <v>400156.0</v>
      </c>
      <c r="B421" s="32" t="s">
        <v>1349</v>
      </c>
      <c r="C421" s="32" t="s">
        <v>536</v>
      </c>
    </row>
    <row r="422">
      <c r="A422" s="33">
        <v>400052.0</v>
      </c>
      <c r="B422" s="32" t="s">
        <v>1351</v>
      </c>
      <c r="C422" s="32" t="s">
        <v>1353</v>
      </c>
    </row>
    <row r="423">
      <c r="A423" s="33">
        <v>400118.0</v>
      </c>
      <c r="B423" s="32" t="s">
        <v>1354</v>
      </c>
      <c r="C423" s="32" t="s">
        <v>1356</v>
      </c>
    </row>
    <row r="424">
      <c r="A424" s="33">
        <v>400053.0</v>
      </c>
      <c r="B424" s="32" t="s">
        <v>1357</v>
      </c>
      <c r="C424" s="32" t="s">
        <v>1359</v>
      </c>
    </row>
    <row r="425">
      <c r="A425" s="33">
        <v>400117.0</v>
      </c>
      <c r="B425" s="32" t="s">
        <v>1360</v>
      </c>
      <c r="C425" s="32" t="s">
        <v>1362</v>
      </c>
    </row>
    <row r="426">
      <c r="A426" s="33">
        <v>400169.0</v>
      </c>
      <c r="B426" s="32" t="s">
        <v>1363</v>
      </c>
      <c r="C426" s="32" t="s">
        <v>1365</v>
      </c>
    </row>
    <row r="427">
      <c r="A427" s="33">
        <v>400106.0</v>
      </c>
      <c r="B427" s="32" t="s">
        <v>1366</v>
      </c>
      <c r="C427" s="32" t="s">
        <v>1368</v>
      </c>
    </row>
    <row r="428">
      <c r="A428" s="33">
        <v>400179.0</v>
      </c>
      <c r="B428" s="32" t="s">
        <v>1369</v>
      </c>
      <c r="C428" s="32" t="s">
        <v>1371</v>
      </c>
    </row>
    <row r="429">
      <c r="A429" s="33">
        <v>400098.0</v>
      </c>
      <c r="B429" s="32" t="s">
        <v>1372</v>
      </c>
      <c r="C429" s="32" t="s">
        <v>1374</v>
      </c>
    </row>
    <row r="430">
      <c r="A430" s="33">
        <v>400051.0</v>
      </c>
      <c r="B430" s="32" t="s">
        <v>1375</v>
      </c>
      <c r="C430" s="32" t="s">
        <v>1377</v>
      </c>
    </row>
    <row r="431">
      <c r="A431" s="33">
        <v>400054.0</v>
      </c>
      <c r="B431" s="32" t="s">
        <v>1378</v>
      </c>
      <c r="C431" s="32" t="s">
        <v>1380</v>
      </c>
    </row>
    <row r="432">
      <c r="A432" s="33">
        <v>400055.0</v>
      </c>
      <c r="B432" s="32" t="s">
        <v>1381</v>
      </c>
      <c r="C432" s="32" t="s">
        <v>1383</v>
      </c>
    </row>
    <row r="433">
      <c r="A433" s="33">
        <v>400056.0</v>
      </c>
      <c r="B433" s="32" t="s">
        <v>1384</v>
      </c>
      <c r="C433" s="32" t="s">
        <v>1386</v>
      </c>
    </row>
    <row r="434">
      <c r="A434" s="33">
        <v>400057.0</v>
      </c>
      <c r="B434" s="32" t="s">
        <v>1387</v>
      </c>
      <c r="C434" s="32" t="s">
        <v>1389</v>
      </c>
    </row>
    <row r="435">
      <c r="A435" s="33">
        <v>610354.0</v>
      </c>
      <c r="B435" s="32" t="s">
        <v>1390</v>
      </c>
      <c r="C435" s="32" t="s">
        <v>155</v>
      </c>
    </row>
    <row r="436">
      <c r="A436" s="33">
        <v>609691.0</v>
      </c>
      <c r="B436" s="32" t="s">
        <v>1392</v>
      </c>
      <c r="C436" s="32" t="s">
        <v>1394</v>
      </c>
    </row>
    <row r="437">
      <c r="A437" s="33">
        <v>609744.0</v>
      </c>
      <c r="B437" s="32" t="s">
        <v>1395</v>
      </c>
      <c r="C437" s="32" t="s">
        <v>1397</v>
      </c>
    </row>
    <row r="438">
      <c r="A438" s="33">
        <v>609749.0</v>
      </c>
      <c r="B438" s="32" t="s">
        <v>1398</v>
      </c>
      <c r="C438" s="32" t="s">
        <v>1400</v>
      </c>
    </row>
    <row r="439">
      <c r="A439" s="33">
        <v>610051.0</v>
      </c>
      <c r="B439" s="32" t="s">
        <v>1401</v>
      </c>
      <c r="C439" s="32" t="s">
        <v>233</v>
      </c>
    </row>
    <row r="440">
      <c r="A440" s="33">
        <v>610099.0</v>
      </c>
      <c r="B440" s="32" t="s">
        <v>1403</v>
      </c>
      <c r="C440" s="32" t="s">
        <v>1405</v>
      </c>
    </row>
    <row r="441">
      <c r="A441" s="33">
        <v>610101.0</v>
      </c>
      <c r="B441" s="32" t="s">
        <v>1406</v>
      </c>
      <c r="C441" s="32" t="s">
        <v>1408</v>
      </c>
    </row>
    <row r="442">
      <c r="A442" s="33">
        <v>610529.0</v>
      </c>
      <c r="B442" s="32" t="s">
        <v>1409</v>
      </c>
      <c r="C442" s="32" t="s">
        <v>1411</v>
      </c>
    </row>
    <row r="443">
      <c r="A443" s="33">
        <v>610102.0</v>
      </c>
      <c r="B443" s="32" t="s">
        <v>1412</v>
      </c>
      <c r="C443" s="32" t="s">
        <v>1414</v>
      </c>
    </row>
    <row r="444">
      <c r="A444" s="33">
        <v>610103.0</v>
      </c>
      <c r="B444" s="32" t="s">
        <v>1415</v>
      </c>
      <c r="C444" s="32" t="s">
        <v>1417</v>
      </c>
    </row>
    <row r="445">
      <c r="A445" s="33">
        <v>610569.0</v>
      </c>
      <c r="B445" s="32" t="s">
        <v>1418</v>
      </c>
      <c r="C445" s="32" t="s">
        <v>1421</v>
      </c>
    </row>
    <row r="446">
      <c r="A446" s="33">
        <v>610593.0</v>
      </c>
      <c r="B446" s="32" t="s">
        <v>1422</v>
      </c>
      <c r="C446" s="32" t="s">
        <v>1424</v>
      </c>
    </row>
    <row r="447">
      <c r="A447" s="33">
        <v>610570.0</v>
      </c>
      <c r="B447" s="32" t="s">
        <v>1425</v>
      </c>
      <c r="C447" s="32" t="s">
        <v>1427</v>
      </c>
    </row>
    <row r="448">
      <c r="A448" s="33">
        <v>610571.0</v>
      </c>
      <c r="B448" s="32" t="s">
        <v>1428</v>
      </c>
      <c r="C448" s="32" t="s">
        <v>1430</v>
      </c>
    </row>
    <row r="449">
      <c r="A449" s="33">
        <v>610104.0</v>
      </c>
      <c r="B449" s="32" t="s">
        <v>1431</v>
      </c>
      <c r="C449" s="32" t="s">
        <v>1433</v>
      </c>
    </row>
    <row r="450">
      <c r="A450" s="33">
        <v>610105.0</v>
      </c>
      <c r="B450" s="32" t="s">
        <v>1434</v>
      </c>
      <c r="C450" s="32" t="s">
        <v>1436</v>
      </c>
    </row>
    <row r="451">
      <c r="A451" s="33">
        <v>610329.0</v>
      </c>
      <c r="B451" s="32" t="s">
        <v>1437</v>
      </c>
      <c r="C451" s="32" t="s">
        <v>1439</v>
      </c>
    </row>
    <row r="452">
      <c r="A452" s="33">
        <v>610389.0</v>
      </c>
      <c r="B452" s="32" t="s">
        <v>1440</v>
      </c>
      <c r="C452" s="32" t="s">
        <v>1442</v>
      </c>
    </row>
    <row r="453">
      <c r="A453" s="33">
        <v>609950.0</v>
      </c>
      <c r="B453" s="32" t="s">
        <v>1443</v>
      </c>
      <c r="C453" s="32" t="s">
        <v>1445</v>
      </c>
    </row>
    <row r="454">
      <c r="A454" s="33">
        <v>610107.0</v>
      </c>
      <c r="B454" s="32" t="s">
        <v>1446</v>
      </c>
      <c r="C454" s="32" t="s">
        <v>1448</v>
      </c>
    </row>
    <row r="455">
      <c r="A455" s="33">
        <v>610108.0</v>
      </c>
      <c r="B455" s="32" t="s">
        <v>1449</v>
      </c>
      <c r="C455" s="32" t="s">
        <v>1451</v>
      </c>
    </row>
    <row r="456">
      <c r="A456" s="33">
        <v>610109.0</v>
      </c>
      <c r="B456" s="32" t="s">
        <v>1452</v>
      </c>
      <c r="C456" s="32" t="s">
        <v>1454</v>
      </c>
    </row>
    <row r="457">
      <c r="A457" s="33">
        <v>609943.0</v>
      </c>
      <c r="B457" s="32" t="s">
        <v>1455</v>
      </c>
      <c r="C457" s="32" t="s">
        <v>1457</v>
      </c>
    </row>
    <row r="458">
      <c r="A458" s="33">
        <v>610111.0</v>
      </c>
      <c r="B458" s="32" t="s">
        <v>1458</v>
      </c>
      <c r="C458" s="32" t="s">
        <v>1460</v>
      </c>
    </row>
    <row r="459">
      <c r="A459" s="33">
        <v>610115.0</v>
      </c>
      <c r="B459" s="32" t="s">
        <v>1461</v>
      </c>
      <c r="C459" s="32" t="s">
        <v>1463</v>
      </c>
    </row>
    <row r="460">
      <c r="A460" s="33">
        <v>610112.0</v>
      </c>
      <c r="B460" s="32" t="s">
        <v>1464</v>
      </c>
      <c r="C460" s="32" t="s">
        <v>1466</v>
      </c>
    </row>
    <row r="461">
      <c r="A461" s="33">
        <v>610116.0</v>
      </c>
      <c r="B461" s="32" t="s">
        <v>1467</v>
      </c>
      <c r="C461" s="32" t="s">
        <v>1469</v>
      </c>
    </row>
    <row r="462">
      <c r="A462" s="33">
        <v>610117.0</v>
      </c>
      <c r="B462" s="32" t="s">
        <v>1470</v>
      </c>
      <c r="C462" s="32" t="s">
        <v>1472</v>
      </c>
    </row>
    <row r="463">
      <c r="A463" s="33">
        <v>610557.0</v>
      </c>
      <c r="B463" s="32" t="s">
        <v>1473</v>
      </c>
      <c r="C463" s="32" t="s">
        <v>1475</v>
      </c>
    </row>
    <row r="464">
      <c r="A464" s="33">
        <v>610568.0</v>
      </c>
      <c r="B464" s="32" t="s">
        <v>1476</v>
      </c>
      <c r="C464" s="32" t="s">
        <v>1478</v>
      </c>
    </row>
    <row r="465">
      <c r="A465" s="33">
        <v>400173.0</v>
      </c>
      <c r="B465" s="32" t="s">
        <v>1479</v>
      </c>
      <c r="C465" s="32" t="s">
        <v>1481</v>
      </c>
    </row>
    <row r="466">
      <c r="A466" s="33">
        <v>610594.0</v>
      </c>
      <c r="B466" s="32" t="s">
        <v>1482</v>
      </c>
      <c r="C466" s="32" t="s">
        <v>1484</v>
      </c>
    </row>
    <row r="467">
      <c r="A467" s="33">
        <v>609680.0</v>
      </c>
      <c r="B467" s="32" t="s">
        <v>1485</v>
      </c>
      <c r="C467" s="32" t="s">
        <v>1487</v>
      </c>
    </row>
    <row r="468">
      <c r="A468" s="33">
        <v>610386.0</v>
      </c>
      <c r="B468" s="32" t="s">
        <v>1488</v>
      </c>
      <c r="C468" s="32" t="s">
        <v>1490</v>
      </c>
    </row>
    <row r="469">
      <c r="A469" s="33">
        <v>610120.0</v>
      </c>
      <c r="B469" s="32" t="s">
        <v>1491</v>
      </c>
      <c r="C469" s="32" t="s">
        <v>1493</v>
      </c>
    </row>
    <row r="470">
      <c r="A470" s="33">
        <v>610122.0</v>
      </c>
      <c r="B470" s="32" t="s">
        <v>1494</v>
      </c>
      <c r="C470" s="32" t="s">
        <v>1496</v>
      </c>
    </row>
    <row r="471">
      <c r="A471" s="33">
        <v>610123.0</v>
      </c>
      <c r="B471" s="32" t="s">
        <v>1497</v>
      </c>
      <c r="C471" s="32" t="s">
        <v>1063</v>
      </c>
    </row>
    <row r="472">
      <c r="A472" s="33">
        <v>609872.0</v>
      </c>
      <c r="B472" s="32" t="s">
        <v>1499</v>
      </c>
      <c r="C472" s="32" t="s">
        <v>1501</v>
      </c>
    </row>
    <row r="473">
      <c r="A473" s="33">
        <v>610126.0</v>
      </c>
      <c r="B473" s="32" t="s">
        <v>1502</v>
      </c>
      <c r="C473" s="32" t="s">
        <v>1504</v>
      </c>
    </row>
    <row r="474">
      <c r="A474" s="33">
        <v>400064.0</v>
      </c>
      <c r="B474" s="32" t="s">
        <v>1505</v>
      </c>
      <c r="C474" s="32" t="s">
        <v>1507</v>
      </c>
    </row>
    <row r="475">
      <c r="A475" s="33">
        <v>400061.0</v>
      </c>
      <c r="B475" s="32" t="s">
        <v>1508</v>
      </c>
      <c r="C475" s="32" t="s">
        <v>1510</v>
      </c>
    </row>
    <row r="476">
      <c r="A476" s="33">
        <v>400066.0</v>
      </c>
      <c r="B476" s="32" t="s">
        <v>1511</v>
      </c>
      <c r="C476" s="32" t="s">
        <v>1513</v>
      </c>
    </row>
    <row r="477">
      <c r="A477" s="33">
        <v>400062.0</v>
      </c>
      <c r="B477" s="32" t="s">
        <v>1514</v>
      </c>
      <c r="C477" s="32" t="s">
        <v>1510</v>
      </c>
    </row>
    <row r="478">
      <c r="A478" s="33">
        <v>610127.0</v>
      </c>
      <c r="B478" s="32" t="s">
        <v>1516</v>
      </c>
      <c r="C478" s="32" t="s">
        <v>1518</v>
      </c>
    </row>
    <row r="479">
      <c r="A479" s="33">
        <v>609727.0</v>
      </c>
      <c r="B479" s="32" t="s">
        <v>1519</v>
      </c>
      <c r="C479" s="32" t="s">
        <v>1521</v>
      </c>
    </row>
    <row r="480">
      <c r="A480" s="33">
        <v>610304.0</v>
      </c>
      <c r="B480" s="32" t="s">
        <v>1522</v>
      </c>
      <c r="C480" s="32" t="s">
        <v>1524</v>
      </c>
    </row>
    <row r="481">
      <c r="A481" s="33">
        <v>610106.0</v>
      </c>
      <c r="B481" s="32" t="s">
        <v>1525</v>
      </c>
      <c r="C481" s="32" t="s">
        <v>1527</v>
      </c>
    </row>
    <row r="482">
      <c r="A482" s="33">
        <v>610129.0</v>
      </c>
      <c r="B482" s="32" t="s">
        <v>1528</v>
      </c>
      <c r="C482" s="32" t="s">
        <v>1530</v>
      </c>
    </row>
    <row r="483">
      <c r="A483" s="33">
        <v>610013.0</v>
      </c>
      <c r="B483" s="32" t="s">
        <v>1531</v>
      </c>
      <c r="C483" s="32" t="s">
        <v>1533</v>
      </c>
    </row>
    <row r="484">
      <c r="A484" s="33">
        <v>610130.0</v>
      </c>
      <c r="B484" s="32" t="s">
        <v>1534</v>
      </c>
      <c r="C484" s="32" t="s">
        <v>1536</v>
      </c>
    </row>
    <row r="485">
      <c r="A485" s="33">
        <v>610131.0</v>
      </c>
      <c r="B485" s="32" t="s">
        <v>1537</v>
      </c>
      <c r="C485" s="32" t="s">
        <v>1539</v>
      </c>
    </row>
    <row r="486">
      <c r="A486" s="33">
        <v>400068.0</v>
      </c>
      <c r="B486" s="32" t="s">
        <v>1540</v>
      </c>
      <c r="C486" s="32" t="s">
        <v>1542</v>
      </c>
    </row>
    <row r="487">
      <c r="A487" s="33">
        <v>610132.0</v>
      </c>
      <c r="B487" s="32" t="s">
        <v>1543</v>
      </c>
      <c r="C487" s="32" t="s">
        <v>1545</v>
      </c>
    </row>
    <row r="488">
      <c r="A488" s="33">
        <v>400069.0</v>
      </c>
      <c r="B488" s="32" t="s">
        <v>1546</v>
      </c>
      <c r="C488" s="32" t="s">
        <v>1548</v>
      </c>
    </row>
    <row r="489">
      <c r="A489" s="33">
        <v>610135.0</v>
      </c>
      <c r="B489" s="32" t="s">
        <v>1549</v>
      </c>
      <c r="C489" s="32" t="s">
        <v>1551</v>
      </c>
    </row>
    <row r="490">
      <c r="A490" s="33">
        <v>610281.0</v>
      </c>
      <c r="B490" s="32" t="s">
        <v>1552</v>
      </c>
      <c r="C490" s="32" t="s">
        <v>1554</v>
      </c>
    </row>
    <row r="491">
      <c r="A491" s="33">
        <v>610136.0</v>
      </c>
      <c r="B491" s="32" t="s">
        <v>1555</v>
      </c>
      <c r="C491" s="32" t="s">
        <v>1557</v>
      </c>
    </row>
    <row r="492">
      <c r="A492" s="33">
        <v>610533.0</v>
      </c>
      <c r="B492" s="32" t="s">
        <v>1558</v>
      </c>
      <c r="C492" s="32" t="s">
        <v>1560</v>
      </c>
    </row>
    <row r="493">
      <c r="A493" s="33">
        <v>610229.0</v>
      </c>
      <c r="B493" s="32" t="s">
        <v>1561</v>
      </c>
      <c r="C493" s="32" t="s">
        <v>1563</v>
      </c>
    </row>
    <row r="494">
      <c r="A494" s="33">
        <v>609679.0</v>
      </c>
      <c r="B494" s="32" t="s">
        <v>1564</v>
      </c>
      <c r="C494" s="32" t="s">
        <v>1566</v>
      </c>
    </row>
    <row r="495">
      <c r="A495" s="33">
        <v>400071.0</v>
      </c>
      <c r="B495" s="32" t="s">
        <v>1567</v>
      </c>
      <c r="C495" s="32" t="s">
        <v>1569</v>
      </c>
    </row>
    <row r="496">
      <c r="A496" s="33">
        <v>610137.0</v>
      </c>
      <c r="B496" s="32" t="s">
        <v>1570</v>
      </c>
      <c r="C496" s="32" t="s">
        <v>1572</v>
      </c>
    </row>
    <row r="497">
      <c r="A497" s="33">
        <v>610138.0</v>
      </c>
      <c r="B497" s="32" t="s">
        <v>1573</v>
      </c>
      <c r="C497" s="32" t="s">
        <v>1575</v>
      </c>
    </row>
    <row r="498">
      <c r="A498" s="33">
        <v>610139.0</v>
      </c>
      <c r="B498" s="32" t="s">
        <v>1576</v>
      </c>
      <c r="C498" s="32" t="s">
        <v>1578</v>
      </c>
    </row>
    <row r="499">
      <c r="A499" s="33">
        <v>610334.0</v>
      </c>
      <c r="B499" s="32" t="s">
        <v>1579</v>
      </c>
      <c r="C499" s="32" t="s">
        <v>1581</v>
      </c>
    </row>
    <row r="500">
      <c r="A500" s="33">
        <v>609941.0</v>
      </c>
      <c r="B500" s="32" t="s">
        <v>1582</v>
      </c>
      <c r="C500" s="32" t="s">
        <v>1584</v>
      </c>
    </row>
    <row r="501">
      <c r="A501" s="33">
        <v>610141.0</v>
      </c>
      <c r="B501" s="32" t="s">
        <v>1585</v>
      </c>
      <c r="C501" s="32" t="s">
        <v>1587</v>
      </c>
    </row>
    <row r="502">
      <c r="A502" s="33">
        <v>610142.0</v>
      </c>
      <c r="B502" s="32" t="s">
        <v>1588</v>
      </c>
      <c r="C502" s="32" t="s">
        <v>1590</v>
      </c>
    </row>
    <row r="503">
      <c r="A503" s="33">
        <v>610143.0</v>
      </c>
      <c r="B503" s="32" t="s">
        <v>1591</v>
      </c>
      <c r="C503" s="32" t="s">
        <v>1593</v>
      </c>
    </row>
    <row r="504">
      <c r="A504" s="33">
        <v>610144.0</v>
      </c>
      <c r="B504" s="32" t="s">
        <v>1594</v>
      </c>
      <c r="C504" s="32" t="s">
        <v>1596</v>
      </c>
    </row>
    <row r="505">
      <c r="A505" s="33">
        <v>610145.0</v>
      </c>
      <c r="B505" s="32" t="s">
        <v>1597</v>
      </c>
      <c r="C505" s="32" t="s">
        <v>1599</v>
      </c>
    </row>
    <row r="506">
      <c r="A506" s="33">
        <v>610146.0</v>
      </c>
      <c r="B506" s="32" t="s">
        <v>1600</v>
      </c>
      <c r="C506" s="32" t="s">
        <v>1602</v>
      </c>
    </row>
    <row r="507">
      <c r="A507" s="33">
        <v>609682.0</v>
      </c>
      <c r="B507" s="32" t="s">
        <v>1603</v>
      </c>
      <c r="C507" s="32" t="s">
        <v>1605</v>
      </c>
    </row>
    <row r="508">
      <c r="A508" s="33">
        <v>610588.0</v>
      </c>
      <c r="B508" s="32" t="s">
        <v>1606</v>
      </c>
      <c r="C508" s="32" t="s">
        <v>1608</v>
      </c>
    </row>
    <row r="509">
      <c r="A509" s="33">
        <v>610390.0</v>
      </c>
      <c r="B509" s="32" t="s">
        <v>1609</v>
      </c>
      <c r="C509" s="32" t="s">
        <v>1611</v>
      </c>
    </row>
    <row r="510">
      <c r="A510" s="33">
        <v>610256.0</v>
      </c>
      <c r="B510" s="32" t="s">
        <v>1612</v>
      </c>
      <c r="C510" s="32" t="s">
        <v>1614</v>
      </c>
    </row>
    <row r="511">
      <c r="A511" s="33">
        <v>610147.0</v>
      </c>
      <c r="B511" s="32" t="s">
        <v>1615</v>
      </c>
      <c r="C511" s="32" t="s">
        <v>1617</v>
      </c>
    </row>
    <row r="512">
      <c r="A512" s="33">
        <v>609728.0</v>
      </c>
      <c r="B512" s="32" t="s">
        <v>1618</v>
      </c>
      <c r="C512" s="32" t="s">
        <v>1620</v>
      </c>
    </row>
    <row r="513">
      <c r="A513" s="33">
        <v>400096.0</v>
      </c>
      <c r="B513" s="32" t="s">
        <v>1621</v>
      </c>
      <c r="C513" s="32" t="s">
        <v>1623</v>
      </c>
    </row>
    <row r="514">
      <c r="A514" s="33">
        <v>610308.0</v>
      </c>
      <c r="B514" s="32" t="s">
        <v>1624</v>
      </c>
      <c r="C514" s="32" t="s">
        <v>1626</v>
      </c>
    </row>
    <row r="515">
      <c r="A515" s="33">
        <v>610152.0</v>
      </c>
      <c r="B515" s="32" t="s">
        <v>1627</v>
      </c>
      <c r="C515" s="32" t="s">
        <v>1629</v>
      </c>
    </row>
    <row r="516">
      <c r="A516" s="33">
        <v>610125.0</v>
      </c>
      <c r="B516" s="32" t="s">
        <v>1630</v>
      </c>
      <c r="C516" s="32" t="s">
        <v>1632</v>
      </c>
    </row>
    <row r="517">
      <c r="A517" s="33">
        <v>610153.0</v>
      </c>
      <c r="B517" s="32" t="s">
        <v>1633</v>
      </c>
      <c r="C517" s="32" t="s">
        <v>1635</v>
      </c>
    </row>
    <row r="518">
      <c r="A518" s="33">
        <v>610342.0</v>
      </c>
      <c r="B518" s="32" t="s">
        <v>1636</v>
      </c>
      <c r="C518" s="32" t="s">
        <v>1638</v>
      </c>
    </row>
    <row r="519">
      <c r="A519" s="33">
        <v>610586.0</v>
      </c>
      <c r="B519" s="32" t="s">
        <v>1639</v>
      </c>
      <c r="C519" s="32" t="s">
        <v>1641</v>
      </c>
    </row>
    <row r="520">
      <c r="A520" s="33">
        <v>610572.0</v>
      </c>
      <c r="B520" s="32" t="s">
        <v>1642</v>
      </c>
      <c r="C520" s="32" t="s">
        <v>1645</v>
      </c>
    </row>
    <row r="521">
      <c r="A521" s="33">
        <v>610573.0</v>
      </c>
      <c r="B521" s="32" t="s">
        <v>1646</v>
      </c>
      <c r="C521" s="32" t="s">
        <v>1645</v>
      </c>
    </row>
    <row r="522">
      <c r="A522" s="33">
        <v>610601.0</v>
      </c>
      <c r="B522" s="32" t="s">
        <v>1648</v>
      </c>
      <c r="C522" s="32" t="s">
        <v>1645</v>
      </c>
    </row>
    <row r="523">
      <c r="A523" s="33">
        <v>610250.0</v>
      </c>
      <c r="B523" s="32" t="s">
        <v>1650</v>
      </c>
      <c r="C523" s="32" t="s">
        <v>1652</v>
      </c>
    </row>
    <row r="524">
      <c r="A524" s="33">
        <v>610226.0</v>
      </c>
      <c r="B524" s="32" t="s">
        <v>1653</v>
      </c>
      <c r="C524" s="32" t="s">
        <v>1655</v>
      </c>
    </row>
    <row r="525">
      <c r="A525" s="33">
        <v>610017.0</v>
      </c>
      <c r="B525" s="32" t="s">
        <v>1656</v>
      </c>
      <c r="C525" s="32" t="s">
        <v>1658</v>
      </c>
    </row>
    <row r="526">
      <c r="A526" s="33">
        <v>610155.0</v>
      </c>
      <c r="B526" s="32" t="s">
        <v>1659</v>
      </c>
      <c r="C526" s="32" t="s">
        <v>1661</v>
      </c>
    </row>
    <row r="527">
      <c r="A527" s="33">
        <v>610157.0</v>
      </c>
      <c r="B527" s="32" t="s">
        <v>1662</v>
      </c>
      <c r="C527" s="32" t="s">
        <v>1664</v>
      </c>
    </row>
    <row r="528">
      <c r="A528" s="33">
        <v>610158.0</v>
      </c>
      <c r="B528" s="32" t="s">
        <v>1665</v>
      </c>
      <c r="C528" s="32" t="s">
        <v>1667</v>
      </c>
    </row>
    <row r="529">
      <c r="A529" s="33">
        <v>610159.0</v>
      </c>
      <c r="B529" s="32" t="s">
        <v>1668</v>
      </c>
      <c r="C529" s="32" t="s">
        <v>1670</v>
      </c>
    </row>
    <row r="530">
      <c r="A530" s="33">
        <v>610178.0</v>
      </c>
      <c r="B530" s="32" t="s">
        <v>1671</v>
      </c>
      <c r="C530" s="32" t="s">
        <v>1673</v>
      </c>
    </row>
    <row r="531">
      <c r="A531" s="33">
        <v>610165.0</v>
      </c>
      <c r="B531" s="32" t="s">
        <v>1674</v>
      </c>
      <c r="C531" s="32" t="s">
        <v>1676</v>
      </c>
    </row>
    <row r="532">
      <c r="A532" s="33">
        <v>609729.0</v>
      </c>
      <c r="B532" s="32" t="s">
        <v>1677</v>
      </c>
      <c r="C532" s="32" t="s">
        <v>1679</v>
      </c>
    </row>
    <row r="533">
      <c r="A533" s="33">
        <v>609730.0</v>
      </c>
      <c r="B533" s="32" t="s">
        <v>1680</v>
      </c>
      <c r="C533" s="32" t="s">
        <v>1682</v>
      </c>
    </row>
    <row r="534">
      <c r="A534" s="33">
        <v>610167.0</v>
      </c>
      <c r="B534" s="32" t="s">
        <v>1683</v>
      </c>
      <c r="C534" s="32" t="s">
        <v>1685</v>
      </c>
    </row>
    <row r="535">
      <c r="A535" s="33">
        <v>610081.0</v>
      </c>
      <c r="B535" s="32" t="s">
        <v>1686</v>
      </c>
      <c r="C535" s="32" t="s">
        <v>1688</v>
      </c>
    </row>
    <row r="536">
      <c r="A536" s="33">
        <v>610172.0</v>
      </c>
      <c r="B536" s="32" t="s">
        <v>1689</v>
      </c>
      <c r="C536" s="32" t="s">
        <v>1691</v>
      </c>
    </row>
    <row r="537">
      <c r="A537" s="33">
        <v>610173.0</v>
      </c>
      <c r="B537" s="32" t="s">
        <v>1692</v>
      </c>
      <c r="C537" s="32" t="s">
        <v>1694</v>
      </c>
    </row>
    <row r="538">
      <c r="A538" s="33">
        <v>610174.0</v>
      </c>
      <c r="B538" s="32" t="s">
        <v>1695</v>
      </c>
      <c r="C538" s="32" t="s">
        <v>1697</v>
      </c>
    </row>
    <row r="539">
      <c r="A539" s="33">
        <v>610559.0</v>
      </c>
      <c r="B539" s="32" t="s">
        <v>1698</v>
      </c>
      <c r="C539" s="32" t="s">
        <v>1700</v>
      </c>
    </row>
    <row r="540">
      <c r="A540" s="33">
        <v>610175.0</v>
      </c>
      <c r="B540" s="32" t="s">
        <v>1701</v>
      </c>
      <c r="C540" s="32" t="s">
        <v>1703</v>
      </c>
    </row>
    <row r="541">
      <c r="A541" s="33">
        <v>610176.0</v>
      </c>
      <c r="B541" s="32" t="s">
        <v>1704</v>
      </c>
      <c r="C541" s="32" t="s">
        <v>1706</v>
      </c>
    </row>
    <row r="542">
      <c r="A542" s="33">
        <v>609692.0</v>
      </c>
      <c r="B542" s="32" t="s">
        <v>1707</v>
      </c>
      <c r="C542" s="32" t="s">
        <v>1709</v>
      </c>
    </row>
    <row r="543">
      <c r="A543" s="33">
        <v>609750.0</v>
      </c>
      <c r="B543" s="32" t="s">
        <v>1710</v>
      </c>
      <c r="C543" s="32" t="s">
        <v>1712</v>
      </c>
    </row>
    <row r="544">
      <c r="A544" s="33">
        <v>610177.0</v>
      </c>
      <c r="B544" s="32" t="s">
        <v>1713</v>
      </c>
      <c r="C544" s="32" t="s">
        <v>1715</v>
      </c>
    </row>
    <row r="545">
      <c r="A545" s="33">
        <v>610534.0</v>
      </c>
      <c r="B545" s="32" t="s">
        <v>1716</v>
      </c>
      <c r="C545" s="32" t="s">
        <v>1718</v>
      </c>
    </row>
    <row r="546">
      <c r="A546" s="33">
        <v>609978.0</v>
      </c>
      <c r="B546" s="32" t="s">
        <v>1719</v>
      </c>
      <c r="C546" s="32" t="s">
        <v>1721</v>
      </c>
    </row>
    <row r="547">
      <c r="A547" s="33">
        <v>610179.0</v>
      </c>
      <c r="B547" s="32" t="s">
        <v>1722</v>
      </c>
      <c r="C547" s="32" t="s">
        <v>1724</v>
      </c>
    </row>
    <row r="548">
      <c r="A548" s="33">
        <v>610180.0</v>
      </c>
      <c r="B548" s="32" t="s">
        <v>1725</v>
      </c>
      <c r="C548" s="32" t="s">
        <v>1727</v>
      </c>
    </row>
    <row r="549">
      <c r="A549" s="33">
        <v>610383.0</v>
      </c>
      <c r="B549" s="32" t="s">
        <v>1728</v>
      </c>
      <c r="C549" s="32" t="s">
        <v>964</v>
      </c>
    </row>
    <row r="550">
      <c r="A550" s="33">
        <v>610182.0</v>
      </c>
      <c r="B550" s="32" t="s">
        <v>1730</v>
      </c>
      <c r="C550" s="32" t="s">
        <v>1732</v>
      </c>
    </row>
    <row r="551">
      <c r="A551" s="33">
        <v>610543.0</v>
      </c>
      <c r="B551" s="32" t="s">
        <v>1733</v>
      </c>
      <c r="C551" s="32" t="s">
        <v>1735</v>
      </c>
    </row>
    <row r="552">
      <c r="A552" s="33">
        <v>610589.0</v>
      </c>
      <c r="B552" s="32" t="s">
        <v>1736</v>
      </c>
      <c r="C552" s="32" t="s">
        <v>1738</v>
      </c>
    </row>
    <row r="553">
      <c r="A553" s="33">
        <v>609990.0</v>
      </c>
      <c r="B553" s="32" t="s">
        <v>1739</v>
      </c>
      <c r="C553" s="32" t="s">
        <v>1741</v>
      </c>
    </row>
    <row r="554">
      <c r="A554" s="33">
        <v>610530.0</v>
      </c>
      <c r="B554" s="32" t="s">
        <v>1742</v>
      </c>
      <c r="C554" s="32" t="s">
        <v>1744</v>
      </c>
    </row>
    <row r="555">
      <c r="A555" s="33">
        <v>610547.0</v>
      </c>
      <c r="B555" s="32" t="s">
        <v>1745</v>
      </c>
      <c r="C555" s="32" t="s">
        <v>1747</v>
      </c>
    </row>
    <row r="556">
      <c r="A556" s="33">
        <v>609745.0</v>
      </c>
      <c r="B556" s="32" t="s">
        <v>1748</v>
      </c>
      <c r="C556" s="32" t="s">
        <v>1750</v>
      </c>
    </row>
    <row r="557">
      <c r="A557" s="33">
        <v>610183.0</v>
      </c>
      <c r="B557" s="32" t="s">
        <v>1751</v>
      </c>
      <c r="C557" s="32" t="s">
        <v>1753</v>
      </c>
    </row>
    <row r="558">
      <c r="A558" s="33">
        <v>610184.0</v>
      </c>
      <c r="B558" s="32" t="s">
        <v>1754</v>
      </c>
      <c r="C558" s="32" t="s">
        <v>1756</v>
      </c>
    </row>
    <row r="559">
      <c r="A559" s="33">
        <v>610357.0</v>
      </c>
      <c r="B559" s="32" t="s">
        <v>1757</v>
      </c>
      <c r="C559" s="32" t="s">
        <v>1756</v>
      </c>
    </row>
    <row r="560">
      <c r="A560" s="33">
        <v>610339.0</v>
      </c>
      <c r="B560" s="32" t="s">
        <v>1759</v>
      </c>
      <c r="C560" s="32" t="s">
        <v>1761</v>
      </c>
    </row>
    <row r="561">
      <c r="A561" s="33">
        <v>609732.0</v>
      </c>
      <c r="B561" s="32" t="s">
        <v>1762</v>
      </c>
      <c r="C561" s="32" t="s">
        <v>1764</v>
      </c>
    </row>
    <row r="562">
      <c r="A562" s="33">
        <v>610548.0</v>
      </c>
      <c r="B562" s="32" t="s">
        <v>1765</v>
      </c>
      <c r="C562" s="32" t="s">
        <v>1767</v>
      </c>
    </row>
    <row r="563">
      <c r="A563" s="33">
        <v>610185.0</v>
      </c>
      <c r="B563" s="32" t="s">
        <v>1768</v>
      </c>
      <c r="C563" s="32" t="s">
        <v>1770</v>
      </c>
    </row>
    <row r="564">
      <c r="A564" s="33">
        <v>610163.0</v>
      </c>
      <c r="B564" s="32" t="s">
        <v>1771</v>
      </c>
      <c r="C564" s="32" t="s">
        <v>1773</v>
      </c>
    </row>
    <row r="565">
      <c r="A565" s="33">
        <v>610191.0</v>
      </c>
      <c r="B565" s="32" t="s">
        <v>1774</v>
      </c>
      <c r="C565" s="32" t="s">
        <v>1776</v>
      </c>
    </row>
    <row r="566">
      <c r="A566" s="33">
        <v>610192.0</v>
      </c>
      <c r="B566" s="32" t="s">
        <v>1777</v>
      </c>
      <c r="C566" s="32" t="s">
        <v>1779</v>
      </c>
    </row>
    <row r="567">
      <c r="A567" s="33">
        <v>610405.0</v>
      </c>
      <c r="B567" s="32" t="s">
        <v>1780</v>
      </c>
      <c r="C567" s="32" t="s">
        <v>1782</v>
      </c>
    </row>
    <row r="568">
      <c r="A568" s="33">
        <v>609733.0</v>
      </c>
      <c r="B568" s="32" t="s">
        <v>1783</v>
      </c>
      <c r="C568" s="32" t="s">
        <v>1785</v>
      </c>
    </row>
    <row r="569">
      <c r="A569" s="33">
        <v>610194.0</v>
      </c>
      <c r="B569" s="32" t="s">
        <v>1786</v>
      </c>
      <c r="C569" s="32" t="s">
        <v>1788</v>
      </c>
    </row>
    <row r="570">
      <c r="A570" s="33">
        <v>610195.0</v>
      </c>
      <c r="B570" s="32" t="s">
        <v>1789</v>
      </c>
      <c r="C570" s="32" t="s">
        <v>1791</v>
      </c>
    </row>
    <row r="571">
      <c r="A571" s="33">
        <v>610196.0</v>
      </c>
      <c r="B571" s="32" t="s">
        <v>1792</v>
      </c>
      <c r="C571" s="32" t="s">
        <v>1794</v>
      </c>
    </row>
    <row r="572">
      <c r="A572" s="33">
        <v>609734.0</v>
      </c>
      <c r="B572" s="32" t="s">
        <v>1795</v>
      </c>
      <c r="C572" s="32" t="s">
        <v>1797</v>
      </c>
    </row>
    <row r="573">
      <c r="A573" s="33">
        <v>610197.0</v>
      </c>
      <c r="B573" s="32" t="s">
        <v>1798</v>
      </c>
      <c r="C573" s="32" t="s">
        <v>1800</v>
      </c>
    </row>
    <row r="574">
      <c r="A574" s="33">
        <v>610249.0</v>
      </c>
      <c r="B574" s="32" t="s">
        <v>1801</v>
      </c>
      <c r="C574" s="32" t="s">
        <v>1803</v>
      </c>
    </row>
    <row r="575">
      <c r="A575" s="33">
        <v>610279.0</v>
      </c>
      <c r="B575" s="32" t="s">
        <v>1804</v>
      </c>
      <c r="C575" s="32" t="s">
        <v>1806</v>
      </c>
    </row>
    <row r="576">
      <c r="A576" s="33">
        <v>610396.0</v>
      </c>
      <c r="B576" s="32" t="s">
        <v>1807</v>
      </c>
      <c r="C576" s="32" t="s">
        <v>1809</v>
      </c>
    </row>
    <row r="577">
      <c r="A577" s="33">
        <v>610198.0</v>
      </c>
      <c r="B577" s="32" t="s">
        <v>1810</v>
      </c>
      <c r="C577" s="32" t="s">
        <v>1812</v>
      </c>
    </row>
    <row r="578">
      <c r="A578" s="33">
        <v>609921.0</v>
      </c>
      <c r="B578" s="32" t="s">
        <v>1813</v>
      </c>
      <c r="C578" s="32" t="s">
        <v>1815</v>
      </c>
    </row>
    <row r="579">
      <c r="A579" s="33">
        <v>610504.0</v>
      </c>
      <c r="B579" s="32" t="s">
        <v>1816</v>
      </c>
      <c r="C579" s="32" t="s">
        <v>1818</v>
      </c>
    </row>
    <row r="580">
      <c r="A580" s="33">
        <v>610200.0</v>
      </c>
      <c r="B580" s="32" t="s">
        <v>1819</v>
      </c>
      <c r="C580" s="32" t="s">
        <v>1115</v>
      </c>
    </row>
    <row r="581">
      <c r="A581" s="33">
        <v>610201.0</v>
      </c>
      <c r="B581" s="32" t="s">
        <v>1821</v>
      </c>
      <c r="C581" s="32" t="s">
        <v>1823</v>
      </c>
    </row>
    <row r="582">
      <c r="A582" s="33">
        <v>609735.0</v>
      </c>
      <c r="B582" s="32" t="s">
        <v>1824</v>
      </c>
      <c r="C582" s="32" t="s">
        <v>1826</v>
      </c>
    </row>
    <row r="583">
      <c r="A583" s="33">
        <v>610065.0</v>
      </c>
      <c r="B583" s="32" t="s">
        <v>1827</v>
      </c>
      <c r="C583" s="32" t="s">
        <v>1829</v>
      </c>
    </row>
    <row r="584">
      <c r="A584" s="33">
        <v>610202.0</v>
      </c>
      <c r="B584" s="32" t="s">
        <v>1830</v>
      </c>
      <c r="C584" s="32" t="s">
        <v>1832</v>
      </c>
    </row>
    <row r="585">
      <c r="A585" s="33">
        <v>609773.0</v>
      </c>
      <c r="B585" s="32" t="s">
        <v>1833</v>
      </c>
      <c r="C585" s="32" t="s">
        <v>1835</v>
      </c>
    </row>
    <row r="586">
      <c r="A586" s="33">
        <v>609895.0</v>
      </c>
      <c r="B586" s="32" t="s">
        <v>1836</v>
      </c>
      <c r="C586" s="32" t="s">
        <v>1838</v>
      </c>
    </row>
    <row r="587">
      <c r="A587" s="33">
        <v>610206.0</v>
      </c>
      <c r="B587" s="32" t="s">
        <v>1839</v>
      </c>
      <c r="C587" s="32" t="s">
        <v>1841</v>
      </c>
    </row>
    <row r="588">
      <c r="A588" s="33">
        <v>400075.0</v>
      </c>
      <c r="B588" s="32" t="s">
        <v>1842</v>
      </c>
      <c r="C588" s="32" t="s">
        <v>1844</v>
      </c>
    </row>
    <row r="589">
      <c r="A589" s="33">
        <v>400076.0</v>
      </c>
      <c r="B589" s="32" t="s">
        <v>1845</v>
      </c>
      <c r="C589" s="32" t="s">
        <v>122</v>
      </c>
    </row>
    <row r="590">
      <c r="A590" s="33">
        <v>400077.0</v>
      </c>
      <c r="B590" s="32" t="s">
        <v>1847</v>
      </c>
      <c r="C590" s="32" t="s">
        <v>1849</v>
      </c>
    </row>
    <row r="591">
      <c r="A591" s="33">
        <v>610394.0</v>
      </c>
      <c r="B591" s="32" t="s">
        <v>1850</v>
      </c>
      <c r="C591" s="32" t="s">
        <v>1852</v>
      </c>
    </row>
    <row r="592">
      <c r="A592" s="33">
        <v>400105.0</v>
      </c>
      <c r="B592" s="32" t="s">
        <v>1853</v>
      </c>
      <c r="C592" s="32" t="s">
        <v>1855</v>
      </c>
    </row>
    <row r="593">
      <c r="A593" s="33">
        <v>400086.0</v>
      </c>
      <c r="B593" s="32" t="s">
        <v>1856</v>
      </c>
      <c r="C593" s="32" t="s">
        <v>1858</v>
      </c>
    </row>
    <row r="594">
      <c r="A594" s="33">
        <v>610207.0</v>
      </c>
      <c r="B594" s="32" t="s">
        <v>1859</v>
      </c>
      <c r="C594" s="32" t="s">
        <v>1861</v>
      </c>
    </row>
    <row r="595">
      <c r="A595" s="33">
        <v>609766.0</v>
      </c>
      <c r="B595" s="32" t="s">
        <v>1862</v>
      </c>
      <c r="C595" s="32" t="s">
        <v>1864</v>
      </c>
    </row>
    <row r="596">
      <c r="A596" s="33">
        <v>609871.0</v>
      </c>
      <c r="B596" s="32" t="s">
        <v>1865</v>
      </c>
      <c r="C596" s="32" t="s">
        <v>1867</v>
      </c>
    </row>
    <row r="597">
      <c r="A597" s="33">
        <v>610209.0</v>
      </c>
      <c r="B597" s="32" t="s">
        <v>1868</v>
      </c>
      <c r="C597" s="32" t="s">
        <v>1870</v>
      </c>
    </row>
    <row r="598">
      <c r="A598" s="33">
        <v>610039.0</v>
      </c>
      <c r="B598" s="32" t="s">
        <v>1871</v>
      </c>
      <c r="C598" s="32" t="s">
        <v>1873</v>
      </c>
    </row>
    <row r="599">
      <c r="A599" s="33">
        <v>609737.0</v>
      </c>
      <c r="B599" s="32" t="s">
        <v>1874</v>
      </c>
      <c r="C599" s="32" t="s">
        <v>1876</v>
      </c>
    </row>
    <row r="600">
      <c r="A600" s="33">
        <v>610366.0</v>
      </c>
      <c r="B600" s="32" t="s">
        <v>1877</v>
      </c>
      <c r="C600" s="32" t="s">
        <v>1879</v>
      </c>
    </row>
    <row r="601">
      <c r="A601" s="33">
        <v>610213.0</v>
      </c>
      <c r="B601" s="32" t="s">
        <v>1880</v>
      </c>
      <c r="C601" s="32" t="s">
        <v>1882</v>
      </c>
    </row>
    <row r="602">
      <c r="A602" s="33">
        <v>610216.0</v>
      </c>
      <c r="B602" s="32" t="s">
        <v>1883</v>
      </c>
      <c r="C602" s="32" t="s">
        <v>1885</v>
      </c>
    </row>
    <row r="603">
      <c r="A603" s="33">
        <v>610217.0</v>
      </c>
      <c r="B603" s="32" t="s">
        <v>1886</v>
      </c>
      <c r="C603" s="32" t="s">
        <v>1888</v>
      </c>
    </row>
    <row r="604">
      <c r="A604" s="33">
        <v>610133.0</v>
      </c>
      <c r="B604" s="32" t="s">
        <v>1889</v>
      </c>
      <c r="C604" s="32" t="s">
        <v>1891</v>
      </c>
    </row>
    <row r="605">
      <c r="A605" s="33">
        <v>610218.0</v>
      </c>
      <c r="B605" s="32" t="s">
        <v>1892</v>
      </c>
      <c r="C605" s="32" t="s">
        <v>1894</v>
      </c>
    </row>
    <row r="606">
      <c r="A606" s="33">
        <v>610219.0</v>
      </c>
      <c r="B606" s="32" t="s">
        <v>1895</v>
      </c>
      <c r="C606" s="32" t="s">
        <v>1897</v>
      </c>
    </row>
    <row r="607">
      <c r="A607" s="33">
        <v>610124.0</v>
      </c>
      <c r="B607" s="32" t="s">
        <v>1898</v>
      </c>
      <c r="C607" s="32" t="s">
        <v>1900</v>
      </c>
    </row>
    <row r="608">
      <c r="A608" s="33">
        <v>609739.0</v>
      </c>
      <c r="B608" s="32" t="s">
        <v>1901</v>
      </c>
      <c r="C608" s="32" t="s">
        <v>1903</v>
      </c>
    </row>
    <row r="609">
      <c r="A609" s="33">
        <v>610220.0</v>
      </c>
      <c r="B609" s="32" t="s">
        <v>1904</v>
      </c>
      <c r="C609" s="32" t="s">
        <v>1906</v>
      </c>
    </row>
    <row r="610">
      <c r="A610" s="33">
        <v>610221.0</v>
      </c>
      <c r="B610" s="32" t="s">
        <v>1907</v>
      </c>
      <c r="C610" s="32" t="s">
        <v>1909</v>
      </c>
    </row>
    <row r="611">
      <c r="A611" s="33">
        <v>610110.0</v>
      </c>
      <c r="B611" s="32" t="s">
        <v>1910</v>
      </c>
      <c r="C611" s="32" t="s">
        <v>1912</v>
      </c>
    </row>
    <row r="612">
      <c r="A612" s="33">
        <v>609740.0</v>
      </c>
      <c r="B612" s="32" t="s">
        <v>1913</v>
      </c>
      <c r="C612" s="32" t="s">
        <v>1915</v>
      </c>
    </row>
    <row r="613">
      <c r="A613" s="33">
        <v>610223.0</v>
      </c>
      <c r="B613" s="32" t="s">
        <v>1916</v>
      </c>
      <c r="C613" s="32" t="s">
        <v>1918</v>
      </c>
    </row>
    <row r="614">
      <c r="A614" s="33">
        <v>610100.0</v>
      </c>
      <c r="B614" s="32" t="s">
        <v>1919</v>
      </c>
      <c r="C614" s="32" t="s">
        <v>1921</v>
      </c>
    </row>
    <row r="615">
      <c r="A615" s="33">
        <v>610542.0</v>
      </c>
      <c r="B615" s="32" t="s">
        <v>1922</v>
      </c>
      <c r="C615" s="32" t="s">
        <v>1924</v>
      </c>
    </row>
    <row r="616">
      <c r="A616" s="33">
        <v>610300.0</v>
      </c>
      <c r="B616" s="32" t="s">
        <v>1925</v>
      </c>
      <c r="C616" s="32" t="s">
        <v>1927</v>
      </c>
    </row>
    <row r="617">
      <c r="A617" s="33">
        <v>609693.0</v>
      </c>
      <c r="B617" s="32" t="s">
        <v>1928</v>
      </c>
      <c r="C617" s="32" t="s">
        <v>1930</v>
      </c>
    </row>
    <row r="618">
      <c r="A618" s="33">
        <v>610225.0</v>
      </c>
      <c r="B618" s="32" t="s">
        <v>1931</v>
      </c>
      <c r="C618" s="32" t="s">
        <v>1933</v>
      </c>
    </row>
    <row r="619">
      <c r="A619" s="33">
        <v>610315.0</v>
      </c>
      <c r="B619" s="32" t="s">
        <v>1934</v>
      </c>
      <c r="C619" s="32" t="s">
        <v>1936</v>
      </c>
    </row>
    <row r="620">
      <c r="A620" s="33">
        <v>610227.0</v>
      </c>
      <c r="B620" s="32" t="s">
        <v>1937</v>
      </c>
      <c r="C620" s="32" t="s">
        <v>1939</v>
      </c>
    </row>
    <row r="621">
      <c r="A621" s="33">
        <v>610228.0</v>
      </c>
      <c r="B621" s="32" t="s">
        <v>1940</v>
      </c>
      <c r="C621" s="32" t="s">
        <v>1942</v>
      </c>
    </row>
    <row r="622">
      <c r="A622" s="33">
        <v>610230.0</v>
      </c>
      <c r="B622" s="32" t="s">
        <v>1943</v>
      </c>
      <c r="C622" s="32" t="s">
        <v>1945</v>
      </c>
    </row>
    <row r="623">
      <c r="A623" s="33">
        <v>610380.0</v>
      </c>
      <c r="B623" s="32" t="s">
        <v>1946</v>
      </c>
      <c r="C623" s="32" t="s">
        <v>292</v>
      </c>
    </row>
    <row r="624">
      <c r="A624" s="33">
        <v>609977.0</v>
      </c>
      <c r="B624" s="32" t="s">
        <v>1948</v>
      </c>
      <c r="C624" s="32" t="s">
        <v>1950</v>
      </c>
    </row>
    <row r="625">
      <c r="A625" s="33">
        <v>610345.0</v>
      </c>
      <c r="B625" s="32" t="s">
        <v>1951</v>
      </c>
      <c r="C625" s="32" t="s">
        <v>1953</v>
      </c>
    </row>
    <row r="626">
      <c r="A626" s="33">
        <v>610392.0</v>
      </c>
      <c r="B626" s="32" t="s">
        <v>1954</v>
      </c>
      <c r="C626" s="32" t="s">
        <v>964</v>
      </c>
    </row>
    <row r="627">
      <c r="A627" s="33">
        <v>610234.0</v>
      </c>
      <c r="B627" s="32" t="s">
        <v>1956</v>
      </c>
      <c r="C627" s="32" t="s">
        <v>1958</v>
      </c>
    </row>
    <row r="628">
      <c r="A628" s="33">
        <v>400125.0</v>
      </c>
      <c r="B628" s="32" t="s">
        <v>1959</v>
      </c>
      <c r="C628" s="32" t="s">
        <v>1961</v>
      </c>
    </row>
    <row r="629">
      <c r="A629" s="33">
        <v>400126.0</v>
      </c>
      <c r="B629" s="32" t="s">
        <v>1962</v>
      </c>
      <c r="C629" s="32" t="s">
        <v>1964</v>
      </c>
    </row>
    <row r="630">
      <c r="A630" s="33">
        <v>400131.0</v>
      </c>
      <c r="B630" s="32" t="s">
        <v>1965</v>
      </c>
      <c r="C630" s="32" t="s">
        <v>1967</v>
      </c>
    </row>
    <row r="631">
      <c r="A631" s="33">
        <v>400128.0</v>
      </c>
      <c r="B631" s="32" t="s">
        <v>1968</v>
      </c>
      <c r="C631" s="32" t="s">
        <v>1970</v>
      </c>
    </row>
    <row r="632">
      <c r="A632" s="33">
        <v>400150.0</v>
      </c>
      <c r="B632" s="32" t="s">
        <v>1971</v>
      </c>
      <c r="C632" s="32" t="s">
        <v>1973</v>
      </c>
    </row>
    <row r="633">
      <c r="A633" s="33">
        <v>400133.0</v>
      </c>
      <c r="B633" s="32" t="s">
        <v>1974</v>
      </c>
      <c r="C633" s="32" t="s">
        <v>1976</v>
      </c>
    </row>
    <row r="634">
      <c r="A634" s="33">
        <v>400135.0</v>
      </c>
      <c r="B634" s="32" t="s">
        <v>1977</v>
      </c>
      <c r="C634" s="32" t="s">
        <v>1979</v>
      </c>
    </row>
    <row r="635">
      <c r="A635" s="33">
        <v>400124.0</v>
      </c>
      <c r="B635" s="32" t="s">
        <v>1980</v>
      </c>
      <c r="C635" s="32" t="s">
        <v>1982</v>
      </c>
    </row>
    <row r="636">
      <c r="A636" s="33">
        <v>400136.0</v>
      </c>
      <c r="B636" s="32" t="s">
        <v>1983</v>
      </c>
      <c r="C636" s="32" t="s">
        <v>1985</v>
      </c>
    </row>
    <row r="637">
      <c r="A637" s="33">
        <v>400129.0</v>
      </c>
      <c r="B637" s="32" t="s">
        <v>1986</v>
      </c>
      <c r="C637" s="32" t="s">
        <v>1988</v>
      </c>
    </row>
    <row r="638">
      <c r="A638" s="33">
        <v>400123.0</v>
      </c>
      <c r="B638" s="32" t="s">
        <v>1989</v>
      </c>
      <c r="C638" s="32" t="s">
        <v>1991</v>
      </c>
    </row>
    <row r="639">
      <c r="A639" s="33">
        <v>400139.0</v>
      </c>
      <c r="B639" s="32" t="s">
        <v>1992</v>
      </c>
      <c r="C639" s="32" t="s">
        <v>1994</v>
      </c>
    </row>
    <row r="640">
      <c r="A640" s="33">
        <v>400141.0</v>
      </c>
      <c r="B640" s="32" t="s">
        <v>1995</v>
      </c>
      <c r="C640" s="32" t="s">
        <v>1997</v>
      </c>
    </row>
    <row r="641">
      <c r="A641" s="33">
        <v>400144.0</v>
      </c>
      <c r="B641" s="32" t="s">
        <v>1998</v>
      </c>
      <c r="C641" s="32" t="s">
        <v>2000</v>
      </c>
    </row>
    <row r="642">
      <c r="A642" s="33">
        <v>400143.0</v>
      </c>
      <c r="B642" s="32" t="s">
        <v>2001</v>
      </c>
      <c r="C642" s="32" t="s">
        <v>2003</v>
      </c>
    </row>
    <row r="643">
      <c r="A643" s="33">
        <v>400145.0</v>
      </c>
      <c r="B643" s="32" t="s">
        <v>2004</v>
      </c>
      <c r="C643" s="32" t="s">
        <v>2006</v>
      </c>
    </row>
    <row r="644">
      <c r="A644" s="33">
        <v>400130.0</v>
      </c>
      <c r="B644" s="32" t="s">
        <v>2007</v>
      </c>
      <c r="C644" s="32" t="s">
        <v>2009</v>
      </c>
    </row>
    <row r="645">
      <c r="A645" s="33">
        <v>609748.0</v>
      </c>
      <c r="B645" s="32" t="s">
        <v>2010</v>
      </c>
      <c r="C645" s="32" t="s">
        <v>2012</v>
      </c>
    </row>
    <row r="646">
      <c r="A646" s="33">
        <v>610235.0</v>
      </c>
      <c r="B646" s="32" t="s">
        <v>2013</v>
      </c>
      <c r="C646" s="32" t="s">
        <v>2015</v>
      </c>
    </row>
    <row r="647">
      <c r="A647" s="33">
        <v>609755.0</v>
      </c>
      <c r="B647" s="32" t="s">
        <v>2016</v>
      </c>
      <c r="C647" s="32" t="s">
        <v>2018</v>
      </c>
    </row>
    <row r="648">
      <c r="A648" s="33">
        <v>609973.0</v>
      </c>
      <c r="B648" s="32" t="s">
        <v>2019</v>
      </c>
      <c r="C648" s="32" t="s">
        <v>2021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6.88"/>
    <col customWidth="1" min="4" max="4" width="16.5"/>
    <col customWidth="1" min="5" max="5" width="22.75"/>
  </cols>
  <sheetData>
    <row r="1">
      <c r="A1" s="34" t="s">
        <v>1</v>
      </c>
      <c r="B1" s="34" t="s">
        <v>2727</v>
      </c>
      <c r="C1" s="34" t="s">
        <v>9</v>
      </c>
      <c r="D1" s="34" t="s">
        <v>10</v>
      </c>
      <c r="E1" s="34" t="s">
        <v>2728</v>
      </c>
      <c r="F1" s="35"/>
      <c r="G1" s="35"/>
      <c r="H1" s="35"/>
      <c r="I1" s="35"/>
      <c r="J1" s="35"/>
      <c r="K1" s="35"/>
    </row>
    <row r="2">
      <c r="A2" s="36" t="s">
        <v>2729</v>
      </c>
      <c r="B2" s="36" t="s">
        <v>17</v>
      </c>
      <c r="C2" s="37" t="s">
        <v>21</v>
      </c>
      <c r="D2" s="37">
        <v>7.0</v>
      </c>
      <c r="E2" s="37">
        <v>534.0</v>
      </c>
      <c r="F2" s="35"/>
      <c r="G2" s="35"/>
      <c r="H2" s="35"/>
      <c r="I2" s="35"/>
      <c r="J2" s="35"/>
      <c r="K2" s="35"/>
    </row>
    <row r="3">
      <c r="A3" s="38" t="s">
        <v>2730</v>
      </c>
      <c r="B3" s="36" t="s">
        <v>24</v>
      </c>
      <c r="C3" s="37" t="s">
        <v>26</v>
      </c>
      <c r="D3" s="37">
        <v>8.0</v>
      </c>
      <c r="E3" s="39">
        <v>415.0</v>
      </c>
      <c r="F3" s="35"/>
      <c r="G3" s="35"/>
      <c r="H3" s="35"/>
      <c r="I3" s="35"/>
      <c r="J3" s="35"/>
      <c r="K3" s="35"/>
    </row>
    <row r="4">
      <c r="A4" s="38" t="s">
        <v>2731</v>
      </c>
      <c r="B4" s="36" t="s">
        <v>28</v>
      </c>
      <c r="C4" s="37" t="s">
        <v>31</v>
      </c>
      <c r="D4" s="37">
        <v>5.0</v>
      </c>
      <c r="E4" s="39">
        <v>456.0</v>
      </c>
      <c r="F4" s="35"/>
      <c r="G4" s="35"/>
      <c r="H4" s="35"/>
      <c r="I4" s="35"/>
      <c r="J4" s="35"/>
      <c r="K4" s="35"/>
    </row>
    <row r="5">
      <c r="A5" s="38" t="s">
        <v>2732</v>
      </c>
      <c r="B5" s="36" t="s">
        <v>34</v>
      </c>
      <c r="C5" s="37" t="s">
        <v>36</v>
      </c>
      <c r="D5" s="37">
        <v>2.0</v>
      </c>
      <c r="E5" s="39">
        <v>513.0</v>
      </c>
      <c r="F5" s="35"/>
      <c r="G5" s="35"/>
      <c r="H5" s="35"/>
      <c r="I5" s="35"/>
      <c r="J5" s="35"/>
      <c r="K5" s="35"/>
    </row>
    <row r="6">
      <c r="A6" s="38" t="s">
        <v>2733</v>
      </c>
      <c r="B6" s="36" t="s">
        <v>39</v>
      </c>
      <c r="C6" s="37" t="s">
        <v>42</v>
      </c>
      <c r="D6" s="37">
        <v>7.0</v>
      </c>
      <c r="E6" s="39">
        <v>244.0</v>
      </c>
      <c r="F6" s="35"/>
      <c r="G6" s="35"/>
      <c r="H6" s="35"/>
      <c r="I6" s="35"/>
      <c r="J6" s="35"/>
      <c r="K6" s="35"/>
    </row>
    <row r="7">
      <c r="A7" s="36" t="s">
        <v>2734</v>
      </c>
      <c r="B7" s="36" t="s">
        <v>45</v>
      </c>
      <c r="C7" s="37" t="s">
        <v>47</v>
      </c>
      <c r="D7" s="37">
        <v>3.0</v>
      </c>
      <c r="E7" s="37">
        <v>401.0</v>
      </c>
      <c r="F7" s="35"/>
      <c r="G7" s="35"/>
      <c r="H7" s="35"/>
      <c r="I7" s="35"/>
      <c r="J7" s="35"/>
      <c r="K7" s="35"/>
    </row>
    <row r="8">
      <c r="A8" s="38" t="s">
        <v>2735</v>
      </c>
      <c r="B8" s="36" t="s">
        <v>50</v>
      </c>
      <c r="C8" s="37" t="s">
        <v>21</v>
      </c>
      <c r="D8" s="37">
        <v>7.0</v>
      </c>
      <c r="E8" s="39">
        <v>638.0</v>
      </c>
      <c r="F8" s="35"/>
      <c r="G8" s="35"/>
      <c r="H8" s="35"/>
      <c r="I8" s="35"/>
      <c r="J8" s="35"/>
      <c r="K8" s="35"/>
    </row>
    <row r="9">
      <c r="A9" s="36" t="s">
        <v>2736</v>
      </c>
      <c r="B9" s="36" t="s">
        <v>55</v>
      </c>
      <c r="C9" s="37" t="s">
        <v>21</v>
      </c>
      <c r="D9" s="37">
        <v>7.0</v>
      </c>
      <c r="E9" s="37">
        <v>521.0</v>
      </c>
      <c r="F9" s="35"/>
      <c r="G9" s="35"/>
      <c r="H9" s="35"/>
      <c r="I9" s="35"/>
      <c r="J9" s="35"/>
      <c r="K9" s="35"/>
    </row>
    <row r="10">
      <c r="A10" s="38" t="s">
        <v>2737</v>
      </c>
      <c r="B10" s="36" t="s">
        <v>58</v>
      </c>
      <c r="C10" s="37" t="s">
        <v>21</v>
      </c>
      <c r="D10" s="37">
        <v>7.0</v>
      </c>
      <c r="E10" s="39">
        <v>523.0</v>
      </c>
      <c r="F10" s="35"/>
      <c r="G10" s="35"/>
      <c r="H10" s="35"/>
      <c r="I10" s="35"/>
      <c r="J10" s="35"/>
      <c r="K10" s="35"/>
    </row>
    <row r="11">
      <c r="A11" s="36" t="s">
        <v>2738</v>
      </c>
      <c r="B11" s="36" t="s">
        <v>61</v>
      </c>
      <c r="C11" s="37" t="s">
        <v>42</v>
      </c>
      <c r="D11" s="37">
        <v>7.0</v>
      </c>
      <c r="E11" s="37">
        <v>173.0</v>
      </c>
      <c r="F11" s="35"/>
      <c r="G11" s="35"/>
      <c r="H11" s="35"/>
      <c r="I11" s="35"/>
      <c r="J11" s="35"/>
      <c r="K11" s="35"/>
    </row>
    <row r="12">
      <c r="A12" s="36" t="s">
        <v>2739</v>
      </c>
      <c r="B12" s="36" t="s">
        <v>64</v>
      </c>
      <c r="C12" s="37" t="s">
        <v>31</v>
      </c>
      <c r="D12" s="37">
        <v>5.0</v>
      </c>
      <c r="E12" s="37">
        <v>219.0</v>
      </c>
      <c r="F12" s="35"/>
      <c r="G12" s="35"/>
      <c r="H12" s="35"/>
      <c r="I12" s="35"/>
      <c r="J12" s="35"/>
      <c r="K12" s="35"/>
    </row>
    <row r="13">
      <c r="A13" s="38" t="s">
        <v>2740</v>
      </c>
      <c r="B13" s="36" t="s">
        <v>68</v>
      </c>
      <c r="C13" s="37" t="s">
        <v>21</v>
      </c>
      <c r="D13" s="37">
        <v>7.0</v>
      </c>
      <c r="E13" s="39">
        <v>560.0</v>
      </c>
      <c r="F13" s="35"/>
      <c r="G13" s="35"/>
      <c r="H13" s="35"/>
      <c r="I13" s="35"/>
      <c r="J13" s="35"/>
      <c r="K13" s="35"/>
    </row>
    <row r="14">
      <c r="A14" s="38" t="s">
        <v>2741</v>
      </c>
      <c r="B14" s="36" t="s">
        <v>71</v>
      </c>
      <c r="C14" s="37" t="s">
        <v>21</v>
      </c>
      <c r="D14" s="37">
        <v>7.0</v>
      </c>
      <c r="E14" s="39">
        <v>270.0</v>
      </c>
      <c r="F14" s="35"/>
      <c r="G14" s="35"/>
      <c r="H14" s="35"/>
      <c r="I14" s="35"/>
      <c r="J14" s="35"/>
      <c r="K14" s="35"/>
    </row>
    <row r="15">
      <c r="A15" s="36" t="s">
        <v>2742</v>
      </c>
      <c r="B15" s="36" t="s">
        <v>74</v>
      </c>
      <c r="C15" s="37" t="s">
        <v>21</v>
      </c>
      <c r="D15" s="37">
        <v>7.0</v>
      </c>
      <c r="E15" s="37">
        <v>530.0</v>
      </c>
      <c r="F15" s="35"/>
      <c r="G15" s="35"/>
      <c r="H15" s="35"/>
      <c r="I15" s="35"/>
      <c r="J15" s="35"/>
      <c r="K15" s="35"/>
    </row>
    <row r="16">
      <c r="A16" s="36" t="s">
        <v>2743</v>
      </c>
      <c r="B16" s="36" t="s">
        <v>76</v>
      </c>
      <c r="C16" s="37" t="s">
        <v>21</v>
      </c>
      <c r="D16" s="37">
        <v>7.0</v>
      </c>
      <c r="E16" s="37">
        <v>551.0</v>
      </c>
      <c r="F16" s="35"/>
      <c r="G16" s="35"/>
      <c r="H16" s="35"/>
      <c r="I16" s="35"/>
      <c r="J16" s="35"/>
      <c r="K16" s="35"/>
    </row>
    <row r="17">
      <c r="A17" s="36" t="s">
        <v>2744</v>
      </c>
      <c r="B17" s="36" t="s">
        <v>78</v>
      </c>
      <c r="C17" s="37" t="s">
        <v>82</v>
      </c>
      <c r="D17" s="37">
        <v>10.0</v>
      </c>
      <c r="E17" s="37">
        <v>556.0</v>
      </c>
      <c r="F17" s="35"/>
      <c r="G17" s="35"/>
      <c r="H17" s="35"/>
      <c r="I17" s="35"/>
      <c r="J17" s="35"/>
      <c r="K17" s="35"/>
    </row>
    <row r="18">
      <c r="A18" s="36" t="s">
        <v>2745</v>
      </c>
      <c r="B18" s="36" t="s">
        <v>85</v>
      </c>
      <c r="C18" s="37" t="s">
        <v>87</v>
      </c>
      <c r="D18" s="37">
        <v>2.0</v>
      </c>
      <c r="E18" s="37">
        <v>311.0</v>
      </c>
      <c r="F18" s="35"/>
      <c r="G18" s="35"/>
      <c r="H18" s="35"/>
      <c r="I18" s="35"/>
      <c r="J18" s="35"/>
      <c r="K18" s="35"/>
    </row>
    <row r="19">
      <c r="A19" s="36" t="s">
        <v>2746</v>
      </c>
      <c r="B19" s="36" t="s">
        <v>90</v>
      </c>
      <c r="C19" s="37" t="s">
        <v>26</v>
      </c>
      <c r="D19" s="37">
        <v>8.0</v>
      </c>
      <c r="E19" s="37">
        <v>139.0</v>
      </c>
      <c r="F19" s="35"/>
      <c r="G19" s="35"/>
      <c r="H19" s="35"/>
      <c r="I19" s="35"/>
      <c r="J19" s="35"/>
      <c r="K19" s="35"/>
    </row>
    <row r="20">
      <c r="A20" s="38" t="s">
        <v>2747</v>
      </c>
      <c r="B20" s="36" t="s">
        <v>95</v>
      </c>
      <c r="C20" s="37" t="s">
        <v>87</v>
      </c>
      <c r="D20" s="37">
        <v>2.0</v>
      </c>
      <c r="E20" s="39">
        <v>221.0</v>
      </c>
      <c r="F20" s="35"/>
      <c r="G20" s="35"/>
      <c r="H20" s="35"/>
      <c r="I20" s="35"/>
      <c r="J20" s="35"/>
      <c r="K20" s="35"/>
    </row>
    <row r="21">
      <c r="A21" s="36" t="s">
        <v>2748</v>
      </c>
      <c r="B21" s="36" t="s">
        <v>100</v>
      </c>
      <c r="C21" s="37" t="s">
        <v>103</v>
      </c>
      <c r="D21" s="37">
        <v>4.0</v>
      </c>
      <c r="E21" s="37">
        <v>600.0</v>
      </c>
      <c r="F21" s="35"/>
      <c r="G21" s="35"/>
      <c r="H21" s="35"/>
      <c r="I21" s="35"/>
      <c r="J21" s="35"/>
      <c r="K21" s="35"/>
    </row>
    <row r="22">
      <c r="A22" s="38" t="s">
        <v>2749</v>
      </c>
      <c r="B22" s="36" t="s">
        <v>106</v>
      </c>
      <c r="C22" s="37" t="s">
        <v>103</v>
      </c>
      <c r="D22" s="37">
        <v>4.0</v>
      </c>
      <c r="E22" s="39">
        <v>347.0</v>
      </c>
      <c r="F22" s="35"/>
      <c r="G22" s="35"/>
      <c r="H22" s="35"/>
      <c r="I22" s="35"/>
      <c r="J22" s="35"/>
      <c r="K22" s="35"/>
    </row>
    <row r="23">
      <c r="A23" s="38" t="s">
        <v>2750</v>
      </c>
      <c r="B23" s="36" t="s">
        <v>111</v>
      </c>
      <c r="C23" s="37" t="s">
        <v>82</v>
      </c>
      <c r="D23" s="37">
        <v>10.0</v>
      </c>
      <c r="E23" s="39">
        <v>232.0</v>
      </c>
      <c r="F23" s="35"/>
      <c r="G23" s="35"/>
      <c r="H23" s="35"/>
      <c r="I23" s="35"/>
      <c r="J23" s="35"/>
      <c r="K23" s="35"/>
    </row>
    <row r="24">
      <c r="A24" s="36" t="s">
        <v>2751</v>
      </c>
      <c r="B24" s="36" t="s">
        <v>114</v>
      </c>
      <c r="C24" s="37" t="s">
        <v>87</v>
      </c>
      <c r="D24" s="37">
        <v>2.0</v>
      </c>
      <c r="E24" s="37">
        <v>1494.0</v>
      </c>
      <c r="F24" s="35"/>
      <c r="G24" s="35"/>
      <c r="H24" s="35"/>
      <c r="I24" s="35"/>
      <c r="J24" s="35"/>
      <c r="K24" s="35"/>
    </row>
    <row r="25">
      <c r="A25" s="36" t="s">
        <v>2752</v>
      </c>
      <c r="B25" s="36" t="s">
        <v>118</v>
      </c>
      <c r="C25" s="37" t="s">
        <v>121</v>
      </c>
      <c r="D25" s="37">
        <v>10.0</v>
      </c>
      <c r="E25" s="37">
        <v>352.0</v>
      </c>
      <c r="F25" s="35"/>
      <c r="G25" s="35"/>
      <c r="H25" s="35"/>
      <c r="I25" s="35"/>
      <c r="J25" s="35"/>
      <c r="K25" s="35"/>
    </row>
    <row r="26">
      <c r="A26" s="36" t="s">
        <v>2753</v>
      </c>
      <c r="B26" s="36" t="s">
        <v>124</v>
      </c>
      <c r="C26" s="37" t="s">
        <v>21</v>
      </c>
      <c r="D26" s="37">
        <v>7.0</v>
      </c>
      <c r="E26" s="37">
        <v>245.0</v>
      </c>
      <c r="F26" s="35"/>
      <c r="G26" s="35"/>
      <c r="H26" s="35"/>
      <c r="I26" s="35"/>
      <c r="J26" s="35"/>
      <c r="K26" s="35"/>
    </row>
    <row r="27">
      <c r="A27" s="38" t="s">
        <v>2754</v>
      </c>
      <c r="B27" s="36" t="s">
        <v>128</v>
      </c>
      <c r="C27" s="37" t="s">
        <v>36</v>
      </c>
      <c r="D27" s="37">
        <v>2.0</v>
      </c>
      <c r="E27" s="39">
        <v>1236.0</v>
      </c>
      <c r="F27" s="35"/>
      <c r="G27" s="35"/>
      <c r="H27" s="35"/>
      <c r="I27" s="35"/>
      <c r="J27" s="35"/>
      <c r="K27" s="35"/>
    </row>
    <row r="28">
      <c r="A28" s="38" t="s">
        <v>133</v>
      </c>
      <c r="B28" s="36" t="s">
        <v>132</v>
      </c>
      <c r="C28" s="37" t="s">
        <v>121</v>
      </c>
      <c r="D28" s="37">
        <v>10.0</v>
      </c>
      <c r="E28" s="39">
        <v>561.0</v>
      </c>
      <c r="F28" s="35"/>
      <c r="G28" s="35"/>
      <c r="H28" s="35"/>
      <c r="I28" s="35"/>
      <c r="J28" s="35"/>
      <c r="K28" s="35"/>
    </row>
    <row r="29">
      <c r="A29" s="38" t="s">
        <v>2755</v>
      </c>
      <c r="B29" s="36" t="s">
        <v>136</v>
      </c>
      <c r="C29" s="37" t="s">
        <v>139</v>
      </c>
      <c r="D29" s="37">
        <v>8.0</v>
      </c>
      <c r="E29" s="39">
        <v>352.0</v>
      </c>
      <c r="F29" s="35"/>
      <c r="G29" s="35"/>
      <c r="H29" s="35"/>
      <c r="I29" s="35"/>
      <c r="J29" s="35"/>
      <c r="K29" s="35"/>
    </row>
    <row r="30">
      <c r="A30" s="38" t="s">
        <v>2756</v>
      </c>
      <c r="B30" s="36" t="s">
        <v>142</v>
      </c>
      <c r="C30" s="37" t="s">
        <v>82</v>
      </c>
      <c r="D30" s="37">
        <v>10.0</v>
      </c>
      <c r="E30" s="39">
        <v>359.0</v>
      </c>
      <c r="F30" s="35"/>
      <c r="G30" s="35"/>
      <c r="H30" s="35"/>
      <c r="I30" s="35"/>
      <c r="J30" s="35"/>
      <c r="K30" s="35"/>
    </row>
    <row r="31">
      <c r="A31" s="38" t="s">
        <v>2757</v>
      </c>
      <c r="B31" s="36" t="s">
        <v>146</v>
      </c>
      <c r="C31" s="37" t="s">
        <v>47</v>
      </c>
      <c r="D31" s="37">
        <v>3.0</v>
      </c>
      <c r="E31" s="39">
        <v>491.0</v>
      </c>
      <c r="F31" s="35"/>
      <c r="G31" s="35"/>
      <c r="H31" s="35"/>
      <c r="I31" s="35"/>
      <c r="J31" s="35"/>
      <c r="K31" s="35"/>
    </row>
    <row r="32">
      <c r="A32" s="38" t="s">
        <v>2758</v>
      </c>
      <c r="B32" s="36" t="s">
        <v>149</v>
      </c>
      <c r="C32" s="37" t="s">
        <v>47</v>
      </c>
      <c r="D32" s="37">
        <v>3.0</v>
      </c>
      <c r="E32" s="39">
        <v>261.0</v>
      </c>
      <c r="F32" s="35"/>
      <c r="G32" s="35"/>
      <c r="H32" s="35"/>
      <c r="I32" s="35"/>
      <c r="J32" s="35"/>
      <c r="K32" s="35"/>
    </row>
    <row r="33">
      <c r="A33" s="36" t="s">
        <v>2759</v>
      </c>
      <c r="B33" s="36" t="s">
        <v>153</v>
      </c>
      <c r="C33" s="37" t="s">
        <v>47</v>
      </c>
      <c r="D33" s="37">
        <v>3.0</v>
      </c>
      <c r="E33" s="37">
        <v>103.0</v>
      </c>
      <c r="F33" s="35"/>
      <c r="G33" s="35"/>
      <c r="H33" s="35"/>
      <c r="I33" s="35"/>
      <c r="J33" s="35"/>
      <c r="K33" s="35"/>
    </row>
    <row r="34">
      <c r="A34" s="36" t="s">
        <v>2760</v>
      </c>
      <c r="B34" s="36" t="s">
        <v>156</v>
      </c>
      <c r="C34" s="37" t="s">
        <v>103</v>
      </c>
      <c r="D34" s="37">
        <v>4.0</v>
      </c>
      <c r="E34" s="37">
        <v>571.0</v>
      </c>
      <c r="F34" s="35"/>
      <c r="G34" s="35"/>
      <c r="H34" s="35"/>
      <c r="I34" s="35"/>
      <c r="J34" s="35"/>
      <c r="K34" s="35"/>
    </row>
    <row r="35">
      <c r="A35" s="36" t="s">
        <v>160</v>
      </c>
      <c r="B35" s="36" t="s">
        <v>159</v>
      </c>
      <c r="C35" s="37" t="s">
        <v>31</v>
      </c>
      <c r="D35" s="37">
        <v>5.0</v>
      </c>
      <c r="E35" s="37">
        <v>170.0</v>
      </c>
      <c r="F35" s="35"/>
      <c r="G35" s="35"/>
      <c r="H35" s="35"/>
      <c r="I35" s="35"/>
      <c r="J35" s="35"/>
      <c r="K35" s="35"/>
    </row>
    <row r="36">
      <c r="A36" s="38" t="s">
        <v>2761</v>
      </c>
      <c r="B36" s="36" t="s">
        <v>163</v>
      </c>
      <c r="C36" s="37" t="s">
        <v>82</v>
      </c>
      <c r="D36" s="37">
        <v>10.0</v>
      </c>
      <c r="E36" s="39">
        <v>225.0</v>
      </c>
      <c r="F36" s="35"/>
      <c r="G36" s="35"/>
      <c r="H36" s="35"/>
      <c r="I36" s="35"/>
      <c r="J36" s="35"/>
      <c r="K36" s="35"/>
    </row>
    <row r="37">
      <c r="A37" s="38" t="s">
        <v>2762</v>
      </c>
      <c r="B37" s="36" t="s">
        <v>166</v>
      </c>
      <c r="C37" s="37" t="s">
        <v>47</v>
      </c>
      <c r="D37" s="37">
        <v>3.0</v>
      </c>
      <c r="E37" s="39">
        <v>509.0</v>
      </c>
      <c r="F37" s="35"/>
      <c r="G37" s="35"/>
      <c r="H37" s="35"/>
      <c r="I37" s="35"/>
      <c r="J37" s="35"/>
      <c r="K37" s="35"/>
    </row>
    <row r="38">
      <c r="A38" s="36" t="s">
        <v>2763</v>
      </c>
      <c r="B38" s="36" t="s">
        <v>169</v>
      </c>
      <c r="C38" s="37" t="s">
        <v>139</v>
      </c>
      <c r="D38" s="37">
        <v>8.0</v>
      </c>
      <c r="E38" s="37">
        <v>711.0</v>
      </c>
      <c r="F38" s="35"/>
      <c r="G38" s="35"/>
      <c r="H38" s="35"/>
      <c r="I38" s="35"/>
      <c r="J38" s="35"/>
      <c r="K38" s="35"/>
    </row>
    <row r="39">
      <c r="A39" s="36" t="s">
        <v>2764</v>
      </c>
      <c r="B39" s="36" t="s">
        <v>173</v>
      </c>
      <c r="C39" s="37" t="s">
        <v>26</v>
      </c>
      <c r="D39" s="37">
        <v>8.0</v>
      </c>
      <c r="E39" s="37">
        <v>1003.0</v>
      </c>
      <c r="F39" s="35"/>
      <c r="G39" s="35"/>
      <c r="H39" s="35"/>
      <c r="I39" s="35"/>
      <c r="J39" s="35"/>
      <c r="K39" s="35"/>
    </row>
    <row r="40">
      <c r="A40" s="36" t="s">
        <v>2765</v>
      </c>
      <c r="B40" s="36" t="s">
        <v>176</v>
      </c>
      <c r="C40" s="37" t="s">
        <v>178</v>
      </c>
      <c r="D40" s="37">
        <v>9.0</v>
      </c>
      <c r="E40" s="37">
        <v>264.0</v>
      </c>
      <c r="F40" s="35"/>
      <c r="G40" s="35"/>
      <c r="H40" s="35"/>
      <c r="I40" s="35"/>
      <c r="J40" s="35"/>
      <c r="K40" s="35"/>
    </row>
    <row r="41">
      <c r="A41" s="38" t="s">
        <v>2766</v>
      </c>
      <c r="B41" s="36" t="s">
        <v>181</v>
      </c>
      <c r="C41" s="37" t="s">
        <v>47</v>
      </c>
      <c r="D41" s="37">
        <v>3.0</v>
      </c>
      <c r="E41" s="39">
        <v>439.0</v>
      </c>
      <c r="F41" s="35"/>
      <c r="G41" s="35"/>
      <c r="H41" s="35"/>
      <c r="I41" s="35"/>
      <c r="J41" s="35"/>
      <c r="K41" s="35"/>
    </row>
    <row r="42">
      <c r="A42" s="36" t="s">
        <v>2767</v>
      </c>
      <c r="B42" s="36" t="s">
        <v>184</v>
      </c>
      <c r="C42" s="37" t="s">
        <v>187</v>
      </c>
      <c r="D42" s="37">
        <v>9.0</v>
      </c>
      <c r="E42" s="37">
        <v>392.0</v>
      </c>
      <c r="F42" s="35"/>
      <c r="G42" s="35"/>
      <c r="H42" s="35"/>
      <c r="I42" s="35"/>
      <c r="J42" s="35"/>
      <c r="K42" s="35"/>
    </row>
    <row r="43">
      <c r="A43" s="38" t="s">
        <v>2768</v>
      </c>
      <c r="B43" s="36" t="s">
        <v>190</v>
      </c>
      <c r="C43" s="37" t="s">
        <v>187</v>
      </c>
      <c r="D43" s="37">
        <v>9.0</v>
      </c>
      <c r="E43" s="39">
        <v>337.0</v>
      </c>
      <c r="F43" s="35"/>
      <c r="G43" s="35"/>
      <c r="H43" s="35"/>
      <c r="I43" s="35"/>
      <c r="J43" s="35"/>
      <c r="K43" s="35"/>
    </row>
    <row r="44">
      <c r="A44" s="38" t="s">
        <v>2769</v>
      </c>
      <c r="B44" s="36" t="s">
        <v>194</v>
      </c>
      <c r="C44" s="37" t="s">
        <v>87</v>
      </c>
      <c r="D44" s="37">
        <v>2.0</v>
      </c>
      <c r="E44" s="39">
        <v>882.0</v>
      </c>
      <c r="F44" s="35"/>
      <c r="G44" s="35"/>
      <c r="H44" s="35"/>
      <c r="I44" s="35"/>
      <c r="J44" s="35"/>
      <c r="K44" s="35"/>
    </row>
    <row r="45">
      <c r="A45" s="36" t="s">
        <v>2770</v>
      </c>
      <c r="B45" s="36" t="s">
        <v>197</v>
      </c>
      <c r="C45" s="37" t="s">
        <v>199</v>
      </c>
      <c r="D45" s="37">
        <v>1.0</v>
      </c>
      <c r="E45" s="40"/>
      <c r="F45" s="35"/>
      <c r="G45" s="35"/>
      <c r="H45" s="35"/>
      <c r="I45" s="35"/>
      <c r="J45" s="35"/>
      <c r="K45" s="35"/>
    </row>
    <row r="46">
      <c r="A46" s="38" t="s">
        <v>2771</v>
      </c>
      <c r="B46" s="36" t="s">
        <v>202</v>
      </c>
      <c r="C46" s="37" t="s">
        <v>204</v>
      </c>
      <c r="D46" s="37">
        <v>6.0</v>
      </c>
      <c r="E46" s="39">
        <v>1046.0</v>
      </c>
      <c r="F46" s="35"/>
      <c r="G46" s="35"/>
      <c r="H46" s="35"/>
      <c r="I46" s="35"/>
      <c r="J46" s="35"/>
      <c r="K46" s="35"/>
    </row>
    <row r="47">
      <c r="A47" s="38" t="s">
        <v>2772</v>
      </c>
      <c r="B47" s="36" t="s">
        <v>207</v>
      </c>
      <c r="C47" s="37" t="s">
        <v>199</v>
      </c>
      <c r="D47" s="37">
        <v>1.0</v>
      </c>
      <c r="E47" s="39">
        <v>962.0</v>
      </c>
      <c r="F47" s="35"/>
      <c r="G47" s="35"/>
      <c r="H47" s="35"/>
      <c r="I47" s="35"/>
      <c r="J47" s="35"/>
      <c r="K47" s="35"/>
    </row>
    <row r="48">
      <c r="A48" s="36" t="s">
        <v>2773</v>
      </c>
      <c r="B48" s="36" t="s">
        <v>211</v>
      </c>
      <c r="C48" s="37" t="s">
        <v>204</v>
      </c>
      <c r="D48" s="37">
        <v>6.0</v>
      </c>
      <c r="E48" s="37">
        <v>259.0</v>
      </c>
      <c r="F48" s="35"/>
      <c r="G48" s="35"/>
      <c r="H48" s="35"/>
      <c r="I48" s="35"/>
      <c r="J48" s="35"/>
      <c r="K48" s="35"/>
    </row>
    <row r="49">
      <c r="A49" s="38" t="s">
        <v>2774</v>
      </c>
      <c r="B49" s="36" t="s">
        <v>214</v>
      </c>
      <c r="C49" s="37" t="s">
        <v>217</v>
      </c>
      <c r="D49" s="37">
        <v>5.0</v>
      </c>
      <c r="E49" s="39">
        <v>259.0</v>
      </c>
      <c r="F49" s="35"/>
      <c r="G49" s="35"/>
      <c r="H49" s="35"/>
      <c r="I49" s="35"/>
      <c r="J49" s="35"/>
      <c r="K49" s="35"/>
    </row>
    <row r="50">
      <c r="A50" s="36" t="s">
        <v>2775</v>
      </c>
      <c r="B50" s="36" t="s">
        <v>220</v>
      </c>
      <c r="C50" s="37" t="s">
        <v>222</v>
      </c>
      <c r="D50" s="37">
        <v>1.0</v>
      </c>
      <c r="E50" s="37">
        <v>549.0</v>
      </c>
      <c r="F50" s="35"/>
      <c r="G50" s="35"/>
      <c r="H50" s="35"/>
      <c r="I50" s="35"/>
      <c r="J50" s="35"/>
      <c r="K50" s="35"/>
    </row>
    <row r="51">
      <c r="A51" s="38" t="s">
        <v>2776</v>
      </c>
      <c r="B51" s="36" t="s">
        <v>225</v>
      </c>
      <c r="C51" s="37" t="s">
        <v>103</v>
      </c>
      <c r="D51" s="37">
        <v>4.0</v>
      </c>
      <c r="E51" s="39">
        <v>884.0</v>
      </c>
      <c r="F51" s="35"/>
      <c r="G51" s="35"/>
      <c r="H51" s="35"/>
      <c r="I51" s="35"/>
      <c r="J51" s="35"/>
      <c r="K51" s="35"/>
    </row>
    <row r="52">
      <c r="A52" s="36" t="s">
        <v>2777</v>
      </c>
      <c r="B52" s="36" t="s">
        <v>229</v>
      </c>
      <c r="C52" s="37" t="s">
        <v>232</v>
      </c>
      <c r="D52" s="37">
        <v>3.0</v>
      </c>
      <c r="E52" s="37">
        <v>479.0</v>
      </c>
      <c r="F52" s="35"/>
      <c r="G52" s="35"/>
      <c r="H52" s="35"/>
      <c r="I52" s="35"/>
      <c r="J52" s="35"/>
      <c r="K52" s="35"/>
    </row>
    <row r="53">
      <c r="A53" s="36" t="s">
        <v>2778</v>
      </c>
      <c r="B53" s="36" t="s">
        <v>234</v>
      </c>
      <c r="C53" s="37" t="s">
        <v>178</v>
      </c>
      <c r="D53" s="37">
        <v>9.0</v>
      </c>
      <c r="E53" s="37">
        <v>255.0</v>
      </c>
      <c r="F53" s="35"/>
      <c r="G53" s="35"/>
      <c r="H53" s="35"/>
      <c r="I53" s="35"/>
      <c r="J53" s="35"/>
      <c r="K53" s="35"/>
    </row>
    <row r="54">
      <c r="A54" s="38" t="s">
        <v>2779</v>
      </c>
      <c r="B54" s="36" t="s">
        <v>238</v>
      </c>
      <c r="C54" s="37" t="s">
        <v>82</v>
      </c>
      <c r="D54" s="37">
        <v>10.0</v>
      </c>
      <c r="E54" s="39">
        <v>395.0</v>
      </c>
      <c r="F54" s="35"/>
      <c r="G54" s="35"/>
      <c r="H54" s="35"/>
      <c r="I54" s="35"/>
      <c r="J54" s="35"/>
      <c r="K54" s="35"/>
    </row>
    <row r="55">
      <c r="A55" s="36" t="s">
        <v>2780</v>
      </c>
      <c r="B55" s="36" t="s">
        <v>241</v>
      </c>
      <c r="C55" s="37" t="s">
        <v>243</v>
      </c>
      <c r="D55" s="37">
        <v>4.0</v>
      </c>
      <c r="E55" s="37">
        <v>635.0</v>
      </c>
      <c r="F55" s="35"/>
      <c r="G55" s="35"/>
      <c r="H55" s="35"/>
      <c r="I55" s="35"/>
      <c r="J55" s="35"/>
      <c r="K55" s="35"/>
    </row>
    <row r="56">
      <c r="A56" s="38" t="s">
        <v>247</v>
      </c>
      <c r="B56" s="36" t="s">
        <v>246</v>
      </c>
      <c r="C56" s="37" t="s">
        <v>139</v>
      </c>
      <c r="D56" s="37">
        <v>8.0</v>
      </c>
      <c r="E56" s="41"/>
      <c r="F56" s="35"/>
      <c r="G56" s="35"/>
      <c r="H56" s="35"/>
      <c r="I56" s="35"/>
      <c r="J56" s="35"/>
      <c r="K56" s="35"/>
    </row>
    <row r="57">
      <c r="A57" s="38" t="s">
        <v>2781</v>
      </c>
      <c r="B57" s="36" t="s">
        <v>251</v>
      </c>
      <c r="C57" s="37" t="s">
        <v>139</v>
      </c>
      <c r="D57" s="37">
        <v>8.0</v>
      </c>
      <c r="E57" s="39">
        <v>643.0</v>
      </c>
      <c r="F57" s="35"/>
      <c r="G57" s="35"/>
      <c r="H57" s="35"/>
      <c r="I57" s="35"/>
      <c r="J57" s="35"/>
      <c r="K57" s="35"/>
    </row>
    <row r="58">
      <c r="A58" s="38" t="s">
        <v>2782</v>
      </c>
      <c r="B58" s="36" t="s">
        <v>254</v>
      </c>
      <c r="C58" s="37" t="s">
        <v>187</v>
      </c>
      <c r="D58" s="37">
        <v>9.0</v>
      </c>
      <c r="E58" s="39">
        <v>227.0</v>
      </c>
      <c r="F58" s="35"/>
      <c r="G58" s="35"/>
      <c r="H58" s="35"/>
      <c r="I58" s="35"/>
      <c r="J58" s="35"/>
      <c r="K58" s="35"/>
    </row>
    <row r="59">
      <c r="A59" s="36" t="s">
        <v>1275</v>
      </c>
      <c r="B59" s="36" t="s">
        <v>1274</v>
      </c>
      <c r="C59" s="37" t="e">
        <v>#N/A</v>
      </c>
      <c r="D59" s="37" t="s">
        <v>2783</v>
      </c>
      <c r="E59" s="37">
        <v>721.0</v>
      </c>
      <c r="F59" s="35"/>
      <c r="G59" s="35"/>
      <c r="H59" s="35"/>
      <c r="I59" s="35"/>
      <c r="J59" s="35"/>
      <c r="K59" s="35"/>
    </row>
    <row r="60">
      <c r="A60" s="38" t="s">
        <v>2784</v>
      </c>
      <c r="B60" s="36" t="s">
        <v>257</v>
      </c>
      <c r="C60" s="37" t="s">
        <v>121</v>
      </c>
      <c r="D60" s="37">
        <v>10.0</v>
      </c>
      <c r="E60" s="39">
        <v>587.0</v>
      </c>
      <c r="F60" s="35"/>
      <c r="G60" s="35"/>
      <c r="H60" s="35"/>
      <c r="I60" s="35"/>
      <c r="J60" s="35"/>
      <c r="K60" s="35"/>
    </row>
    <row r="61">
      <c r="A61" s="38" t="s">
        <v>262</v>
      </c>
      <c r="B61" s="36" t="s">
        <v>261</v>
      </c>
      <c r="C61" s="37" t="s">
        <v>82</v>
      </c>
      <c r="D61" s="37">
        <v>10.0</v>
      </c>
      <c r="E61" s="39">
        <v>192.0</v>
      </c>
      <c r="F61" s="35"/>
      <c r="G61" s="35"/>
      <c r="H61" s="35"/>
      <c r="I61" s="35"/>
      <c r="J61" s="35"/>
      <c r="K61" s="35"/>
    </row>
    <row r="62">
      <c r="A62" s="38" t="s">
        <v>2785</v>
      </c>
      <c r="B62" s="36" t="s">
        <v>265</v>
      </c>
      <c r="C62" s="37" t="s">
        <v>121</v>
      </c>
      <c r="D62" s="37">
        <v>10.0</v>
      </c>
      <c r="E62" s="39">
        <v>420.0</v>
      </c>
      <c r="F62" s="35"/>
      <c r="G62" s="35"/>
      <c r="H62" s="35"/>
      <c r="I62" s="35"/>
      <c r="J62" s="35"/>
      <c r="K62" s="35"/>
    </row>
    <row r="63">
      <c r="A63" s="38" t="s">
        <v>2786</v>
      </c>
      <c r="B63" s="36" t="s">
        <v>268</v>
      </c>
      <c r="C63" s="37" t="s">
        <v>243</v>
      </c>
      <c r="D63" s="37">
        <v>4.0</v>
      </c>
      <c r="E63" s="39">
        <v>435.0</v>
      </c>
      <c r="F63" s="35"/>
      <c r="G63" s="35"/>
      <c r="H63" s="35"/>
      <c r="I63" s="35"/>
      <c r="J63" s="35"/>
      <c r="K63" s="35"/>
    </row>
    <row r="64">
      <c r="A64" s="36" t="s">
        <v>2787</v>
      </c>
      <c r="B64" s="36" t="s">
        <v>272</v>
      </c>
      <c r="C64" s="37" t="s">
        <v>47</v>
      </c>
      <c r="D64" s="37">
        <v>3.0</v>
      </c>
      <c r="E64" s="37">
        <v>684.0</v>
      </c>
      <c r="F64" s="35"/>
      <c r="G64" s="35"/>
      <c r="H64" s="35"/>
      <c r="I64" s="35"/>
      <c r="J64" s="35"/>
      <c r="K64" s="35"/>
    </row>
    <row r="65">
      <c r="A65" s="38" t="s">
        <v>2788</v>
      </c>
      <c r="B65" s="36" t="s">
        <v>276</v>
      </c>
      <c r="C65" s="37" t="s">
        <v>222</v>
      </c>
      <c r="D65" s="37">
        <v>1.0</v>
      </c>
      <c r="E65" s="39">
        <v>1080.0</v>
      </c>
      <c r="F65" s="35"/>
      <c r="G65" s="35"/>
      <c r="H65" s="35"/>
      <c r="I65" s="35"/>
      <c r="J65" s="35"/>
      <c r="K65" s="35"/>
    </row>
    <row r="66">
      <c r="A66" s="36" t="s">
        <v>2789</v>
      </c>
      <c r="B66" s="36" t="s">
        <v>280</v>
      </c>
      <c r="C66" s="37" t="s">
        <v>82</v>
      </c>
      <c r="D66" s="37">
        <v>10.0</v>
      </c>
      <c r="E66" s="37">
        <v>230.0</v>
      </c>
      <c r="F66" s="35"/>
      <c r="G66" s="35"/>
      <c r="H66" s="35"/>
      <c r="I66" s="35"/>
      <c r="J66" s="35"/>
      <c r="K66" s="35"/>
    </row>
    <row r="67">
      <c r="A67" s="36" t="s">
        <v>2790</v>
      </c>
      <c r="B67" s="36" t="s">
        <v>283</v>
      </c>
      <c r="C67" s="37" t="s">
        <v>26</v>
      </c>
      <c r="D67" s="37">
        <v>8.0</v>
      </c>
      <c r="E67" s="37">
        <v>272.0</v>
      </c>
      <c r="F67" s="35"/>
      <c r="G67" s="35"/>
      <c r="H67" s="35"/>
      <c r="I67" s="35"/>
      <c r="J67" s="35"/>
      <c r="K67" s="35"/>
    </row>
    <row r="68">
      <c r="A68" s="36" t="s">
        <v>288</v>
      </c>
      <c r="B68" s="36" t="s">
        <v>287</v>
      </c>
      <c r="C68" s="37" t="s">
        <v>204</v>
      </c>
      <c r="D68" s="37">
        <v>6.0</v>
      </c>
      <c r="E68" s="37">
        <v>395.0</v>
      </c>
      <c r="F68" s="35"/>
      <c r="G68" s="35"/>
      <c r="H68" s="35"/>
      <c r="I68" s="35"/>
      <c r="J68" s="35"/>
      <c r="K68" s="35"/>
    </row>
    <row r="69">
      <c r="A69" s="36" t="s">
        <v>2791</v>
      </c>
      <c r="B69" s="36" t="s">
        <v>290</v>
      </c>
      <c r="C69" s="37" t="s">
        <v>204</v>
      </c>
      <c r="D69" s="37">
        <v>6.0</v>
      </c>
      <c r="E69" s="37">
        <v>72.0</v>
      </c>
      <c r="F69" s="35"/>
      <c r="G69" s="35"/>
      <c r="H69" s="35"/>
      <c r="I69" s="35"/>
      <c r="J69" s="35"/>
      <c r="K69" s="35"/>
    </row>
    <row r="70">
      <c r="A70" s="38" t="s">
        <v>2792</v>
      </c>
      <c r="B70" s="36" t="s">
        <v>293</v>
      </c>
      <c r="C70" s="37" t="s">
        <v>178</v>
      </c>
      <c r="D70" s="37">
        <v>9.0</v>
      </c>
      <c r="E70" s="39">
        <v>971.0</v>
      </c>
      <c r="F70" s="35"/>
      <c r="G70" s="35"/>
      <c r="H70" s="35"/>
      <c r="I70" s="35"/>
      <c r="J70" s="35"/>
      <c r="K70" s="35"/>
    </row>
    <row r="71">
      <c r="A71" s="36" t="s">
        <v>2793</v>
      </c>
      <c r="B71" s="36" t="s">
        <v>296</v>
      </c>
      <c r="C71" s="37" t="s">
        <v>178</v>
      </c>
      <c r="D71" s="37">
        <v>9.0</v>
      </c>
      <c r="E71" s="37">
        <v>284.0</v>
      </c>
      <c r="F71" s="35"/>
      <c r="G71" s="35"/>
      <c r="H71" s="35"/>
      <c r="I71" s="35"/>
      <c r="J71" s="35"/>
      <c r="K71" s="35"/>
    </row>
    <row r="72">
      <c r="A72" s="38" t="s">
        <v>2794</v>
      </c>
      <c r="B72" s="36" t="s">
        <v>299</v>
      </c>
      <c r="C72" s="37" t="s">
        <v>217</v>
      </c>
      <c r="D72" s="37">
        <v>5.0</v>
      </c>
      <c r="E72" s="39">
        <v>206.0</v>
      </c>
      <c r="F72" s="35"/>
      <c r="G72" s="35"/>
      <c r="H72" s="35"/>
      <c r="I72" s="35"/>
      <c r="J72" s="35"/>
      <c r="K72" s="35"/>
    </row>
    <row r="73">
      <c r="A73" s="36" t="s">
        <v>2795</v>
      </c>
      <c r="B73" s="36" t="s">
        <v>303</v>
      </c>
      <c r="C73" s="37" t="s">
        <v>204</v>
      </c>
      <c r="D73" s="37">
        <v>6.0</v>
      </c>
      <c r="E73" s="37">
        <v>132.0</v>
      </c>
      <c r="F73" s="35"/>
      <c r="G73" s="35"/>
      <c r="H73" s="35"/>
      <c r="I73" s="35"/>
      <c r="J73" s="35"/>
      <c r="K73" s="35"/>
    </row>
    <row r="74">
      <c r="A74" s="36" t="s">
        <v>2796</v>
      </c>
      <c r="B74" s="36" t="s">
        <v>307</v>
      </c>
      <c r="C74" s="37" t="s">
        <v>31</v>
      </c>
      <c r="D74" s="37">
        <v>5.0</v>
      </c>
      <c r="E74" s="37">
        <v>410.0</v>
      </c>
      <c r="F74" s="35"/>
      <c r="G74" s="35"/>
      <c r="H74" s="35"/>
      <c r="I74" s="35"/>
      <c r="J74" s="35"/>
      <c r="K74" s="35"/>
    </row>
    <row r="75">
      <c r="A75" s="36" t="s">
        <v>2797</v>
      </c>
      <c r="B75" s="36" t="s">
        <v>310</v>
      </c>
      <c r="C75" s="37" t="s">
        <v>87</v>
      </c>
      <c r="D75" s="37">
        <v>2.0</v>
      </c>
      <c r="E75" s="37">
        <v>673.0</v>
      </c>
      <c r="F75" s="35"/>
      <c r="G75" s="35"/>
      <c r="H75" s="35"/>
      <c r="I75" s="35"/>
      <c r="J75" s="35"/>
      <c r="K75" s="35"/>
    </row>
    <row r="76">
      <c r="A76" s="38" t="s">
        <v>2798</v>
      </c>
      <c r="B76" s="36" t="s">
        <v>313</v>
      </c>
      <c r="C76" s="37" t="s">
        <v>31</v>
      </c>
      <c r="D76" s="37">
        <v>5.0</v>
      </c>
      <c r="E76" s="39">
        <v>702.0</v>
      </c>
      <c r="F76" s="35"/>
      <c r="G76" s="35"/>
      <c r="H76" s="35"/>
      <c r="I76" s="35"/>
      <c r="J76" s="35"/>
      <c r="K76" s="35"/>
    </row>
    <row r="77">
      <c r="A77" s="36" t="s">
        <v>2799</v>
      </c>
      <c r="B77" s="36" t="s">
        <v>316</v>
      </c>
      <c r="C77" s="37" t="s">
        <v>204</v>
      </c>
      <c r="D77" s="37">
        <v>6.0</v>
      </c>
      <c r="E77" s="37">
        <v>275.0</v>
      </c>
      <c r="F77" s="35"/>
      <c r="G77" s="35"/>
      <c r="H77" s="35"/>
      <c r="I77" s="35"/>
      <c r="J77" s="35"/>
      <c r="K77" s="35"/>
    </row>
    <row r="78">
      <c r="A78" s="38" t="s">
        <v>2800</v>
      </c>
      <c r="B78" s="36" t="s">
        <v>319</v>
      </c>
      <c r="C78" s="37" t="s">
        <v>103</v>
      </c>
      <c r="D78" s="37">
        <v>4.0</v>
      </c>
      <c r="E78" s="39">
        <v>494.0</v>
      </c>
      <c r="F78" s="35"/>
      <c r="G78" s="35"/>
      <c r="H78" s="35"/>
      <c r="I78" s="35"/>
      <c r="J78" s="35"/>
      <c r="K78" s="35"/>
    </row>
    <row r="79">
      <c r="A79" s="36" t="s">
        <v>2801</v>
      </c>
      <c r="B79" s="36" t="s">
        <v>322</v>
      </c>
      <c r="C79" s="37" t="s">
        <v>82</v>
      </c>
      <c r="D79" s="37">
        <v>10.0</v>
      </c>
      <c r="E79" s="37">
        <v>416.0</v>
      </c>
      <c r="F79" s="35"/>
      <c r="G79" s="35"/>
      <c r="H79" s="35"/>
      <c r="I79" s="35"/>
      <c r="J79" s="35"/>
      <c r="K79" s="35"/>
    </row>
    <row r="80">
      <c r="A80" s="38" t="s">
        <v>2802</v>
      </c>
      <c r="B80" s="36" t="s">
        <v>325</v>
      </c>
      <c r="C80" s="37" t="s">
        <v>82</v>
      </c>
      <c r="D80" s="37">
        <v>10.0</v>
      </c>
      <c r="E80" s="39">
        <v>309.0</v>
      </c>
      <c r="F80" s="35"/>
      <c r="G80" s="35"/>
      <c r="H80" s="35"/>
      <c r="I80" s="35"/>
      <c r="J80" s="35"/>
      <c r="K80" s="35"/>
    </row>
    <row r="81">
      <c r="A81" s="36" t="s">
        <v>2803</v>
      </c>
      <c r="B81" s="36" t="s">
        <v>328</v>
      </c>
      <c r="C81" s="37" t="s">
        <v>103</v>
      </c>
      <c r="D81" s="37">
        <v>4.0</v>
      </c>
      <c r="E81" s="37">
        <v>476.0</v>
      </c>
      <c r="F81" s="35"/>
      <c r="G81" s="35"/>
      <c r="H81" s="35"/>
      <c r="I81" s="35"/>
      <c r="J81" s="35"/>
      <c r="K81" s="35"/>
    </row>
    <row r="82">
      <c r="A82" s="38" t="s">
        <v>2804</v>
      </c>
      <c r="B82" s="36" t="s">
        <v>331</v>
      </c>
      <c r="C82" s="37" t="s">
        <v>26</v>
      </c>
      <c r="D82" s="37">
        <v>8.0</v>
      </c>
      <c r="E82" s="39">
        <v>321.0</v>
      </c>
      <c r="F82" s="35"/>
      <c r="G82" s="35"/>
      <c r="H82" s="35"/>
      <c r="I82" s="35"/>
      <c r="J82" s="35"/>
      <c r="K82" s="35"/>
    </row>
    <row r="83">
      <c r="A83" s="38" t="s">
        <v>2805</v>
      </c>
      <c r="B83" s="36" t="s">
        <v>334</v>
      </c>
      <c r="C83" s="37" t="s">
        <v>139</v>
      </c>
      <c r="D83" s="37">
        <v>8.0</v>
      </c>
      <c r="E83" s="39">
        <v>616.0</v>
      </c>
      <c r="F83" s="35"/>
      <c r="G83" s="35"/>
      <c r="H83" s="35"/>
      <c r="I83" s="35"/>
      <c r="J83" s="35"/>
      <c r="K83" s="35"/>
    </row>
    <row r="84">
      <c r="A84" s="36" t="s">
        <v>559</v>
      </c>
      <c r="B84" s="36" t="s">
        <v>2125</v>
      </c>
      <c r="C84" s="37" t="e">
        <v>#N/A</v>
      </c>
      <c r="D84" s="37" t="s">
        <v>2783</v>
      </c>
      <c r="E84" s="37">
        <v>204.0</v>
      </c>
      <c r="F84" s="35"/>
      <c r="G84" s="35"/>
      <c r="H84" s="35"/>
      <c r="I84" s="35"/>
      <c r="J84" s="35"/>
      <c r="K84" s="35"/>
    </row>
    <row r="85">
      <c r="A85" s="38" t="s">
        <v>2806</v>
      </c>
      <c r="B85" s="36" t="s">
        <v>337</v>
      </c>
      <c r="C85" s="37" t="s">
        <v>21</v>
      </c>
      <c r="D85" s="37">
        <v>7.0</v>
      </c>
      <c r="E85" s="39">
        <v>613.0</v>
      </c>
      <c r="F85" s="35"/>
      <c r="G85" s="35"/>
      <c r="H85" s="35"/>
      <c r="I85" s="35"/>
      <c r="J85" s="35"/>
      <c r="K85" s="35"/>
    </row>
    <row r="86">
      <c r="A86" s="38" t="s">
        <v>2807</v>
      </c>
      <c r="B86" s="36" t="s">
        <v>340</v>
      </c>
      <c r="C86" s="37" t="s">
        <v>232</v>
      </c>
      <c r="D86" s="37">
        <v>3.0</v>
      </c>
      <c r="E86" s="39">
        <v>563.0</v>
      </c>
      <c r="F86" s="35"/>
      <c r="G86" s="35"/>
      <c r="H86" s="35"/>
      <c r="I86" s="35"/>
      <c r="J86" s="35"/>
      <c r="K86" s="35"/>
    </row>
    <row r="87">
      <c r="A87" s="38" t="s">
        <v>2808</v>
      </c>
      <c r="B87" s="36" t="s">
        <v>343</v>
      </c>
      <c r="C87" s="37" t="s">
        <v>222</v>
      </c>
      <c r="D87" s="37">
        <v>1.0</v>
      </c>
      <c r="E87" s="39">
        <v>789.0</v>
      </c>
      <c r="F87" s="35"/>
      <c r="G87" s="35"/>
      <c r="H87" s="35"/>
      <c r="I87" s="35"/>
      <c r="J87" s="35"/>
      <c r="K87" s="35"/>
    </row>
    <row r="88">
      <c r="A88" s="36" t="s">
        <v>2809</v>
      </c>
      <c r="B88" s="36" t="s">
        <v>347</v>
      </c>
      <c r="C88" s="37" t="s">
        <v>199</v>
      </c>
      <c r="D88" s="37">
        <v>1.0</v>
      </c>
      <c r="E88" s="37">
        <v>816.0</v>
      </c>
      <c r="F88" s="35"/>
      <c r="G88" s="35"/>
      <c r="H88" s="35"/>
      <c r="I88" s="35"/>
      <c r="J88" s="35"/>
      <c r="K88" s="35"/>
    </row>
    <row r="89">
      <c r="A89" s="38" t="s">
        <v>2810</v>
      </c>
      <c r="B89" s="36" t="s">
        <v>350</v>
      </c>
      <c r="C89" s="37" t="s">
        <v>42</v>
      </c>
      <c r="D89" s="37">
        <v>7.0</v>
      </c>
      <c r="E89" s="39">
        <v>812.0</v>
      </c>
      <c r="F89" s="35"/>
      <c r="G89" s="35"/>
      <c r="H89" s="35"/>
      <c r="I89" s="35"/>
      <c r="J89" s="35"/>
      <c r="K89" s="35"/>
    </row>
    <row r="90">
      <c r="A90" s="38" t="s">
        <v>2811</v>
      </c>
      <c r="B90" s="36" t="s">
        <v>354</v>
      </c>
      <c r="C90" s="37" t="s">
        <v>121</v>
      </c>
      <c r="D90" s="37">
        <v>10.0</v>
      </c>
      <c r="E90" s="39">
        <v>440.0</v>
      </c>
      <c r="F90" s="35"/>
      <c r="G90" s="35"/>
      <c r="H90" s="35"/>
      <c r="I90" s="35"/>
      <c r="J90" s="35"/>
      <c r="K90" s="35"/>
    </row>
    <row r="91">
      <c r="A91" s="36" t="s">
        <v>2812</v>
      </c>
      <c r="B91" s="36" t="s">
        <v>358</v>
      </c>
      <c r="C91" s="37" t="s">
        <v>139</v>
      </c>
      <c r="D91" s="37">
        <v>8.0</v>
      </c>
      <c r="E91" s="37">
        <v>417.0</v>
      </c>
      <c r="F91" s="35"/>
      <c r="G91" s="35"/>
      <c r="H91" s="35"/>
      <c r="I91" s="35"/>
      <c r="J91" s="35"/>
      <c r="K91" s="35"/>
    </row>
    <row r="92">
      <c r="A92" s="36" t="s">
        <v>2813</v>
      </c>
      <c r="B92" s="36" t="s">
        <v>361</v>
      </c>
      <c r="C92" s="37" t="s">
        <v>26</v>
      </c>
      <c r="D92" s="37">
        <v>8.0</v>
      </c>
      <c r="E92" s="37">
        <v>786.0</v>
      </c>
      <c r="F92" s="35"/>
      <c r="G92" s="35"/>
      <c r="H92" s="35"/>
      <c r="I92" s="35"/>
      <c r="J92" s="35"/>
      <c r="K92" s="35"/>
    </row>
    <row r="93">
      <c r="A93" s="38" t="s">
        <v>2814</v>
      </c>
      <c r="B93" s="36" t="s">
        <v>365</v>
      </c>
      <c r="C93" s="37" t="s">
        <v>204</v>
      </c>
      <c r="D93" s="37">
        <v>6.0</v>
      </c>
      <c r="E93" s="39">
        <v>294.0</v>
      </c>
      <c r="F93" s="35"/>
      <c r="G93" s="35"/>
      <c r="H93" s="35"/>
      <c r="I93" s="35"/>
      <c r="J93" s="35"/>
      <c r="K93" s="35"/>
    </row>
    <row r="94">
      <c r="A94" s="36" t="s">
        <v>2815</v>
      </c>
      <c r="B94" s="36" t="s">
        <v>369</v>
      </c>
      <c r="C94" s="37" t="s">
        <v>82</v>
      </c>
      <c r="D94" s="37">
        <v>10.0</v>
      </c>
      <c r="E94" s="37">
        <v>462.0</v>
      </c>
      <c r="F94" s="35"/>
      <c r="G94" s="35"/>
      <c r="H94" s="35"/>
      <c r="I94" s="35"/>
      <c r="J94" s="35"/>
      <c r="K94" s="35"/>
    </row>
    <row r="95">
      <c r="A95" s="36" t="s">
        <v>2816</v>
      </c>
      <c r="B95" s="36" t="s">
        <v>372</v>
      </c>
      <c r="C95" s="37" t="s">
        <v>82</v>
      </c>
      <c r="D95" s="37">
        <v>10.0</v>
      </c>
      <c r="E95" s="37">
        <v>410.0</v>
      </c>
      <c r="F95" s="35"/>
      <c r="G95" s="35"/>
      <c r="H95" s="35"/>
      <c r="I95" s="35"/>
      <c r="J95" s="35"/>
      <c r="K95" s="35"/>
    </row>
    <row r="96">
      <c r="A96" s="38" t="s">
        <v>2817</v>
      </c>
      <c r="B96" s="36" t="s">
        <v>375</v>
      </c>
      <c r="C96" s="37" t="s">
        <v>232</v>
      </c>
      <c r="D96" s="37">
        <v>3.0</v>
      </c>
      <c r="E96" s="39">
        <v>325.0</v>
      </c>
      <c r="F96" s="35"/>
      <c r="G96" s="35"/>
      <c r="H96" s="35"/>
      <c r="I96" s="35"/>
      <c r="J96" s="35"/>
      <c r="K96" s="35"/>
    </row>
    <row r="97">
      <c r="A97" s="36" t="s">
        <v>2818</v>
      </c>
      <c r="B97" s="36" t="s">
        <v>379</v>
      </c>
      <c r="C97" s="37" t="s">
        <v>178</v>
      </c>
      <c r="D97" s="37">
        <v>9.0</v>
      </c>
      <c r="E97" s="37">
        <v>351.0</v>
      </c>
      <c r="F97" s="35"/>
      <c r="G97" s="35"/>
      <c r="H97" s="35"/>
      <c r="I97" s="35"/>
      <c r="J97" s="35"/>
      <c r="K97" s="35"/>
    </row>
    <row r="98">
      <c r="A98" s="38" t="s">
        <v>2819</v>
      </c>
      <c r="B98" s="36" t="s">
        <v>386</v>
      </c>
      <c r="C98" s="37" t="s">
        <v>31</v>
      </c>
      <c r="D98" s="37">
        <v>5.0</v>
      </c>
      <c r="E98" s="39">
        <v>514.0</v>
      </c>
      <c r="F98" s="35"/>
      <c r="G98" s="35"/>
      <c r="H98" s="35"/>
      <c r="I98" s="35"/>
      <c r="J98" s="35"/>
      <c r="K98" s="35"/>
    </row>
    <row r="99">
      <c r="A99" s="38" t="s">
        <v>2820</v>
      </c>
      <c r="B99" s="36" t="s">
        <v>389</v>
      </c>
      <c r="C99" s="37" t="e">
        <v>#N/A</v>
      </c>
      <c r="D99" s="37" t="s">
        <v>2783</v>
      </c>
      <c r="E99" s="39">
        <v>1089.0</v>
      </c>
      <c r="F99" s="35"/>
      <c r="G99" s="35"/>
      <c r="H99" s="35"/>
      <c r="I99" s="35"/>
      <c r="J99" s="35"/>
      <c r="K99" s="35"/>
    </row>
    <row r="100">
      <c r="A100" s="38" t="s">
        <v>2821</v>
      </c>
      <c r="B100" s="36" t="s">
        <v>393</v>
      </c>
      <c r="C100" s="37" t="s">
        <v>217</v>
      </c>
      <c r="D100" s="37">
        <v>5.0</v>
      </c>
      <c r="E100" s="39">
        <v>325.0</v>
      </c>
      <c r="F100" s="35"/>
      <c r="G100" s="35"/>
      <c r="H100" s="35"/>
      <c r="I100" s="35"/>
      <c r="J100" s="35"/>
      <c r="K100" s="35"/>
    </row>
    <row r="101">
      <c r="A101" s="36" t="s">
        <v>2822</v>
      </c>
      <c r="B101" s="36" t="s">
        <v>396</v>
      </c>
      <c r="C101" s="37" t="s">
        <v>217</v>
      </c>
      <c r="D101" s="37">
        <v>5.0</v>
      </c>
      <c r="E101" s="37">
        <v>207.0</v>
      </c>
      <c r="F101" s="35"/>
      <c r="G101" s="35"/>
      <c r="H101" s="35"/>
      <c r="I101" s="35"/>
      <c r="J101" s="35"/>
      <c r="K101" s="35"/>
    </row>
    <row r="102">
      <c r="A102" s="38" t="s">
        <v>2823</v>
      </c>
      <c r="B102" s="36" t="s">
        <v>400</v>
      </c>
      <c r="C102" s="37" t="s">
        <v>87</v>
      </c>
      <c r="D102" s="37">
        <v>2.0</v>
      </c>
      <c r="E102" s="39">
        <v>540.0</v>
      </c>
      <c r="F102" s="35"/>
      <c r="G102" s="35"/>
      <c r="H102" s="35"/>
      <c r="I102" s="35"/>
      <c r="J102" s="35"/>
      <c r="K102" s="35"/>
    </row>
    <row r="103">
      <c r="A103" s="36" t="s">
        <v>2824</v>
      </c>
      <c r="B103" s="36" t="s">
        <v>403</v>
      </c>
      <c r="C103" s="37" t="s">
        <v>232</v>
      </c>
      <c r="D103" s="37">
        <v>3.0</v>
      </c>
      <c r="E103" s="37">
        <v>371.0</v>
      </c>
      <c r="F103" s="35"/>
      <c r="G103" s="35"/>
      <c r="H103" s="35"/>
      <c r="I103" s="35"/>
      <c r="J103" s="35"/>
      <c r="K103" s="35"/>
    </row>
    <row r="104">
      <c r="A104" s="36" t="s">
        <v>2825</v>
      </c>
      <c r="B104" s="36" t="s">
        <v>406</v>
      </c>
      <c r="C104" s="37" t="s">
        <v>26</v>
      </c>
      <c r="D104" s="37">
        <v>8.0</v>
      </c>
      <c r="E104" s="37">
        <v>812.0</v>
      </c>
      <c r="F104" s="35"/>
      <c r="G104" s="35"/>
      <c r="H104" s="35"/>
      <c r="I104" s="35"/>
      <c r="J104" s="35"/>
      <c r="K104" s="35"/>
    </row>
    <row r="105">
      <c r="A105" s="36" t="s">
        <v>2826</v>
      </c>
      <c r="B105" s="36" t="s">
        <v>409</v>
      </c>
      <c r="C105" s="37" t="s">
        <v>232</v>
      </c>
      <c r="D105" s="37">
        <v>3.0</v>
      </c>
      <c r="E105" s="37">
        <v>602.0</v>
      </c>
      <c r="F105" s="35"/>
      <c r="G105" s="35"/>
      <c r="H105" s="35"/>
      <c r="I105" s="35"/>
      <c r="J105" s="35"/>
      <c r="K105" s="35"/>
    </row>
    <row r="106">
      <c r="A106" s="38" t="s">
        <v>2827</v>
      </c>
      <c r="B106" s="36" t="s">
        <v>413</v>
      </c>
      <c r="C106" s="37" t="s">
        <v>222</v>
      </c>
      <c r="D106" s="37">
        <v>1.0</v>
      </c>
      <c r="E106" s="39">
        <v>563.0</v>
      </c>
      <c r="F106" s="35"/>
      <c r="G106" s="35"/>
      <c r="H106" s="35"/>
      <c r="I106" s="35"/>
      <c r="J106" s="35"/>
      <c r="K106" s="35"/>
    </row>
    <row r="107">
      <c r="A107" s="36" t="s">
        <v>417</v>
      </c>
      <c r="B107" s="36" t="s">
        <v>416</v>
      </c>
      <c r="C107" s="37" t="s">
        <v>222</v>
      </c>
      <c r="D107" s="37">
        <v>1.0</v>
      </c>
      <c r="E107" s="37">
        <v>556.0</v>
      </c>
      <c r="F107" s="35"/>
      <c r="G107" s="35"/>
      <c r="H107" s="35"/>
      <c r="I107" s="35"/>
      <c r="J107" s="35"/>
      <c r="K107" s="35"/>
    </row>
    <row r="108">
      <c r="A108" s="38" t="s">
        <v>2828</v>
      </c>
      <c r="B108" s="36" t="s">
        <v>418</v>
      </c>
      <c r="C108" s="37" t="s">
        <v>178</v>
      </c>
      <c r="D108" s="37">
        <v>9.0</v>
      </c>
      <c r="E108" s="39">
        <v>782.0</v>
      </c>
      <c r="F108" s="35"/>
      <c r="G108" s="35"/>
      <c r="H108" s="35"/>
      <c r="I108" s="35"/>
      <c r="J108" s="35"/>
      <c r="K108" s="35"/>
    </row>
    <row r="109">
      <c r="A109" s="38" t="s">
        <v>2829</v>
      </c>
      <c r="B109" s="36" t="s">
        <v>421</v>
      </c>
      <c r="C109" s="37" t="s">
        <v>178</v>
      </c>
      <c r="D109" s="37">
        <v>9.0</v>
      </c>
      <c r="E109" s="39">
        <v>251.0</v>
      </c>
      <c r="F109" s="35"/>
      <c r="G109" s="35"/>
      <c r="H109" s="35"/>
      <c r="I109" s="35"/>
      <c r="J109" s="35"/>
      <c r="K109" s="35"/>
    </row>
    <row r="110">
      <c r="A110" s="36" t="s">
        <v>425</v>
      </c>
      <c r="B110" s="36" t="s">
        <v>424</v>
      </c>
      <c r="C110" s="37" t="s">
        <v>178</v>
      </c>
      <c r="D110" s="37">
        <v>9.0</v>
      </c>
      <c r="E110" s="37">
        <v>214.0</v>
      </c>
      <c r="F110" s="35"/>
      <c r="G110" s="35"/>
      <c r="H110" s="35"/>
      <c r="I110" s="35"/>
      <c r="J110" s="35"/>
      <c r="K110" s="35"/>
    </row>
    <row r="111">
      <c r="A111" s="36" t="s">
        <v>2830</v>
      </c>
      <c r="B111" s="36" t="s">
        <v>429</v>
      </c>
      <c r="C111" s="37" t="s">
        <v>36</v>
      </c>
      <c r="D111" s="37">
        <v>2.0</v>
      </c>
      <c r="E111" s="37">
        <v>602.0</v>
      </c>
      <c r="F111" s="35"/>
      <c r="G111" s="35"/>
      <c r="H111" s="35"/>
      <c r="I111" s="35"/>
      <c r="J111" s="35"/>
      <c r="K111" s="35"/>
    </row>
    <row r="112">
      <c r="A112" s="38" t="s">
        <v>2831</v>
      </c>
      <c r="B112" s="36" t="s">
        <v>432</v>
      </c>
      <c r="C112" s="37" t="s">
        <v>204</v>
      </c>
      <c r="D112" s="37">
        <v>6.0</v>
      </c>
      <c r="E112" s="39">
        <v>226.0</v>
      </c>
      <c r="F112" s="35"/>
      <c r="G112" s="35"/>
      <c r="H112" s="35"/>
      <c r="I112" s="35"/>
      <c r="J112" s="35"/>
      <c r="K112" s="35"/>
    </row>
    <row r="113">
      <c r="A113" s="38" t="s">
        <v>2832</v>
      </c>
      <c r="B113" s="36" t="s">
        <v>435</v>
      </c>
      <c r="C113" s="37" t="s">
        <v>42</v>
      </c>
      <c r="D113" s="37">
        <v>7.0</v>
      </c>
      <c r="E113" s="39">
        <v>378.0</v>
      </c>
      <c r="F113" s="35"/>
      <c r="G113" s="35"/>
      <c r="H113" s="35"/>
      <c r="I113" s="35"/>
      <c r="J113" s="35"/>
      <c r="K113" s="35"/>
    </row>
    <row r="114">
      <c r="A114" s="36" t="s">
        <v>2833</v>
      </c>
      <c r="B114" s="36" t="s">
        <v>438</v>
      </c>
      <c r="C114" s="37" t="s">
        <v>82</v>
      </c>
      <c r="D114" s="37">
        <v>10.0</v>
      </c>
      <c r="E114" s="37">
        <v>623.0</v>
      </c>
      <c r="F114" s="35"/>
      <c r="G114" s="35"/>
      <c r="H114" s="35"/>
      <c r="I114" s="35"/>
      <c r="J114" s="35"/>
      <c r="K114" s="35"/>
    </row>
    <row r="115">
      <c r="A115" s="36" t="s">
        <v>442</v>
      </c>
      <c r="B115" s="36" t="s">
        <v>442</v>
      </c>
      <c r="C115" s="37" t="s">
        <v>42</v>
      </c>
      <c r="D115" s="37">
        <v>7.0</v>
      </c>
      <c r="E115" s="37">
        <v>451.0</v>
      </c>
      <c r="F115" s="35"/>
      <c r="G115" s="35"/>
      <c r="H115" s="35"/>
      <c r="I115" s="35"/>
      <c r="J115" s="35"/>
      <c r="K115" s="35"/>
    </row>
    <row r="116">
      <c r="A116" s="36" t="s">
        <v>2834</v>
      </c>
      <c r="B116" s="36" t="s">
        <v>445</v>
      </c>
      <c r="C116" s="37" t="s">
        <v>31</v>
      </c>
      <c r="D116" s="37">
        <v>5.0</v>
      </c>
      <c r="E116" s="37">
        <v>268.0</v>
      </c>
      <c r="F116" s="35"/>
      <c r="G116" s="35"/>
      <c r="H116" s="35"/>
      <c r="I116" s="35"/>
      <c r="J116" s="35"/>
      <c r="K116" s="35"/>
    </row>
    <row r="117">
      <c r="A117" s="36" t="s">
        <v>2835</v>
      </c>
      <c r="B117" s="36" t="s">
        <v>448</v>
      </c>
      <c r="C117" s="37" t="s">
        <v>26</v>
      </c>
      <c r="D117" s="37">
        <v>8.0</v>
      </c>
      <c r="E117" s="37">
        <v>322.0</v>
      </c>
      <c r="F117" s="35"/>
      <c r="G117" s="35"/>
      <c r="H117" s="35"/>
      <c r="I117" s="35"/>
      <c r="J117" s="35"/>
      <c r="K117" s="35"/>
    </row>
    <row r="118">
      <c r="A118" s="36" t="s">
        <v>2836</v>
      </c>
      <c r="B118" s="36" t="s">
        <v>451</v>
      </c>
      <c r="C118" s="37" t="s">
        <v>232</v>
      </c>
      <c r="D118" s="37">
        <v>3.0</v>
      </c>
      <c r="E118" s="37">
        <v>444.0</v>
      </c>
      <c r="F118" s="35"/>
      <c r="G118" s="35"/>
      <c r="H118" s="35"/>
      <c r="I118" s="35"/>
      <c r="J118" s="35"/>
      <c r="K118" s="35"/>
    </row>
    <row r="119">
      <c r="A119" s="36" t="s">
        <v>2837</v>
      </c>
      <c r="B119" s="36" t="s">
        <v>454</v>
      </c>
      <c r="C119" s="37" t="s">
        <v>82</v>
      </c>
      <c r="D119" s="37">
        <v>10.0</v>
      </c>
      <c r="E119" s="37">
        <v>456.0</v>
      </c>
      <c r="F119" s="35"/>
      <c r="G119" s="35"/>
      <c r="H119" s="35"/>
      <c r="I119" s="35"/>
      <c r="J119" s="35"/>
      <c r="K119" s="35"/>
    </row>
    <row r="120">
      <c r="A120" s="36" t="s">
        <v>2838</v>
      </c>
      <c r="B120" s="36" t="s">
        <v>456</v>
      </c>
      <c r="C120" s="37" t="s">
        <v>26</v>
      </c>
      <c r="D120" s="37">
        <v>8.0</v>
      </c>
      <c r="E120" s="37">
        <v>480.0</v>
      </c>
      <c r="F120" s="35"/>
      <c r="G120" s="35"/>
      <c r="H120" s="35"/>
      <c r="I120" s="35"/>
      <c r="J120" s="35"/>
      <c r="K120" s="35"/>
    </row>
    <row r="121">
      <c r="A121" s="36" t="s">
        <v>2839</v>
      </c>
      <c r="B121" s="36" t="s">
        <v>458</v>
      </c>
      <c r="C121" s="37" t="s">
        <v>82</v>
      </c>
      <c r="D121" s="37">
        <v>10.0</v>
      </c>
      <c r="E121" s="37">
        <v>253.0</v>
      </c>
      <c r="F121" s="35"/>
      <c r="G121" s="35"/>
      <c r="H121" s="35"/>
      <c r="I121" s="35"/>
      <c r="J121" s="35"/>
      <c r="K121" s="35"/>
    </row>
    <row r="122">
      <c r="A122" s="36" t="s">
        <v>2840</v>
      </c>
      <c r="B122" s="36" t="s">
        <v>461</v>
      </c>
      <c r="C122" s="37" t="s">
        <v>462</v>
      </c>
      <c r="D122" s="37">
        <v>6.0</v>
      </c>
      <c r="E122" s="37">
        <v>621.0</v>
      </c>
      <c r="F122" s="35"/>
      <c r="G122" s="35"/>
      <c r="H122" s="35"/>
      <c r="I122" s="35"/>
      <c r="J122" s="35"/>
      <c r="K122" s="35"/>
    </row>
    <row r="123">
      <c r="A123" s="36" t="s">
        <v>2841</v>
      </c>
      <c r="B123" s="36" t="s">
        <v>464</v>
      </c>
      <c r="C123" s="37" t="s">
        <v>187</v>
      </c>
      <c r="D123" s="37">
        <v>9.0</v>
      </c>
      <c r="E123" s="37">
        <v>203.0</v>
      </c>
      <c r="F123" s="35"/>
      <c r="G123" s="35"/>
      <c r="H123" s="35"/>
      <c r="I123" s="35"/>
      <c r="J123" s="35"/>
      <c r="K123" s="35"/>
    </row>
    <row r="124">
      <c r="A124" s="36" t="s">
        <v>2842</v>
      </c>
      <c r="B124" s="36" t="s">
        <v>467</v>
      </c>
      <c r="C124" s="37" t="s">
        <v>47</v>
      </c>
      <c r="D124" s="37">
        <v>3.0</v>
      </c>
      <c r="E124" s="37">
        <v>533.0</v>
      </c>
      <c r="F124" s="35"/>
      <c r="G124" s="35"/>
      <c r="H124" s="35"/>
      <c r="I124" s="35"/>
      <c r="J124" s="35"/>
      <c r="K124" s="35"/>
    </row>
    <row r="125">
      <c r="A125" s="36" t="s">
        <v>2843</v>
      </c>
      <c r="B125" s="36" t="s">
        <v>469</v>
      </c>
      <c r="C125" s="37" t="s">
        <v>178</v>
      </c>
      <c r="D125" s="37">
        <v>9.0</v>
      </c>
      <c r="E125" s="37">
        <v>1231.0</v>
      </c>
      <c r="F125" s="35"/>
      <c r="G125" s="35"/>
      <c r="H125" s="35"/>
      <c r="I125" s="35"/>
      <c r="J125" s="35"/>
      <c r="K125" s="35"/>
    </row>
    <row r="126">
      <c r="A126" s="38" t="s">
        <v>2844</v>
      </c>
      <c r="B126" s="36" t="s">
        <v>471</v>
      </c>
      <c r="C126" s="37" t="s">
        <v>178</v>
      </c>
      <c r="D126" s="37">
        <v>9.0</v>
      </c>
      <c r="E126" s="39">
        <v>354.0</v>
      </c>
      <c r="F126" s="35"/>
      <c r="G126" s="35"/>
      <c r="H126" s="35"/>
      <c r="I126" s="35"/>
      <c r="J126" s="35"/>
      <c r="K126" s="35"/>
    </row>
    <row r="127">
      <c r="A127" s="38" t="s">
        <v>2845</v>
      </c>
      <c r="B127" s="36" t="s">
        <v>473</v>
      </c>
      <c r="C127" s="37" t="s">
        <v>199</v>
      </c>
      <c r="D127" s="37">
        <v>1.0</v>
      </c>
      <c r="E127" s="39">
        <v>886.0</v>
      </c>
      <c r="F127" s="35"/>
      <c r="G127" s="35"/>
      <c r="H127" s="35"/>
      <c r="I127" s="35"/>
      <c r="J127" s="35"/>
      <c r="K127" s="35"/>
    </row>
    <row r="128">
      <c r="A128" s="36" t="s">
        <v>2846</v>
      </c>
      <c r="B128" s="36" t="s">
        <v>476</v>
      </c>
      <c r="C128" s="37" t="s">
        <v>178</v>
      </c>
      <c r="D128" s="37">
        <v>9.0</v>
      </c>
      <c r="E128" s="37">
        <v>399.0</v>
      </c>
      <c r="F128" s="35"/>
      <c r="G128" s="35"/>
      <c r="H128" s="35"/>
      <c r="I128" s="35"/>
      <c r="J128" s="35"/>
      <c r="K128" s="35"/>
    </row>
    <row r="129">
      <c r="A129" s="38" t="s">
        <v>2847</v>
      </c>
      <c r="B129" s="36" t="s">
        <v>478</v>
      </c>
      <c r="C129" s="37" t="s">
        <v>204</v>
      </c>
      <c r="D129" s="37">
        <v>6.0</v>
      </c>
      <c r="E129" s="39">
        <v>486.0</v>
      </c>
      <c r="F129" s="35"/>
      <c r="G129" s="35"/>
      <c r="H129" s="35"/>
      <c r="I129" s="35"/>
      <c r="J129" s="35"/>
      <c r="K129" s="35"/>
    </row>
    <row r="130">
      <c r="A130" s="38" t="s">
        <v>2848</v>
      </c>
      <c r="B130" s="36" t="s">
        <v>480</v>
      </c>
      <c r="C130" s="37" t="s">
        <v>31</v>
      </c>
      <c r="D130" s="37">
        <v>5.0</v>
      </c>
      <c r="E130" s="39">
        <v>543.0</v>
      </c>
      <c r="F130" s="35"/>
      <c r="G130" s="35"/>
      <c r="H130" s="35"/>
      <c r="I130" s="35"/>
      <c r="J130" s="35"/>
      <c r="K130" s="35"/>
    </row>
    <row r="131">
      <c r="A131" s="38" t="s">
        <v>2849</v>
      </c>
      <c r="B131" s="36" t="s">
        <v>482</v>
      </c>
      <c r="C131" s="37" t="s">
        <v>187</v>
      </c>
      <c r="D131" s="37">
        <v>9.0</v>
      </c>
      <c r="E131" s="39">
        <v>638.0</v>
      </c>
      <c r="F131" s="35"/>
      <c r="G131" s="35"/>
      <c r="H131" s="35"/>
      <c r="I131" s="35"/>
      <c r="J131" s="35"/>
      <c r="K131" s="35"/>
    </row>
    <row r="132">
      <c r="A132" s="38" t="s">
        <v>2850</v>
      </c>
      <c r="B132" s="36" t="s">
        <v>484</v>
      </c>
      <c r="C132" s="37" t="s">
        <v>187</v>
      </c>
      <c r="D132" s="37">
        <v>9.0</v>
      </c>
      <c r="E132" s="39">
        <v>343.0</v>
      </c>
      <c r="F132" s="35"/>
      <c r="G132" s="35"/>
      <c r="H132" s="35"/>
      <c r="I132" s="35"/>
      <c r="J132" s="35"/>
      <c r="K132" s="35"/>
    </row>
    <row r="133">
      <c r="A133" s="36" t="s">
        <v>2851</v>
      </c>
      <c r="B133" s="36" t="s">
        <v>487</v>
      </c>
      <c r="C133" s="37" t="s">
        <v>31</v>
      </c>
      <c r="D133" s="37">
        <v>5.0</v>
      </c>
      <c r="E133" s="37">
        <v>154.0</v>
      </c>
      <c r="F133" s="35"/>
      <c r="G133" s="35"/>
      <c r="H133" s="35"/>
      <c r="I133" s="35"/>
      <c r="J133" s="35"/>
      <c r="K133" s="35"/>
    </row>
    <row r="134">
      <c r="A134" s="36" t="s">
        <v>2852</v>
      </c>
      <c r="B134" s="36" t="s">
        <v>490</v>
      </c>
      <c r="C134" s="37" t="s">
        <v>31</v>
      </c>
      <c r="D134" s="37">
        <v>5.0</v>
      </c>
      <c r="E134" s="37">
        <v>457.0</v>
      </c>
      <c r="F134" s="35"/>
      <c r="G134" s="35"/>
      <c r="H134" s="35"/>
      <c r="I134" s="35"/>
      <c r="J134" s="35"/>
      <c r="K134" s="35"/>
    </row>
    <row r="135">
      <c r="A135" s="38" t="s">
        <v>2853</v>
      </c>
      <c r="B135" s="36" t="s">
        <v>493</v>
      </c>
      <c r="C135" s="37" t="s">
        <v>82</v>
      </c>
      <c r="D135" s="37">
        <v>10.0</v>
      </c>
      <c r="E135" s="39">
        <v>530.0</v>
      </c>
      <c r="F135" s="35"/>
      <c r="G135" s="35"/>
      <c r="H135" s="35"/>
      <c r="I135" s="35"/>
      <c r="J135" s="35"/>
      <c r="K135" s="35"/>
    </row>
    <row r="136">
      <c r="A136" s="38" t="s">
        <v>2854</v>
      </c>
      <c r="B136" s="36" t="s">
        <v>496</v>
      </c>
      <c r="C136" s="37" t="s">
        <v>31</v>
      </c>
      <c r="D136" s="37">
        <v>5.0</v>
      </c>
      <c r="E136" s="39">
        <v>591.0</v>
      </c>
      <c r="F136" s="35"/>
      <c r="G136" s="35"/>
      <c r="H136" s="35"/>
      <c r="I136" s="35"/>
      <c r="J136" s="35"/>
      <c r="K136" s="35"/>
    </row>
    <row r="137">
      <c r="A137" s="36" t="s">
        <v>2855</v>
      </c>
      <c r="B137" s="36" t="s">
        <v>499</v>
      </c>
      <c r="C137" s="37" t="s">
        <v>47</v>
      </c>
      <c r="D137" s="37">
        <v>3.0</v>
      </c>
      <c r="E137" s="37">
        <v>466.0</v>
      </c>
      <c r="F137" s="35"/>
      <c r="G137" s="35"/>
      <c r="H137" s="35"/>
      <c r="I137" s="35"/>
      <c r="J137" s="35"/>
      <c r="K137" s="35"/>
    </row>
    <row r="138">
      <c r="A138" s="38" t="s">
        <v>2856</v>
      </c>
      <c r="B138" s="36" t="s">
        <v>502</v>
      </c>
      <c r="C138" s="37" t="s">
        <v>36</v>
      </c>
      <c r="D138" s="37">
        <v>2.0</v>
      </c>
      <c r="E138" s="39">
        <v>1009.0</v>
      </c>
      <c r="F138" s="35"/>
      <c r="G138" s="35"/>
      <c r="H138" s="35"/>
      <c r="I138" s="35"/>
      <c r="J138" s="35"/>
      <c r="K138" s="35"/>
    </row>
    <row r="139">
      <c r="A139" s="36" t="s">
        <v>2857</v>
      </c>
      <c r="B139" s="36" t="s">
        <v>505</v>
      </c>
      <c r="C139" s="37" t="s">
        <v>178</v>
      </c>
      <c r="D139" s="37">
        <v>9.0</v>
      </c>
      <c r="E139" s="37">
        <v>386.0</v>
      </c>
      <c r="F139" s="35"/>
      <c r="G139" s="35"/>
      <c r="H139" s="35"/>
      <c r="I139" s="35"/>
      <c r="J139" s="35"/>
      <c r="K139" s="35"/>
    </row>
    <row r="140">
      <c r="A140" s="38" t="s">
        <v>2858</v>
      </c>
      <c r="B140" s="36" t="s">
        <v>508</v>
      </c>
      <c r="C140" s="37" t="s">
        <v>178</v>
      </c>
      <c r="D140" s="37">
        <v>9.0</v>
      </c>
      <c r="E140" s="39">
        <v>192.0</v>
      </c>
      <c r="F140" s="35"/>
      <c r="G140" s="35"/>
      <c r="H140" s="35"/>
      <c r="I140" s="35"/>
      <c r="J140" s="35"/>
      <c r="K140" s="35"/>
    </row>
    <row r="141">
      <c r="A141" s="38" t="s">
        <v>2859</v>
      </c>
      <c r="B141" s="36" t="s">
        <v>511</v>
      </c>
      <c r="C141" s="37" t="s">
        <v>82</v>
      </c>
      <c r="D141" s="37">
        <v>10.0</v>
      </c>
      <c r="E141" s="39">
        <v>263.0</v>
      </c>
      <c r="F141" s="35"/>
      <c r="G141" s="35"/>
      <c r="H141" s="35"/>
      <c r="I141" s="35"/>
      <c r="J141" s="35"/>
      <c r="K141" s="35"/>
    </row>
    <row r="142">
      <c r="A142" s="38" t="s">
        <v>2860</v>
      </c>
      <c r="B142" s="36" t="s">
        <v>2185</v>
      </c>
      <c r="C142" s="37" t="e">
        <v>#N/A</v>
      </c>
      <c r="D142" s="37" t="s">
        <v>2783</v>
      </c>
      <c r="E142" s="39">
        <v>219.0</v>
      </c>
      <c r="F142" s="35"/>
      <c r="G142" s="35"/>
      <c r="H142" s="35"/>
      <c r="I142" s="35"/>
      <c r="J142" s="35"/>
      <c r="K142" s="35"/>
    </row>
    <row r="143">
      <c r="A143" s="36" t="s">
        <v>2861</v>
      </c>
      <c r="B143" s="36" t="s">
        <v>518</v>
      </c>
      <c r="C143" s="37" t="s">
        <v>21</v>
      </c>
      <c r="D143" s="37">
        <v>7.0</v>
      </c>
      <c r="E143" s="37">
        <v>743.0</v>
      </c>
      <c r="F143" s="35"/>
      <c r="G143" s="35"/>
      <c r="H143" s="35"/>
      <c r="I143" s="35"/>
      <c r="J143" s="35"/>
      <c r="K143" s="35"/>
    </row>
    <row r="144">
      <c r="A144" s="36" t="s">
        <v>2862</v>
      </c>
      <c r="B144" s="36" t="s">
        <v>2188</v>
      </c>
      <c r="C144" s="37" t="e">
        <v>#N/A</v>
      </c>
      <c r="D144" s="37" t="s">
        <v>2783</v>
      </c>
      <c r="E144" s="37">
        <v>282.0</v>
      </c>
      <c r="F144" s="35"/>
      <c r="G144" s="35"/>
      <c r="H144" s="35"/>
      <c r="I144" s="35"/>
      <c r="J144" s="35"/>
      <c r="K144" s="35"/>
    </row>
    <row r="145">
      <c r="A145" s="38" t="s">
        <v>2863</v>
      </c>
      <c r="B145" s="36" t="s">
        <v>521</v>
      </c>
      <c r="C145" s="37" t="s">
        <v>187</v>
      </c>
      <c r="D145" s="37">
        <v>9.0</v>
      </c>
      <c r="E145" s="39">
        <v>321.0</v>
      </c>
      <c r="F145" s="35"/>
      <c r="G145" s="35"/>
      <c r="H145" s="35"/>
      <c r="I145" s="35"/>
      <c r="J145" s="35"/>
      <c r="K145" s="35"/>
    </row>
    <row r="146">
      <c r="A146" s="36" t="s">
        <v>2864</v>
      </c>
      <c r="B146" s="36" t="s">
        <v>524</v>
      </c>
      <c r="C146" s="37" t="s">
        <v>103</v>
      </c>
      <c r="D146" s="37">
        <v>4.0</v>
      </c>
      <c r="E146" s="37">
        <v>794.0</v>
      </c>
      <c r="F146" s="35"/>
      <c r="G146" s="35"/>
      <c r="H146" s="35"/>
      <c r="I146" s="35"/>
      <c r="J146" s="35"/>
      <c r="K146" s="35"/>
    </row>
    <row r="147">
      <c r="A147" s="38" t="s">
        <v>2865</v>
      </c>
      <c r="B147" s="36" t="s">
        <v>527</v>
      </c>
      <c r="C147" s="37" t="s">
        <v>42</v>
      </c>
      <c r="D147" s="37">
        <v>7.0</v>
      </c>
      <c r="E147" s="39">
        <v>403.0</v>
      </c>
      <c r="F147" s="35"/>
      <c r="G147" s="35"/>
      <c r="H147" s="35"/>
      <c r="I147" s="35"/>
      <c r="J147" s="35"/>
      <c r="K147" s="35"/>
    </row>
    <row r="148">
      <c r="A148" s="36" t="s">
        <v>2866</v>
      </c>
      <c r="B148" s="36" t="s">
        <v>531</v>
      </c>
      <c r="C148" s="37" t="s">
        <v>42</v>
      </c>
      <c r="D148" s="37">
        <v>7.0</v>
      </c>
      <c r="E148" s="37">
        <v>430.0</v>
      </c>
      <c r="F148" s="35"/>
      <c r="G148" s="35"/>
      <c r="H148" s="35"/>
      <c r="I148" s="35"/>
      <c r="J148" s="35"/>
      <c r="K148" s="35"/>
    </row>
    <row r="149">
      <c r="A149" s="36" t="s">
        <v>2867</v>
      </c>
      <c r="B149" s="36" t="s">
        <v>534</v>
      </c>
      <c r="C149" s="37" t="s">
        <v>82</v>
      </c>
      <c r="D149" s="37">
        <v>10.0</v>
      </c>
      <c r="E149" s="37">
        <v>295.0</v>
      </c>
      <c r="F149" s="35"/>
      <c r="G149" s="35"/>
      <c r="H149" s="35"/>
      <c r="I149" s="35"/>
      <c r="J149" s="35"/>
      <c r="K149" s="35"/>
    </row>
    <row r="150">
      <c r="A150" s="36" t="s">
        <v>2868</v>
      </c>
      <c r="B150" s="36" t="s">
        <v>537</v>
      </c>
      <c r="C150" s="37" t="s">
        <v>243</v>
      </c>
      <c r="D150" s="37">
        <v>4.0</v>
      </c>
      <c r="E150" s="37">
        <v>209.0</v>
      </c>
      <c r="F150" s="35"/>
      <c r="G150" s="35"/>
      <c r="H150" s="35"/>
      <c r="I150" s="35"/>
      <c r="J150" s="35"/>
      <c r="K150" s="35"/>
    </row>
    <row r="151">
      <c r="A151" s="36" t="s">
        <v>2869</v>
      </c>
      <c r="B151" s="36" t="s">
        <v>540</v>
      </c>
      <c r="C151" s="37" t="s">
        <v>217</v>
      </c>
      <c r="D151" s="37">
        <v>5.0</v>
      </c>
      <c r="E151" s="37">
        <v>308.0</v>
      </c>
      <c r="F151" s="35"/>
      <c r="G151" s="35"/>
      <c r="H151" s="35"/>
      <c r="I151" s="35"/>
      <c r="J151" s="35"/>
      <c r="K151" s="35"/>
    </row>
    <row r="152">
      <c r="A152" s="38" t="s">
        <v>2870</v>
      </c>
      <c r="B152" s="36" t="s">
        <v>543</v>
      </c>
      <c r="C152" s="37" t="s">
        <v>217</v>
      </c>
      <c r="D152" s="37">
        <v>5.0</v>
      </c>
      <c r="E152" s="39">
        <v>120.0</v>
      </c>
      <c r="F152" s="35"/>
      <c r="G152" s="35"/>
      <c r="H152" s="35"/>
      <c r="I152" s="35"/>
      <c r="J152" s="35"/>
      <c r="K152" s="35"/>
    </row>
    <row r="153">
      <c r="A153" s="36" t="s">
        <v>2871</v>
      </c>
      <c r="B153" s="36" t="s">
        <v>546</v>
      </c>
      <c r="C153" s="37" t="s">
        <v>187</v>
      </c>
      <c r="D153" s="37">
        <v>9.0</v>
      </c>
      <c r="E153" s="37">
        <v>229.0</v>
      </c>
      <c r="F153" s="35"/>
      <c r="G153" s="35"/>
      <c r="H153" s="35"/>
      <c r="I153" s="35"/>
      <c r="J153" s="35"/>
      <c r="K153" s="35"/>
    </row>
    <row r="154">
      <c r="A154" s="36" t="s">
        <v>2872</v>
      </c>
      <c r="B154" s="36" t="s">
        <v>549</v>
      </c>
      <c r="C154" s="37" t="s">
        <v>178</v>
      </c>
      <c r="D154" s="37">
        <v>9.0</v>
      </c>
      <c r="E154" s="37">
        <v>167.0</v>
      </c>
      <c r="F154" s="35"/>
      <c r="G154" s="35"/>
      <c r="H154" s="35"/>
      <c r="I154" s="35"/>
      <c r="J154" s="35"/>
      <c r="K154" s="35"/>
    </row>
    <row r="155">
      <c r="A155" s="38" t="s">
        <v>2873</v>
      </c>
      <c r="B155" s="36" t="s">
        <v>552</v>
      </c>
      <c r="C155" s="37" t="s">
        <v>21</v>
      </c>
      <c r="D155" s="37">
        <v>7.0</v>
      </c>
      <c r="E155" s="39">
        <v>2916.0</v>
      </c>
      <c r="F155" s="35"/>
      <c r="G155" s="35"/>
      <c r="H155" s="35"/>
      <c r="I155" s="35"/>
      <c r="J155" s="35"/>
      <c r="K155" s="35"/>
    </row>
    <row r="156">
      <c r="A156" s="36" t="s">
        <v>2874</v>
      </c>
      <c r="B156" s="36" t="s">
        <v>555</v>
      </c>
      <c r="C156" s="37" t="s">
        <v>178</v>
      </c>
      <c r="D156" s="37">
        <v>9.0</v>
      </c>
      <c r="E156" s="37">
        <v>378.0</v>
      </c>
      <c r="F156" s="35"/>
      <c r="G156" s="35"/>
      <c r="H156" s="35"/>
      <c r="I156" s="35"/>
      <c r="J156" s="35"/>
      <c r="K156" s="35"/>
    </row>
    <row r="157">
      <c r="A157" s="38" t="s">
        <v>2875</v>
      </c>
      <c r="B157" s="36" t="s">
        <v>561</v>
      </c>
      <c r="C157" s="37" t="s">
        <v>26</v>
      </c>
      <c r="D157" s="37">
        <v>8.0</v>
      </c>
      <c r="E157" s="39">
        <v>484.0</v>
      </c>
      <c r="F157" s="35"/>
      <c r="G157" s="35"/>
      <c r="H157" s="35"/>
      <c r="I157" s="35"/>
      <c r="J157" s="35"/>
      <c r="K157" s="35"/>
    </row>
    <row r="158">
      <c r="A158" s="36" t="s">
        <v>2876</v>
      </c>
      <c r="B158" s="36" t="s">
        <v>564</v>
      </c>
      <c r="C158" s="37" t="s">
        <v>232</v>
      </c>
      <c r="D158" s="37">
        <v>3.0</v>
      </c>
      <c r="E158" s="37">
        <v>502.0</v>
      </c>
      <c r="F158" s="35"/>
      <c r="G158" s="35"/>
      <c r="H158" s="35"/>
      <c r="I158" s="35"/>
      <c r="J158" s="35"/>
      <c r="K158" s="35"/>
    </row>
    <row r="159">
      <c r="A159" s="38" t="s">
        <v>2877</v>
      </c>
      <c r="B159" s="36" t="s">
        <v>567</v>
      </c>
      <c r="C159" s="37" t="s">
        <v>187</v>
      </c>
      <c r="D159" s="37">
        <v>9.0</v>
      </c>
      <c r="E159" s="39">
        <v>130.0</v>
      </c>
      <c r="F159" s="35"/>
      <c r="G159" s="35"/>
      <c r="H159" s="35"/>
      <c r="I159" s="35"/>
      <c r="J159" s="35"/>
      <c r="K159" s="35"/>
    </row>
    <row r="160">
      <c r="A160" s="38" t="s">
        <v>2878</v>
      </c>
      <c r="B160" s="36" t="s">
        <v>570</v>
      </c>
      <c r="C160" s="37" t="s">
        <v>21</v>
      </c>
      <c r="D160" s="37">
        <v>7.0</v>
      </c>
      <c r="E160" s="39">
        <v>518.0</v>
      </c>
      <c r="F160" s="35"/>
      <c r="G160" s="35"/>
      <c r="H160" s="35"/>
      <c r="I160" s="35"/>
      <c r="J160" s="35"/>
      <c r="K160" s="35"/>
    </row>
    <row r="161">
      <c r="A161" s="38" t="s">
        <v>2879</v>
      </c>
      <c r="B161" s="36" t="s">
        <v>573</v>
      </c>
      <c r="C161" s="37" t="s">
        <v>139</v>
      </c>
      <c r="D161" s="37">
        <v>8.0</v>
      </c>
      <c r="E161" s="39">
        <v>975.0</v>
      </c>
      <c r="F161" s="35"/>
      <c r="G161" s="35"/>
      <c r="H161" s="35"/>
      <c r="I161" s="35"/>
      <c r="J161" s="35"/>
      <c r="K161" s="35"/>
    </row>
    <row r="162">
      <c r="A162" s="36" t="s">
        <v>2880</v>
      </c>
      <c r="B162" s="36" t="s">
        <v>576</v>
      </c>
      <c r="C162" s="37" t="s">
        <v>462</v>
      </c>
      <c r="D162" s="37">
        <v>6.0</v>
      </c>
      <c r="E162" s="37">
        <v>414.0</v>
      </c>
      <c r="F162" s="35"/>
      <c r="G162" s="35"/>
      <c r="H162" s="35"/>
      <c r="I162" s="35"/>
      <c r="J162" s="35"/>
      <c r="K162" s="35"/>
    </row>
    <row r="163">
      <c r="A163" s="36" t="s">
        <v>2881</v>
      </c>
      <c r="B163" s="36" t="s">
        <v>579</v>
      </c>
      <c r="C163" s="37" t="s">
        <v>36</v>
      </c>
      <c r="D163" s="37">
        <v>2.0</v>
      </c>
      <c r="E163" s="37">
        <v>323.0</v>
      </c>
      <c r="F163" s="35"/>
      <c r="G163" s="35"/>
      <c r="H163" s="35"/>
      <c r="I163" s="35"/>
      <c r="J163" s="35"/>
      <c r="K163" s="35"/>
    </row>
    <row r="164">
      <c r="A164" s="36" t="s">
        <v>2882</v>
      </c>
      <c r="B164" s="36" t="s">
        <v>582</v>
      </c>
      <c r="C164" s="37" t="s">
        <v>204</v>
      </c>
      <c r="D164" s="37">
        <v>6.0</v>
      </c>
      <c r="E164" s="37">
        <v>458.0</v>
      </c>
      <c r="F164" s="35"/>
      <c r="G164" s="35"/>
      <c r="H164" s="35"/>
      <c r="I164" s="35"/>
      <c r="J164" s="35"/>
      <c r="K164" s="35"/>
    </row>
    <row r="165">
      <c r="A165" s="36" t="s">
        <v>2883</v>
      </c>
      <c r="B165" s="36" t="s">
        <v>585</v>
      </c>
      <c r="C165" s="37" t="s">
        <v>31</v>
      </c>
      <c r="D165" s="37">
        <v>5.0</v>
      </c>
      <c r="E165" s="37">
        <v>456.0</v>
      </c>
      <c r="F165" s="35"/>
      <c r="G165" s="35"/>
      <c r="H165" s="35"/>
      <c r="I165" s="35"/>
      <c r="J165" s="35"/>
      <c r="K165" s="35"/>
    </row>
    <row r="166">
      <c r="A166" s="38" t="s">
        <v>2884</v>
      </c>
      <c r="B166" s="36" t="s">
        <v>588</v>
      </c>
      <c r="C166" s="37" t="s">
        <v>217</v>
      </c>
      <c r="D166" s="37">
        <v>5.0</v>
      </c>
      <c r="E166" s="39">
        <v>243.0</v>
      </c>
      <c r="F166" s="35"/>
      <c r="G166" s="35"/>
      <c r="H166" s="35"/>
      <c r="I166" s="35"/>
      <c r="J166" s="35"/>
      <c r="K166" s="35"/>
    </row>
    <row r="167">
      <c r="A167" s="38" t="s">
        <v>2885</v>
      </c>
      <c r="B167" s="36" t="s">
        <v>591</v>
      </c>
      <c r="C167" s="37" t="s">
        <v>199</v>
      </c>
      <c r="D167" s="37">
        <v>1.0</v>
      </c>
      <c r="E167" s="39">
        <v>739.0</v>
      </c>
      <c r="F167" s="35"/>
      <c r="G167" s="35"/>
      <c r="H167" s="35"/>
      <c r="I167" s="35"/>
      <c r="J167" s="35"/>
      <c r="K167" s="35"/>
    </row>
    <row r="168">
      <c r="A168" s="36" t="s">
        <v>2886</v>
      </c>
      <c r="B168" s="36" t="s">
        <v>594</v>
      </c>
      <c r="C168" s="37" t="s">
        <v>87</v>
      </c>
      <c r="D168" s="37">
        <v>2.0</v>
      </c>
      <c r="E168" s="37">
        <v>134.0</v>
      </c>
      <c r="F168" s="35"/>
      <c r="G168" s="35"/>
      <c r="H168" s="35"/>
      <c r="I168" s="35"/>
      <c r="J168" s="35"/>
      <c r="K168" s="35"/>
    </row>
    <row r="169">
      <c r="A169" s="36" t="s">
        <v>2887</v>
      </c>
      <c r="B169" s="36" t="s">
        <v>597</v>
      </c>
      <c r="C169" s="37" t="s">
        <v>187</v>
      </c>
      <c r="D169" s="37">
        <v>9.0</v>
      </c>
      <c r="E169" s="37">
        <v>238.0</v>
      </c>
      <c r="F169" s="35"/>
      <c r="G169" s="35"/>
      <c r="H169" s="35"/>
      <c r="I169" s="35"/>
      <c r="J169" s="35"/>
      <c r="K169" s="35"/>
    </row>
    <row r="170">
      <c r="A170" s="38" t="s">
        <v>2888</v>
      </c>
      <c r="B170" s="36" t="s">
        <v>600</v>
      </c>
      <c r="C170" s="37" t="s">
        <v>199</v>
      </c>
      <c r="D170" s="37">
        <v>1.0</v>
      </c>
      <c r="E170" s="39">
        <v>1059.0</v>
      </c>
      <c r="F170" s="35"/>
      <c r="G170" s="35"/>
      <c r="H170" s="35"/>
      <c r="I170" s="35"/>
      <c r="J170" s="35"/>
      <c r="K170" s="35"/>
    </row>
    <row r="171">
      <c r="A171" s="38" t="s">
        <v>2889</v>
      </c>
      <c r="B171" s="36" t="s">
        <v>603</v>
      </c>
      <c r="C171" s="37" t="s">
        <v>243</v>
      </c>
      <c r="D171" s="37">
        <v>4.0</v>
      </c>
      <c r="E171" s="39">
        <v>1455.0</v>
      </c>
      <c r="F171" s="35"/>
      <c r="G171" s="35"/>
      <c r="H171" s="35"/>
      <c r="I171" s="35"/>
      <c r="J171" s="35"/>
      <c r="K171" s="35"/>
    </row>
    <row r="172">
      <c r="A172" s="36" t="s">
        <v>2890</v>
      </c>
      <c r="B172" s="36" t="s">
        <v>606</v>
      </c>
      <c r="C172" s="37" t="s">
        <v>222</v>
      </c>
      <c r="D172" s="37">
        <v>1.0</v>
      </c>
      <c r="E172" s="37">
        <v>431.0</v>
      </c>
      <c r="F172" s="35"/>
      <c r="G172" s="35"/>
      <c r="H172" s="35"/>
      <c r="I172" s="35"/>
      <c r="J172" s="35"/>
      <c r="K172" s="35"/>
    </row>
    <row r="173">
      <c r="A173" s="38" t="s">
        <v>2891</v>
      </c>
      <c r="B173" s="36" t="s">
        <v>609</v>
      </c>
      <c r="C173" s="37" t="s">
        <v>222</v>
      </c>
      <c r="D173" s="37">
        <v>1.0</v>
      </c>
      <c r="E173" s="39">
        <v>752.0</v>
      </c>
      <c r="F173" s="35"/>
      <c r="G173" s="35"/>
      <c r="H173" s="35"/>
      <c r="I173" s="35"/>
      <c r="J173" s="35"/>
      <c r="K173" s="35"/>
    </row>
    <row r="174">
      <c r="A174" s="36" t="s">
        <v>2892</v>
      </c>
      <c r="B174" s="36" t="s">
        <v>612</v>
      </c>
      <c r="C174" s="37" t="s">
        <v>82</v>
      </c>
      <c r="D174" s="37">
        <v>10.0</v>
      </c>
      <c r="E174" s="37">
        <v>462.0</v>
      </c>
      <c r="F174" s="35"/>
      <c r="G174" s="35"/>
      <c r="H174" s="35"/>
      <c r="I174" s="35"/>
      <c r="J174" s="35"/>
      <c r="K174" s="35"/>
    </row>
    <row r="175">
      <c r="A175" s="36" t="s">
        <v>2893</v>
      </c>
      <c r="B175" s="36" t="s">
        <v>615</v>
      </c>
      <c r="C175" s="37" t="s">
        <v>121</v>
      </c>
      <c r="D175" s="37">
        <v>10.0</v>
      </c>
      <c r="E175" s="37">
        <v>254.0</v>
      </c>
      <c r="F175" s="35"/>
      <c r="G175" s="35"/>
      <c r="H175" s="35"/>
      <c r="I175" s="35"/>
      <c r="J175" s="35"/>
      <c r="K175" s="35"/>
    </row>
    <row r="176">
      <c r="A176" s="38" t="s">
        <v>2894</v>
      </c>
      <c r="B176" s="36" t="s">
        <v>618</v>
      </c>
      <c r="C176" s="37" t="s">
        <v>139</v>
      </c>
      <c r="D176" s="37">
        <v>8.0</v>
      </c>
      <c r="E176" s="39">
        <v>716.0</v>
      </c>
      <c r="F176" s="35"/>
      <c r="G176" s="35"/>
      <c r="H176" s="35"/>
      <c r="I176" s="35"/>
      <c r="J176" s="35"/>
      <c r="K176" s="35"/>
    </row>
    <row r="177">
      <c r="A177" s="38" t="s">
        <v>2895</v>
      </c>
      <c r="B177" s="36" t="s">
        <v>621</v>
      </c>
      <c r="C177" s="37" t="s">
        <v>31</v>
      </c>
      <c r="D177" s="37">
        <v>5.0</v>
      </c>
      <c r="E177" s="39">
        <v>34.0</v>
      </c>
      <c r="F177" s="35"/>
      <c r="G177" s="35"/>
      <c r="H177" s="35"/>
      <c r="I177" s="35"/>
      <c r="J177" s="35"/>
      <c r="K177" s="35"/>
    </row>
    <row r="178">
      <c r="A178" s="36" t="s">
        <v>2896</v>
      </c>
      <c r="B178" s="36" t="s">
        <v>624</v>
      </c>
      <c r="C178" s="37" t="s">
        <v>26</v>
      </c>
      <c r="D178" s="37">
        <v>8.0</v>
      </c>
      <c r="E178" s="37">
        <v>242.0</v>
      </c>
      <c r="F178" s="35"/>
      <c r="G178" s="35"/>
      <c r="H178" s="35"/>
      <c r="I178" s="35"/>
      <c r="J178" s="35"/>
      <c r="K178" s="35"/>
    </row>
    <row r="179">
      <c r="A179" s="38" t="s">
        <v>2897</v>
      </c>
      <c r="B179" s="36" t="s">
        <v>627</v>
      </c>
      <c r="C179" s="37" t="s">
        <v>103</v>
      </c>
      <c r="D179" s="37">
        <v>4.0</v>
      </c>
      <c r="E179" s="39">
        <v>301.0</v>
      </c>
      <c r="F179" s="35"/>
      <c r="G179" s="35"/>
      <c r="H179" s="35"/>
      <c r="I179" s="35"/>
      <c r="J179" s="35"/>
      <c r="K179" s="35"/>
    </row>
    <row r="180">
      <c r="A180" s="36" t="s">
        <v>2898</v>
      </c>
      <c r="B180" s="36" t="s">
        <v>630</v>
      </c>
      <c r="C180" s="37" t="s">
        <v>82</v>
      </c>
      <c r="D180" s="37">
        <v>10.0</v>
      </c>
      <c r="E180" s="37">
        <v>197.0</v>
      </c>
      <c r="F180" s="35"/>
      <c r="G180" s="35"/>
      <c r="H180" s="35"/>
      <c r="I180" s="35"/>
      <c r="J180" s="35"/>
      <c r="K180" s="35"/>
    </row>
    <row r="181">
      <c r="A181" s="38" t="s">
        <v>2899</v>
      </c>
      <c r="B181" s="36" t="s">
        <v>633</v>
      </c>
      <c r="C181" s="37" t="s">
        <v>204</v>
      </c>
      <c r="D181" s="37">
        <v>6.0</v>
      </c>
      <c r="E181" s="39">
        <v>658.0</v>
      </c>
      <c r="F181" s="35"/>
      <c r="G181" s="35"/>
      <c r="H181" s="35"/>
      <c r="I181" s="35"/>
      <c r="J181" s="35"/>
      <c r="K181" s="35"/>
    </row>
    <row r="182">
      <c r="A182" s="36" t="s">
        <v>2900</v>
      </c>
      <c r="B182" s="36" t="s">
        <v>636</v>
      </c>
      <c r="C182" s="37" t="s">
        <v>204</v>
      </c>
      <c r="D182" s="37">
        <v>6.0</v>
      </c>
      <c r="E182" s="37">
        <v>457.0</v>
      </c>
      <c r="F182" s="35"/>
      <c r="G182" s="35"/>
      <c r="H182" s="35"/>
      <c r="I182" s="35"/>
      <c r="J182" s="35"/>
      <c r="K182" s="35"/>
    </row>
    <row r="183">
      <c r="A183" s="36" t="s">
        <v>2901</v>
      </c>
      <c r="B183" s="36" t="s">
        <v>639</v>
      </c>
      <c r="C183" s="37" t="s">
        <v>178</v>
      </c>
      <c r="D183" s="37">
        <v>9.0</v>
      </c>
      <c r="E183" s="37">
        <v>205.0</v>
      </c>
      <c r="F183" s="35"/>
      <c r="G183" s="35"/>
      <c r="H183" s="35"/>
      <c r="I183" s="35"/>
      <c r="J183" s="35"/>
      <c r="K183" s="35"/>
    </row>
    <row r="184">
      <c r="A184" s="36" t="s">
        <v>2902</v>
      </c>
      <c r="B184" s="36" t="s">
        <v>642</v>
      </c>
      <c r="C184" s="37" t="s">
        <v>139</v>
      </c>
      <c r="D184" s="37">
        <v>8.0</v>
      </c>
      <c r="E184" s="37">
        <v>665.0</v>
      </c>
      <c r="F184" s="35"/>
      <c r="G184" s="35"/>
      <c r="H184" s="35"/>
      <c r="I184" s="35"/>
      <c r="J184" s="35"/>
      <c r="K184" s="35"/>
    </row>
    <row r="185">
      <c r="A185" s="38" t="s">
        <v>2903</v>
      </c>
      <c r="B185" s="36" t="s">
        <v>645</v>
      </c>
      <c r="C185" s="37" t="s">
        <v>217</v>
      </c>
      <c r="D185" s="37">
        <v>5.0</v>
      </c>
      <c r="E185" s="39">
        <v>274.0</v>
      </c>
      <c r="F185" s="35"/>
      <c r="G185" s="35"/>
      <c r="H185" s="35"/>
      <c r="I185" s="35"/>
      <c r="J185" s="35"/>
      <c r="K185" s="35"/>
    </row>
    <row r="186">
      <c r="A186" s="38" t="s">
        <v>649</v>
      </c>
      <c r="B186" s="36" t="s">
        <v>648</v>
      </c>
      <c r="C186" s="37" t="s">
        <v>204</v>
      </c>
      <c r="D186" s="37">
        <v>6.0</v>
      </c>
      <c r="E186" s="39">
        <v>520.0</v>
      </c>
      <c r="F186" s="35"/>
      <c r="G186" s="35"/>
      <c r="H186" s="35"/>
      <c r="I186" s="35"/>
      <c r="J186" s="35"/>
      <c r="K186" s="35"/>
    </row>
    <row r="187">
      <c r="A187" s="38" t="s">
        <v>2904</v>
      </c>
      <c r="B187" s="36" t="s">
        <v>651</v>
      </c>
      <c r="C187" s="37" t="s">
        <v>82</v>
      </c>
      <c r="D187" s="37">
        <v>10.0</v>
      </c>
      <c r="E187" s="39">
        <v>193.0</v>
      </c>
      <c r="F187" s="35"/>
      <c r="G187" s="35"/>
      <c r="H187" s="35"/>
      <c r="I187" s="35"/>
      <c r="J187" s="35"/>
      <c r="K187" s="35"/>
    </row>
    <row r="188">
      <c r="A188" s="38" t="s">
        <v>2905</v>
      </c>
      <c r="B188" s="36" t="s">
        <v>654</v>
      </c>
      <c r="C188" s="37" t="s">
        <v>187</v>
      </c>
      <c r="D188" s="37">
        <v>9.0</v>
      </c>
      <c r="E188" s="39">
        <v>242.0</v>
      </c>
      <c r="F188" s="35"/>
      <c r="G188" s="35"/>
      <c r="H188" s="35"/>
      <c r="I188" s="35"/>
      <c r="J188" s="35"/>
      <c r="K188" s="35"/>
    </row>
    <row r="189">
      <c r="A189" s="36" t="s">
        <v>2906</v>
      </c>
      <c r="B189" s="36" t="s">
        <v>657</v>
      </c>
      <c r="C189" s="37" t="s">
        <v>26</v>
      </c>
      <c r="D189" s="37">
        <v>8.0</v>
      </c>
      <c r="E189" s="37">
        <v>1025.0</v>
      </c>
      <c r="F189" s="35"/>
      <c r="G189" s="35"/>
      <c r="H189" s="35"/>
      <c r="I189" s="35"/>
      <c r="J189" s="35"/>
      <c r="K189" s="35"/>
    </row>
    <row r="190">
      <c r="A190" s="38" t="s">
        <v>2907</v>
      </c>
      <c r="B190" s="36" t="s">
        <v>660</v>
      </c>
      <c r="C190" s="37" t="s">
        <v>199</v>
      </c>
      <c r="D190" s="37">
        <v>1.0</v>
      </c>
      <c r="E190" s="39">
        <v>731.0</v>
      </c>
      <c r="F190" s="35"/>
      <c r="G190" s="35"/>
      <c r="H190" s="35"/>
      <c r="I190" s="35"/>
      <c r="J190" s="35"/>
      <c r="K190" s="35"/>
    </row>
    <row r="191">
      <c r="A191" s="36" t="s">
        <v>2908</v>
      </c>
      <c r="B191" s="36" t="s">
        <v>663</v>
      </c>
      <c r="C191" s="37" t="s">
        <v>199</v>
      </c>
      <c r="D191" s="37">
        <v>1.0</v>
      </c>
      <c r="E191" s="37">
        <v>457.0</v>
      </c>
      <c r="F191" s="35"/>
      <c r="G191" s="35"/>
      <c r="H191" s="35"/>
      <c r="I191" s="35"/>
      <c r="J191" s="35"/>
      <c r="K191" s="35"/>
    </row>
    <row r="192">
      <c r="A192" s="38" t="s">
        <v>2909</v>
      </c>
      <c r="B192" s="36" t="s">
        <v>666</v>
      </c>
      <c r="C192" s="37" t="s">
        <v>87</v>
      </c>
      <c r="D192" s="37">
        <v>2.0</v>
      </c>
      <c r="E192" s="39">
        <v>267.0</v>
      </c>
      <c r="F192" s="35"/>
      <c r="G192" s="35"/>
      <c r="H192" s="35"/>
      <c r="I192" s="35"/>
      <c r="J192" s="35"/>
      <c r="K192" s="35"/>
    </row>
    <row r="193">
      <c r="A193" s="36" t="s">
        <v>2910</v>
      </c>
      <c r="B193" s="36" t="s">
        <v>668</v>
      </c>
      <c r="C193" s="37" t="s">
        <v>199</v>
      </c>
      <c r="D193" s="37">
        <v>1.0</v>
      </c>
      <c r="E193" s="37">
        <v>408.0</v>
      </c>
      <c r="F193" s="35"/>
      <c r="G193" s="35"/>
      <c r="H193" s="35"/>
      <c r="I193" s="35"/>
      <c r="J193" s="35"/>
      <c r="K193" s="35"/>
    </row>
    <row r="194">
      <c r="A194" s="36" t="s">
        <v>2911</v>
      </c>
      <c r="B194" s="36" t="s">
        <v>671</v>
      </c>
      <c r="C194" s="37" t="s">
        <v>21</v>
      </c>
      <c r="D194" s="37">
        <v>7.0</v>
      </c>
      <c r="E194" s="37">
        <v>1243.0</v>
      </c>
      <c r="F194" s="35"/>
      <c r="G194" s="35"/>
      <c r="H194" s="35"/>
      <c r="I194" s="35"/>
      <c r="J194" s="35"/>
      <c r="K194" s="35"/>
    </row>
    <row r="195">
      <c r="A195" s="38" t="s">
        <v>2912</v>
      </c>
      <c r="B195" s="36" t="s">
        <v>674</v>
      </c>
      <c r="C195" s="37" t="s">
        <v>31</v>
      </c>
      <c r="D195" s="37">
        <v>5.0</v>
      </c>
      <c r="E195" s="39">
        <v>421.0</v>
      </c>
      <c r="F195" s="35"/>
      <c r="G195" s="35"/>
      <c r="H195" s="35"/>
      <c r="I195" s="35"/>
      <c r="J195" s="35"/>
      <c r="K195" s="35"/>
    </row>
    <row r="196">
      <c r="A196" s="36" t="s">
        <v>678</v>
      </c>
      <c r="B196" s="36" t="s">
        <v>677</v>
      </c>
      <c r="C196" s="37" t="s">
        <v>204</v>
      </c>
      <c r="D196" s="37">
        <v>6.0</v>
      </c>
      <c r="E196" s="37">
        <v>759.0</v>
      </c>
      <c r="F196" s="35"/>
      <c r="G196" s="35"/>
      <c r="H196" s="35"/>
      <c r="I196" s="35"/>
      <c r="J196" s="35"/>
      <c r="K196" s="35"/>
    </row>
    <row r="197">
      <c r="A197" s="38" t="s">
        <v>2913</v>
      </c>
      <c r="B197" s="36" t="s">
        <v>680</v>
      </c>
      <c r="C197" s="37" t="s">
        <v>121</v>
      </c>
      <c r="D197" s="37">
        <v>10.0</v>
      </c>
      <c r="E197" s="39">
        <v>329.0</v>
      </c>
      <c r="F197" s="35"/>
      <c r="G197" s="35"/>
      <c r="H197" s="35"/>
      <c r="I197" s="35"/>
      <c r="J197" s="35"/>
      <c r="K197" s="35"/>
    </row>
    <row r="198">
      <c r="A198" s="38" t="s">
        <v>2914</v>
      </c>
      <c r="B198" s="36" t="s">
        <v>683</v>
      </c>
      <c r="C198" s="37" t="s">
        <v>217</v>
      </c>
      <c r="D198" s="37">
        <v>5.0</v>
      </c>
      <c r="E198" s="39">
        <v>363.0</v>
      </c>
      <c r="F198" s="35"/>
      <c r="G198" s="35"/>
      <c r="H198" s="35"/>
      <c r="I198" s="35"/>
      <c r="J198" s="35"/>
      <c r="K198" s="35"/>
    </row>
    <row r="199">
      <c r="A199" s="36" t="s">
        <v>2915</v>
      </c>
      <c r="B199" s="36" t="s">
        <v>686</v>
      </c>
      <c r="C199" s="37" t="s">
        <v>232</v>
      </c>
      <c r="D199" s="37">
        <v>3.0</v>
      </c>
      <c r="E199" s="37">
        <v>374.0</v>
      </c>
      <c r="F199" s="35"/>
      <c r="G199" s="35"/>
      <c r="H199" s="35"/>
      <c r="I199" s="35"/>
      <c r="J199" s="35"/>
      <c r="K199" s="35"/>
    </row>
    <row r="200">
      <c r="A200" s="36" t="s">
        <v>2916</v>
      </c>
      <c r="B200" s="36" t="s">
        <v>689</v>
      </c>
      <c r="C200" s="37" t="s">
        <v>178</v>
      </c>
      <c r="D200" s="37">
        <v>9.0</v>
      </c>
      <c r="E200" s="37">
        <v>246.0</v>
      </c>
      <c r="F200" s="35"/>
      <c r="G200" s="35"/>
      <c r="H200" s="35"/>
      <c r="I200" s="35"/>
      <c r="J200" s="35"/>
      <c r="K200" s="35"/>
    </row>
    <row r="201">
      <c r="A201" s="38" t="s">
        <v>2917</v>
      </c>
      <c r="B201" s="36" t="s">
        <v>692</v>
      </c>
      <c r="C201" s="37" t="s">
        <v>21</v>
      </c>
      <c r="D201" s="37">
        <v>7.0</v>
      </c>
      <c r="E201" s="39">
        <v>116.0</v>
      </c>
      <c r="F201" s="35"/>
      <c r="G201" s="35"/>
      <c r="H201" s="35"/>
      <c r="I201" s="35"/>
      <c r="J201" s="35"/>
      <c r="K201" s="35"/>
    </row>
    <row r="202">
      <c r="A202" s="38" t="s">
        <v>2918</v>
      </c>
      <c r="B202" s="36" t="s">
        <v>695</v>
      </c>
      <c r="C202" s="37" t="s">
        <v>26</v>
      </c>
      <c r="D202" s="37">
        <v>8.0</v>
      </c>
      <c r="E202" s="39">
        <v>201.0</v>
      </c>
      <c r="F202" s="35"/>
      <c r="G202" s="35"/>
      <c r="H202" s="35"/>
      <c r="I202" s="35"/>
      <c r="J202" s="35"/>
      <c r="K202" s="35"/>
    </row>
    <row r="203">
      <c r="A203" s="36" t="s">
        <v>2919</v>
      </c>
      <c r="B203" s="36" t="s">
        <v>698</v>
      </c>
      <c r="C203" s="37" t="s">
        <v>178</v>
      </c>
      <c r="D203" s="37">
        <v>9.0</v>
      </c>
      <c r="E203" s="37">
        <v>210.0</v>
      </c>
      <c r="F203" s="35"/>
      <c r="G203" s="35"/>
      <c r="H203" s="35"/>
      <c r="I203" s="35"/>
      <c r="J203" s="35"/>
      <c r="K203" s="35"/>
    </row>
    <row r="204">
      <c r="A204" s="38" t="s">
        <v>2920</v>
      </c>
      <c r="B204" s="36" t="s">
        <v>710</v>
      </c>
      <c r="C204" s="37" t="s">
        <v>26</v>
      </c>
      <c r="D204" s="37">
        <v>8.0</v>
      </c>
      <c r="E204" s="39">
        <v>454.0</v>
      </c>
      <c r="F204" s="35"/>
      <c r="G204" s="35"/>
      <c r="H204" s="35"/>
      <c r="I204" s="35"/>
      <c r="J204" s="35"/>
      <c r="K204" s="35"/>
    </row>
    <row r="205">
      <c r="A205" s="38" t="s">
        <v>2921</v>
      </c>
      <c r="B205" s="36" t="s">
        <v>713</v>
      </c>
      <c r="C205" s="37" t="s">
        <v>47</v>
      </c>
      <c r="D205" s="37">
        <v>3.0</v>
      </c>
      <c r="E205" s="39">
        <v>891.0</v>
      </c>
      <c r="F205" s="35"/>
      <c r="G205" s="35"/>
      <c r="H205" s="35"/>
      <c r="I205" s="35"/>
      <c r="J205" s="35"/>
      <c r="K205" s="35"/>
    </row>
    <row r="206">
      <c r="A206" s="36" t="s">
        <v>2922</v>
      </c>
      <c r="B206" s="36" t="s">
        <v>716</v>
      </c>
      <c r="C206" s="37" t="s">
        <v>217</v>
      </c>
      <c r="D206" s="37">
        <v>5.0</v>
      </c>
      <c r="E206" s="37">
        <v>157.0</v>
      </c>
      <c r="F206" s="35"/>
      <c r="G206" s="35"/>
      <c r="H206" s="35"/>
      <c r="I206" s="35"/>
      <c r="J206" s="35"/>
      <c r="K206" s="35"/>
    </row>
    <row r="207">
      <c r="A207" s="38" t="s">
        <v>2923</v>
      </c>
      <c r="B207" s="36" t="s">
        <v>722</v>
      </c>
      <c r="C207" s="37" t="s">
        <v>199</v>
      </c>
      <c r="D207" s="37">
        <v>1.0</v>
      </c>
      <c r="E207" s="39">
        <v>474.0</v>
      </c>
      <c r="F207" s="35"/>
      <c r="G207" s="35"/>
      <c r="H207" s="35"/>
      <c r="I207" s="35"/>
      <c r="J207" s="35"/>
      <c r="K207" s="35"/>
    </row>
    <row r="208">
      <c r="A208" s="38" t="s">
        <v>2924</v>
      </c>
      <c r="B208" s="36" t="s">
        <v>725</v>
      </c>
      <c r="C208" s="37" t="s">
        <v>42</v>
      </c>
      <c r="D208" s="37">
        <v>7.0</v>
      </c>
      <c r="E208" s="39">
        <v>446.0</v>
      </c>
      <c r="F208" s="35"/>
      <c r="G208" s="35"/>
      <c r="H208" s="35"/>
      <c r="I208" s="35"/>
      <c r="J208" s="35"/>
      <c r="K208" s="35"/>
    </row>
    <row r="209">
      <c r="A209" s="36" t="s">
        <v>2925</v>
      </c>
      <c r="B209" s="36" t="s">
        <v>728</v>
      </c>
      <c r="C209" s="37" t="s">
        <v>178</v>
      </c>
      <c r="D209" s="37">
        <v>9.0</v>
      </c>
      <c r="E209" s="37">
        <v>234.0</v>
      </c>
      <c r="F209" s="35"/>
      <c r="G209" s="35"/>
      <c r="H209" s="35"/>
      <c r="I209" s="35"/>
      <c r="J209" s="35"/>
      <c r="K209" s="35"/>
    </row>
    <row r="210">
      <c r="A210" s="38" t="s">
        <v>2926</v>
      </c>
      <c r="B210" s="36" t="s">
        <v>731</v>
      </c>
      <c r="C210" s="37" t="s">
        <v>178</v>
      </c>
      <c r="D210" s="37">
        <v>9.0</v>
      </c>
      <c r="E210" s="39">
        <v>265.0</v>
      </c>
      <c r="F210" s="35"/>
      <c r="G210" s="35"/>
      <c r="H210" s="35"/>
      <c r="I210" s="35"/>
      <c r="J210" s="35"/>
      <c r="K210" s="35"/>
    </row>
    <row r="211">
      <c r="A211" s="36" t="s">
        <v>2927</v>
      </c>
      <c r="B211" s="36" t="s">
        <v>734</v>
      </c>
      <c r="C211" s="37" t="s">
        <v>36</v>
      </c>
      <c r="D211" s="37">
        <v>2.0</v>
      </c>
      <c r="E211" s="37">
        <v>154.0</v>
      </c>
      <c r="F211" s="35"/>
      <c r="G211" s="35"/>
      <c r="H211" s="35"/>
      <c r="I211" s="35"/>
      <c r="J211" s="35"/>
      <c r="K211" s="35"/>
    </row>
    <row r="212">
      <c r="A212" s="38" t="s">
        <v>2928</v>
      </c>
      <c r="B212" s="36" t="s">
        <v>737</v>
      </c>
      <c r="C212" s="37" t="s">
        <v>42</v>
      </c>
      <c r="D212" s="37">
        <v>7.0</v>
      </c>
      <c r="E212" s="39">
        <v>206.0</v>
      </c>
      <c r="F212" s="35"/>
      <c r="G212" s="35"/>
      <c r="H212" s="35"/>
      <c r="I212" s="35"/>
      <c r="J212" s="35"/>
      <c r="K212" s="35"/>
    </row>
    <row r="213">
      <c r="A213" s="38" t="s">
        <v>2929</v>
      </c>
      <c r="B213" s="36" t="s">
        <v>743</v>
      </c>
      <c r="C213" s="37" t="s">
        <v>204</v>
      </c>
      <c r="D213" s="37">
        <v>6.0</v>
      </c>
      <c r="E213" s="39">
        <v>339.0</v>
      </c>
      <c r="F213" s="35"/>
      <c r="G213" s="35"/>
      <c r="H213" s="35"/>
      <c r="I213" s="35"/>
      <c r="J213" s="35"/>
      <c r="K213" s="35"/>
    </row>
    <row r="214">
      <c r="A214" s="38" t="s">
        <v>2930</v>
      </c>
      <c r="B214" s="36" t="s">
        <v>746</v>
      </c>
      <c r="C214" s="37" t="s">
        <v>222</v>
      </c>
      <c r="D214" s="37">
        <v>1.0</v>
      </c>
      <c r="E214" s="39">
        <v>572.0</v>
      </c>
      <c r="F214" s="35"/>
      <c r="G214" s="35"/>
      <c r="H214" s="35"/>
      <c r="I214" s="35"/>
      <c r="J214" s="35"/>
      <c r="K214" s="35"/>
    </row>
    <row r="215">
      <c r="A215" s="36" t="s">
        <v>2931</v>
      </c>
      <c r="B215" s="36" t="s">
        <v>749</v>
      </c>
      <c r="C215" s="37" t="s">
        <v>187</v>
      </c>
      <c r="D215" s="37">
        <v>9.0</v>
      </c>
      <c r="E215" s="37">
        <v>323.0</v>
      </c>
      <c r="F215" s="35"/>
      <c r="G215" s="35"/>
      <c r="H215" s="35"/>
      <c r="I215" s="35"/>
      <c r="J215" s="35"/>
      <c r="K215" s="35"/>
    </row>
    <row r="216">
      <c r="A216" s="38" t="s">
        <v>2932</v>
      </c>
      <c r="B216" s="36" t="s">
        <v>752</v>
      </c>
      <c r="C216" s="37" t="s">
        <v>187</v>
      </c>
      <c r="D216" s="37">
        <v>9.0</v>
      </c>
      <c r="E216" s="39">
        <v>280.0</v>
      </c>
      <c r="F216" s="35"/>
      <c r="G216" s="35"/>
      <c r="H216" s="35"/>
      <c r="I216" s="35"/>
      <c r="J216" s="35"/>
      <c r="K216" s="35"/>
    </row>
    <row r="217">
      <c r="A217" s="38" t="s">
        <v>2933</v>
      </c>
      <c r="B217" s="36" t="s">
        <v>755</v>
      </c>
      <c r="C217" s="37" t="s">
        <v>462</v>
      </c>
      <c r="D217" s="37">
        <v>6.0</v>
      </c>
      <c r="E217" s="39">
        <v>367.0</v>
      </c>
      <c r="F217" s="35"/>
      <c r="G217" s="35"/>
      <c r="H217" s="35"/>
      <c r="I217" s="35"/>
      <c r="J217" s="35"/>
      <c r="K217" s="35"/>
    </row>
    <row r="218">
      <c r="A218" s="38" t="s">
        <v>2934</v>
      </c>
      <c r="B218" s="36" t="s">
        <v>759</v>
      </c>
      <c r="C218" s="37" t="s">
        <v>217</v>
      </c>
      <c r="D218" s="37">
        <v>5.0</v>
      </c>
      <c r="E218" s="39">
        <v>131.0</v>
      </c>
      <c r="F218" s="35"/>
      <c r="G218" s="35"/>
      <c r="H218" s="35"/>
      <c r="I218" s="35"/>
      <c r="J218" s="35"/>
      <c r="K218" s="35"/>
    </row>
    <row r="219">
      <c r="A219" s="36" t="s">
        <v>2935</v>
      </c>
      <c r="B219" s="36" t="s">
        <v>2266</v>
      </c>
      <c r="C219" s="37" t="e">
        <v>#N/A</v>
      </c>
      <c r="D219" s="37" t="s">
        <v>2783</v>
      </c>
      <c r="E219" s="37">
        <v>309.0</v>
      </c>
      <c r="F219" s="35"/>
      <c r="G219" s="35"/>
      <c r="H219" s="35"/>
      <c r="I219" s="35"/>
      <c r="J219" s="35"/>
      <c r="K219" s="35"/>
    </row>
    <row r="220">
      <c r="A220" s="38" t="s">
        <v>2936</v>
      </c>
      <c r="B220" s="36" t="s">
        <v>762</v>
      </c>
      <c r="C220" s="37" t="s">
        <v>187</v>
      </c>
      <c r="D220" s="37">
        <v>9.0</v>
      </c>
      <c r="E220" s="39">
        <v>291.0</v>
      </c>
      <c r="F220" s="35"/>
      <c r="G220" s="35"/>
      <c r="H220" s="35"/>
      <c r="I220" s="35"/>
      <c r="J220" s="35"/>
      <c r="K220" s="35"/>
    </row>
    <row r="221">
      <c r="A221" s="36" t="s">
        <v>2937</v>
      </c>
      <c r="B221" s="36" t="s">
        <v>765</v>
      </c>
      <c r="C221" s="37" t="s">
        <v>232</v>
      </c>
      <c r="D221" s="37">
        <v>3.0</v>
      </c>
      <c r="E221" s="37">
        <v>407.0</v>
      </c>
      <c r="F221" s="35"/>
      <c r="G221" s="35"/>
      <c r="H221" s="35"/>
      <c r="I221" s="35"/>
      <c r="J221" s="35"/>
      <c r="K221" s="35"/>
    </row>
    <row r="222">
      <c r="A222" s="38" t="s">
        <v>769</v>
      </c>
      <c r="B222" s="36" t="s">
        <v>768</v>
      </c>
      <c r="C222" s="37" t="s">
        <v>26</v>
      </c>
      <c r="D222" s="37">
        <v>8.0</v>
      </c>
      <c r="E222" s="39">
        <v>329.0</v>
      </c>
      <c r="F222" s="35"/>
      <c r="G222" s="35"/>
      <c r="H222" s="35"/>
      <c r="I222" s="35"/>
      <c r="J222" s="35"/>
      <c r="K222" s="35"/>
    </row>
    <row r="223">
      <c r="A223" s="38" t="s">
        <v>2938</v>
      </c>
      <c r="B223" s="36" t="s">
        <v>771</v>
      </c>
      <c r="C223" s="37" t="s">
        <v>36</v>
      </c>
      <c r="D223" s="37">
        <v>2.0</v>
      </c>
      <c r="E223" s="39">
        <v>218.0</v>
      </c>
      <c r="F223" s="35"/>
      <c r="G223" s="35"/>
      <c r="H223" s="35"/>
      <c r="I223" s="35"/>
      <c r="J223" s="35"/>
      <c r="K223" s="35"/>
    </row>
    <row r="224">
      <c r="A224" s="36" t="s">
        <v>2939</v>
      </c>
      <c r="B224" s="36" t="s">
        <v>774</v>
      </c>
      <c r="C224" s="37" t="s">
        <v>42</v>
      </c>
      <c r="D224" s="37">
        <v>7.0</v>
      </c>
      <c r="E224" s="37">
        <v>539.0</v>
      </c>
      <c r="F224" s="35"/>
      <c r="G224" s="35"/>
      <c r="H224" s="35"/>
      <c r="I224" s="35"/>
      <c r="J224" s="35"/>
      <c r="K224" s="35"/>
    </row>
    <row r="225">
      <c r="A225" s="36" t="s">
        <v>2940</v>
      </c>
      <c r="B225" s="36" t="s">
        <v>777</v>
      </c>
      <c r="C225" s="37" t="s">
        <v>82</v>
      </c>
      <c r="D225" s="37">
        <v>10.0</v>
      </c>
      <c r="E225" s="37">
        <v>616.0</v>
      </c>
      <c r="F225" s="35"/>
      <c r="G225" s="35"/>
      <c r="H225" s="35"/>
      <c r="I225" s="35"/>
      <c r="J225" s="35"/>
      <c r="K225" s="35"/>
    </row>
    <row r="226">
      <c r="A226" s="36" t="s">
        <v>2941</v>
      </c>
      <c r="B226" s="36" t="s">
        <v>780</v>
      </c>
      <c r="C226" s="37" t="s">
        <v>178</v>
      </c>
      <c r="D226" s="37">
        <v>9.0</v>
      </c>
      <c r="E226" s="37">
        <v>236.0</v>
      </c>
      <c r="F226" s="35"/>
      <c r="G226" s="35"/>
      <c r="H226" s="35"/>
      <c r="I226" s="35"/>
      <c r="J226" s="35"/>
      <c r="K226" s="35"/>
    </row>
    <row r="227">
      <c r="A227" s="38" t="s">
        <v>2942</v>
      </c>
      <c r="B227" s="36" t="s">
        <v>783</v>
      </c>
      <c r="C227" s="37" t="s">
        <v>199</v>
      </c>
      <c r="D227" s="37">
        <v>1.0</v>
      </c>
      <c r="E227" s="39">
        <v>749.0</v>
      </c>
      <c r="F227" s="35"/>
      <c r="G227" s="35"/>
      <c r="H227" s="35"/>
      <c r="I227" s="35"/>
      <c r="J227" s="35"/>
      <c r="K227" s="35"/>
    </row>
    <row r="228">
      <c r="A228" s="36" t="s">
        <v>2943</v>
      </c>
      <c r="B228" s="36" t="s">
        <v>786</v>
      </c>
      <c r="C228" s="37" t="s">
        <v>42</v>
      </c>
      <c r="D228" s="37">
        <v>7.0</v>
      </c>
      <c r="E228" s="37">
        <v>763.0</v>
      </c>
      <c r="F228" s="35"/>
      <c r="G228" s="35"/>
      <c r="H228" s="35"/>
      <c r="I228" s="35"/>
      <c r="J228" s="35"/>
      <c r="K228" s="35"/>
    </row>
    <row r="229">
      <c r="A229" s="38" t="s">
        <v>2944</v>
      </c>
      <c r="B229" s="36" t="s">
        <v>789</v>
      </c>
      <c r="C229" s="37" t="s">
        <v>178</v>
      </c>
      <c r="D229" s="37">
        <v>9.0</v>
      </c>
      <c r="E229" s="39">
        <v>375.0</v>
      </c>
      <c r="F229" s="35"/>
      <c r="G229" s="35"/>
      <c r="H229" s="35"/>
      <c r="I229" s="35"/>
      <c r="J229" s="35"/>
      <c r="K229" s="35"/>
    </row>
    <row r="230">
      <c r="A230" s="36" t="s">
        <v>796</v>
      </c>
      <c r="B230" s="36" t="s">
        <v>795</v>
      </c>
      <c r="C230" s="37" t="s">
        <v>42</v>
      </c>
      <c r="D230" s="37">
        <v>7.0</v>
      </c>
      <c r="E230" s="37">
        <v>462.0</v>
      </c>
      <c r="F230" s="35"/>
      <c r="G230" s="35"/>
      <c r="H230" s="35"/>
      <c r="I230" s="35"/>
      <c r="J230" s="35"/>
      <c r="K230" s="35"/>
    </row>
    <row r="231">
      <c r="A231" s="36" t="s">
        <v>2945</v>
      </c>
      <c r="B231" s="36" t="s">
        <v>798</v>
      </c>
      <c r="C231" s="37" t="s">
        <v>232</v>
      </c>
      <c r="D231" s="37">
        <v>3.0</v>
      </c>
      <c r="E231" s="37">
        <v>705.0</v>
      </c>
      <c r="F231" s="35"/>
      <c r="G231" s="35"/>
      <c r="H231" s="35"/>
      <c r="I231" s="35"/>
      <c r="J231" s="35"/>
      <c r="K231" s="35"/>
    </row>
    <row r="232">
      <c r="A232" s="38" t="s">
        <v>2946</v>
      </c>
      <c r="B232" s="36" t="s">
        <v>801</v>
      </c>
      <c r="C232" s="37" t="s">
        <v>139</v>
      </c>
      <c r="D232" s="37">
        <v>8.0</v>
      </c>
      <c r="E232" s="39">
        <v>971.0</v>
      </c>
      <c r="F232" s="35"/>
      <c r="G232" s="35"/>
      <c r="H232" s="35"/>
      <c r="I232" s="35"/>
      <c r="J232" s="35"/>
      <c r="K232" s="35"/>
    </row>
    <row r="233">
      <c r="A233" s="36" t="s">
        <v>2947</v>
      </c>
      <c r="B233" s="36" t="s">
        <v>804</v>
      </c>
      <c r="C233" s="37" t="s">
        <v>243</v>
      </c>
      <c r="D233" s="37">
        <v>4.0</v>
      </c>
      <c r="E233" s="37">
        <v>551.0</v>
      </c>
      <c r="F233" s="35"/>
      <c r="G233" s="35"/>
      <c r="H233" s="35"/>
      <c r="I233" s="35"/>
      <c r="J233" s="35"/>
      <c r="K233" s="35"/>
    </row>
    <row r="234">
      <c r="A234" s="38" t="s">
        <v>2948</v>
      </c>
      <c r="B234" s="36" t="s">
        <v>808</v>
      </c>
      <c r="C234" s="37" t="s">
        <v>187</v>
      </c>
      <c r="D234" s="37">
        <v>9.0</v>
      </c>
      <c r="E234" s="39">
        <v>329.0</v>
      </c>
      <c r="F234" s="35"/>
      <c r="G234" s="35"/>
      <c r="H234" s="35"/>
      <c r="I234" s="35"/>
      <c r="J234" s="35"/>
      <c r="K234" s="35"/>
    </row>
    <row r="235">
      <c r="A235" s="36" t="s">
        <v>2949</v>
      </c>
      <c r="B235" s="36" t="s">
        <v>814</v>
      </c>
      <c r="C235" s="37" t="s">
        <v>222</v>
      </c>
      <c r="D235" s="37">
        <v>1.0</v>
      </c>
      <c r="E235" s="37">
        <v>996.0</v>
      </c>
      <c r="F235" s="35"/>
      <c r="G235" s="35"/>
      <c r="H235" s="35"/>
      <c r="I235" s="35"/>
      <c r="J235" s="35"/>
      <c r="K235" s="35"/>
    </row>
    <row r="236">
      <c r="A236" s="38" t="s">
        <v>2950</v>
      </c>
      <c r="B236" s="36" t="s">
        <v>817</v>
      </c>
      <c r="C236" s="37" t="s">
        <v>82</v>
      </c>
      <c r="D236" s="37">
        <v>10.0</v>
      </c>
      <c r="E236" s="39">
        <v>524.0</v>
      </c>
      <c r="F236" s="35"/>
      <c r="G236" s="35"/>
      <c r="H236" s="35"/>
      <c r="I236" s="35"/>
      <c r="J236" s="35"/>
      <c r="K236" s="35"/>
    </row>
    <row r="237">
      <c r="A237" s="38" t="s">
        <v>2951</v>
      </c>
      <c r="B237" s="36" t="s">
        <v>820</v>
      </c>
      <c r="C237" s="37" t="s">
        <v>243</v>
      </c>
      <c r="D237" s="37">
        <v>4.0</v>
      </c>
      <c r="E237" s="39">
        <v>316.0</v>
      </c>
      <c r="F237" s="35"/>
      <c r="G237" s="35"/>
      <c r="H237" s="35"/>
      <c r="I237" s="35"/>
      <c r="J237" s="35"/>
      <c r="K237" s="35"/>
    </row>
    <row r="238">
      <c r="A238" s="38" t="s">
        <v>2952</v>
      </c>
      <c r="B238" s="36" t="s">
        <v>823</v>
      </c>
      <c r="C238" s="37" t="s">
        <v>178</v>
      </c>
      <c r="D238" s="37">
        <v>9.0</v>
      </c>
      <c r="E238" s="39">
        <v>300.0</v>
      </c>
      <c r="F238" s="35"/>
      <c r="G238" s="35"/>
      <c r="H238" s="35"/>
      <c r="I238" s="35"/>
      <c r="J238" s="35"/>
      <c r="K238" s="35"/>
    </row>
    <row r="239">
      <c r="A239" s="36" t="s">
        <v>2953</v>
      </c>
      <c r="B239" s="36" t="s">
        <v>826</v>
      </c>
      <c r="C239" s="37" t="s">
        <v>26</v>
      </c>
      <c r="D239" s="37">
        <v>8.0</v>
      </c>
      <c r="E239" s="37">
        <v>305.0</v>
      </c>
      <c r="F239" s="35"/>
      <c r="G239" s="35"/>
      <c r="H239" s="35"/>
      <c r="I239" s="35"/>
      <c r="J239" s="35"/>
      <c r="K239" s="35"/>
    </row>
    <row r="240">
      <c r="A240" s="38" t="s">
        <v>2954</v>
      </c>
      <c r="B240" s="36" t="s">
        <v>829</v>
      </c>
      <c r="C240" s="37" t="s">
        <v>217</v>
      </c>
      <c r="D240" s="37">
        <v>5.0</v>
      </c>
      <c r="E240" s="39">
        <v>277.0</v>
      </c>
      <c r="F240" s="35"/>
      <c r="G240" s="35"/>
      <c r="H240" s="35"/>
      <c r="I240" s="35"/>
      <c r="J240" s="35"/>
      <c r="K240" s="35"/>
    </row>
    <row r="241">
      <c r="A241" s="36" t="s">
        <v>2955</v>
      </c>
      <c r="B241" s="36" t="s">
        <v>832</v>
      </c>
      <c r="C241" s="37" t="s">
        <v>187</v>
      </c>
      <c r="D241" s="37">
        <v>9.0</v>
      </c>
      <c r="E241" s="37">
        <v>331.0</v>
      </c>
      <c r="F241" s="35"/>
      <c r="G241" s="35"/>
      <c r="H241" s="35"/>
      <c r="I241" s="35"/>
      <c r="J241" s="35"/>
      <c r="K241" s="35"/>
    </row>
    <row r="242">
      <c r="A242" s="38" t="s">
        <v>2956</v>
      </c>
      <c r="B242" s="36" t="s">
        <v>835</v>
      </c>
      <c r="C242" s="37" t="s">
        <v>139</v>
      </c>
      <c r="D242" s="37">
        <v>8.0</v>
      </c>
      <c r="E242" s="39">
        <v>388.0</v>
      </c>
      <c r="F242" s="35"/>
      <c r="G242" s="35"/>
      <c r="H242" s="35"/>
      <c r="I242" s="35"/>
      <c r="J242" s="35"/>
      <c r="K242" s="35"/>
    </row>
    <row r="243">
      <c r="A243" s="36" t="s">
        <v>2957</v>
      </c>
      <c r="B243" s="36" t="s">
        <v>838</v>
      </c>
      <c r="C243" s="37" t="s">
        <v>82</v>
      </c>
      <c r="D243" s="37">
        <v>10.0</v>
      </c>
      <c r="E243" s="37">
        <v>294.0</v>
      </c>
      <c r="F243" s="35"/>
      <c r="G243" s="35"/>
      <c r="H243" s="35"/>
      <c r="I243" s="35"/>
      <c r="J243" s="35"/>
      <c r="K243" s="35"/>
    </row>
    <row r="244">
      <c r="A244" s="38" t="s">
        <v>2958</v>
      </c>
      <c r="B244" s="36" t="s">
        <v>841</v>
      </c>
      <c r="C244" s="37" t="s">
        <v>21</v>
      </c>
      <c r="D244" s="37">
        <v>7.0</v>
      </c>
      <c r="E244" s="39">
        <v>651.0</v>
      </c>
      <c r="F244" s="35"/>
      <c r="G244" s="35"/>
      <c r="H244" s="35"/>
      <c r="I244" s="35"/>
      <c r="J244" s="35"/>
      <c r="K244" s="35"/>
    </row>
    <row r="245">
      <c r="A245" s="36" t="s">
        <v>2959</v>
      </c>
      <c r="B245" s="36" t="s">
        <v>844</v>
      </c>
      <c r="C245" s="37" t="s">
        <v>21</v>
      </c>
      <c r="D245" s="37">
        <v>7.0</v>
      </c>
      <c r="E245" s="37">
        <v>529.0</v>
      </c>
      <c r="F245" s="35"/>
      <c r="G245" s="35"/>
      <c r="H245" s="35"/>
      <c r="I245" s="35"/>
      <c r="J245" s="35"/>
      <c r="K245" s="35"/>
    </row>
    <row r="246">
      <c r="A246" s="36" t="s">
        <v>2960</v>
      </c>
      <c r="B246" s="36" t="s">
        <v>847</v>
      </c>
      <c r="C246" s="37" t="s">
        <v>139</v>
      </c>
      <c r="D246" s="37">
        <v>8.0</v>
      </c>
      <c r="E246" s="37">
        <v>795.0</v>
      </c>
      <c r="F246" s="35"/>
      <c r="G246" s="35"/>
      <c r="H246" s="35"/>
      <c r="I246" s="35"/>
      <c r="J246" s="35"/>
      <c r="K246" s="35"/>
    </row>
    <row r="247">
      <c r="A247" s="36" t="s">
        <v>2961</v>
      </c>
      <c r="B247" s="36" t="s">
        <v>850</v>
      </c>
      <c r="C247" s="37" t="s">
        <v>178</v>
      </c>
      <c r="D247" s="37">
        <v>9.0</v>
      </c>
      <c r="E247" s="37">
        <v>439.0</v>
      </c>
      <c r="F247" s="35"/>
      <c r="G247" s="35"/>
      <c r="H247" s="35"/>
      <c r="I247" s="35"/>
      <c r="J247" s="35"/>
      <c r="K247" s="35"/>
    </row>
    <row r="248">
      <c r="A248" s="38" t="s">
        <v>2962</v>
      </c>
      <c r="B248" s="36" t="s">
        <v>853</v>
      </c>
      <c r="C248" s="37" t="s">
        <v>243</v>
      </c>
      <c r="D248" s="37">
        <v>4.0</v>
      </c>
      <c r="E248" s="39">
        <v>446.0</v>
      </c>
      <c r="F248" s="35"/>
      <c r="G248" s="35"/>
      <c r="H248" s="35"/>
      <c r="I248" s="35"/>
      <c r="J248" s="35"/>
      <c r="K248" s="35"/>
    </row>
    <row r="249">
      <c r="A249" s="36" t="s">
        <v>2963</v>
      </c>
      <c r="B249" s="36" t="s">
        <v>856</v>
      </c>
      <c r="C249" s="37" t="s">
        <v>26</v>
      </c>
      <c r="D249" s="37">
        <v>8.0</v>
      </c>
      <c r="E249" s="37">
        <v>528.0</v>
      </c>
      <c r="F249" s="35"/>
      <c r="G249" s="35"/>
      <c r="H249" s="35"/>
      <c r="I249" s="35"/>
      <c r="J249" s="35"/>
      <c r="K249" s="35"/>
    </row>
    <row r="250">
      <c r="A250" s="38" t="s">
        <v>2964</v>
      </c>
      <c r="B250" s="36" t="s">
        <v>859</v>
      </c>
      <c r="C250" s="37" t="s">
        <v>42</v>
      </c>
      <c r="D250" s="37">
        <v>7.0</v>
      </c>
      <c r="E250" s="39">
        <v>231.0</v>
      </c>
      <c r="F250" s="35"/>
      <c r="G250" s="35"/>
      <c r="H250" s="35"/>
      <c r="I250" s="35"/>
      <c r="J250" s="35"/>
      <c r="K250" s="35"/>
    </row>
    <row r="251">
      <c r="A251" s="36" t="s">
        <v>2965</v>
      </c>
      <c r="B251" s="36" t="s">
        <v>862</v>
      </c>
      <c r="C251" s="37" t="s">
        <v>139</v>
      </c>
      <c r="D251" s="37">
        <v>8.0</v>
      </c>
      <c r="E251" s="37">
        <v>465.0</v>
      </c>
      <c r="F251" s="35"/>
      <c r="G251" s="35"/>
      <c r="H251" s="35"/>
      <c r="I251" s="35"/>
      <c r="J251" s="35"/>
      <c r="K251" s="35"/>
    </row>
    <row r="252">
      <c r="A252" s="36" t="s">
        <v>2966</v>
      </c>
      <c r="B252" s="36" t="s">
        <v>865</v>
      </c>
      <c r="C252" s="37" t="s">
        <v>139</v>
      </c>
      <c r="D252" s="37">
        <v>8.0</v>
      </c>
      <c r="E252" s="37">
        <v>1003.0</v>
      </c>
      <c r="F252" s="35"/>
      <c r="G252" s="35"/>
      <c r="H252" s="35"/>
      <c r="I252" s="35"/>
      <c r="J252" s="35"/>
      <c r="K252" s="35"/>
    </row>
    <row r="253">
      <c r="A253" s="38" t="s">
        <v>2967</v>
      </c>
      <c r="B253" s="36" t="s">
        <v>868</v>
      </c>
      <c r="C253" s="37" t="s">
        <v>232</v>
      </c>
      <c r="D253" s="37">
        <v>3.0</v>
      </c>
      <c r="E253" s="39">
        <v>1144.0</v>
      </c>
      <c r="F253" s="35"/>
      <c r="G253" s="35"/>
      <c r="H253" s="35"/>
      <c r="I253" s="35"/>
      <c r="J253" s="35"/>
      <c r="K253" s="35"/>
    </row>
    <row r="254">
      <c r="A254" s="36" t="s">
        <v>2968</v>
      </c>
      <c r="B254" s="36" t="s">
        <v>871</v>
      </c>
      <c r="C254" s="37" t="s">
        <v>178</v>
      </c>
      <c r="D254" s="37">
        <v>9.0</v>
      </c>
      <c r="E254" s="37">
        <v>266.0</v>
      </c>
      <c r="F254" s="35"/>
      <c r="G254" s="35"/>
      <c r="H254" s="35"/>
      <c r="I254" s="35"/>
      <c r="J254" s="35"/>
      <c r="K254" s="35"/>
    </row>
    <row r="255">
      <c r="A255" s="36" t="s">
        <v>2969</v>
      </c>
      <c r="B255" s="36" t="s">
        <v>874</v>
      </c>
      <c r="C255" s="37" t="s">
        <v>121</v>
      </c>
      <c r="D255" s="37">
        <v>10.0</v>
      </c>
      <c r="E255" s="37">
        <v>328.0</v>
      </c>
      <c r="F255" s="35"/>
      <c r="G255" s="35"/>
      <c r="H255" s="35"/>
      <c r="I255" s="35"/>
      <c r="J255" s="35"/>
      <c r="K255" s="35"/>
    </row>
    <row r="256">
      <c r="A256" s="38" t="s">
        <v>2970</v>
      </c>
      <c r="B256" s="36" t="s">
        <v>877</v>
      </c>
      <c r="C256" s="37" t="s">
        <v>187</v>
      </c>
      <c r="D256" s="37">
        <v>9.0</v>
      </c>
      <c r="E256" s="39">
        <v>342.0</v>
      </c>
      <c r="F256" s="35"/>
      <c r="G256" s="35"/>
      <c r="H256" s="35"/>
      <c r="I256" s="35"/>
      <c r="J256" s="35"/>
      <c r="K256" s="35"/>
    </row>
    <row r="257">
      <c r="A257" s="36" t="s">
        <v>2971</v>
      </c>
      <c r="B257" s="36" t="s">
        <v>880</v>
      </c>
      <c r="C257" s="37" t="s">
        <v>47</v>
      </c>
      <c r="D257" s="37">
        <v>3.0</v>
      </c>
      <c r="E257" s="37">
        <v>873.0</v>
      </c>
      <c r="F257" s="35"/>
      <c r="G257" s="35"/>
      <c r="H257" s="35"/>
      <c r="I257" s="35"/>
      <c r="J257" s="35"/>
      <c r="K257" s="35"/>
    </row>
    <row r="258">
      <c r="A258" s="38" t="s">
        <v>2972</v>
      </c>
      <c r="B258" s="36" t="s">
        <v>883</v>
      </c>
      <c r="C258" s="37" t="s">
        <v>243</v>
      </c>
      <c r="D258" s="37">
        <v>4.0</v>
      </c>
      <c r="E258" s="39">
        <v>604.0</v>
      </c>
      <c r="F258" s="35"/>
      <c r="G258" s="35"/>
      <c r="H258" s="35"/>
      <c r="I258" s="35"/>
      <c r="J258" s="35"/>
      <c r="K258" s="35"/>
    </row>
    <row r="259">
      <c r="A259" s="38" t="s">
        <v>2973</v>
      </c>
      <c r="B259" s="36" t="s">
        <v>887</v>
      </c>
      <c r="C259" s="37" t="s">
        <v>31</v>
      </c>
      <c r="D259" s="37">
        <v>5.0</v>
      </c>
      <c r="E259" s="39">
        <v>266.0</v>
      </c>
      <c r="F259" s="35"/>
      <c r="G259" s="35"/>
      <c r="H259" s="35"/>
      <c r="I259" s="35"/>
      <c r="J259" s="35"/>
      <c r="K259" s="35"/>
    </row>
    <row r="260">
      <c r="A260" s="38" t="s">
        <v>2974</v>
      </c>
      <c r="B260" s="36" t="s">
        <v>890</v>
      </c>
      <c r="C260" s="37" t="s">
        <v>87</v>
      </c>
      <c r="D260" s="37">
        <v>2.0</v>
      </c>
      <c r="E260" s="39">
        <v>869.0</v>
      </c>
      <c r="F260" s="35"/>
      <c r="G260" s="35"/>
      <c r="H260" s="35"/>
      <c r="I260" s="35"/>
      <c r="J260" s="35"/>
      <c r="K260" s="35"/>
    </row>
    <row r="261">
      <c r="A261" s="36" t="s">
        <v>2975</v>
      </c>
      <c r="B261" s="36" t="s">
        <v>893</v>
      </c>
      <c r="C261" s="37" t="s">
        <v>21</v>
      </c>
      <c r="D261" s="37">
        <v>7.0</v>
      </c>
      <c r="E261" s="37">
        <v>1220.0</v>
      </c>
      <c r="F261" s="35"/>
      <c r="G261" s="35"/>
      <c r="H261" s="35"/>
      <c r="I261" s="35"/>
      <c r="J261" s="35"/>
      <c r="K261" s="35"/>
    </row>
    <row r="262">
      <c r="A262" s="38" t="s">
        <v>2976</v>
      </c>
      <c r="B262" s="36" t="s">
        <v>896</v>
      </c>
      <c r="C262" s="37" t="s">
        <v>42</v>
      </c>
      <c r="D262" s="37">
        <v>7.0</v>
      </c>
      <c r="E262" s="39">
        <v>298.0</v>
      </c>
      <c r="F262" s="35"/>
      <c r="G262" s="35"/>
      <c r="H262" s="35"/>
      <c r="I262" s="35"/>
      <c r="J262" s="35"/>
      <c r="K262" s="35"/>
    </row>
    <row r="263">
      <c r="A263" s="36" t="s">
        <v>2977</v>
      </c>
      <c r="B263" s="36" t="s">
        <v>899</v>
      </c>
      <c r="C263" s="37" t="s">
        <v>26</v>
      </c>
      <c r="D263" s="37">
        <v>8.0</v>
      </c>
      <c r="E263" s="37">
        <v>459.0</v>
      </c>
      <c r="F263" s="35"/>
      <c r="G263" s="35"/>
      <c r="H263" s="35"/>
      <c r="I263" s="35"/>
      <c r="J263" s="35"/>
      <c r="K263" s="35"/>
    </row>
    <row r="264">
      <c r="A264" s="38" t="s">
        <v>2978</v>
      </c>
      <c r="B264" s="36" t="s">
        <v>902</v>
      </c>
      <c r="C264" s="37" t="s">
        <v>217</v>
      </c>
      <c r="D264" s="37">
        <v>5.0</v>
      </c>
      <c r="E264" s="39">
        <v>235.0</v>
      </c>
      <c r="F264" s="35"/>
      <c r="G264" s="35"/>
      <c r="H264" s="35"/>
      <c r="I264" s="35"/>
      <c r="J264" s="35"/>
      <c r="K264" s="35"/>
    </row>
    <row r="265">
      <c r="A265" s="36" t="s">
        <v>2979</v>
      </c>
      <c r="B265" s="36" t="s">
        <v>905</v>
      </c>
      <c r="C265" s="37" t="s">
        <v>187</v>
      </c>
      <c r="D265" s="37">
        <v>9.0</v>
      </c>
      <c r="E265" s="37">
        <v>174.0</v>
      </c>
      <c r="F265" s="35"/>
      <c r="G265" s="35"/>
      <c r="H265" s="35"/>
      <c r="I265" s="35"/>
      <c r="J265" s="35"/>
      <c r="K265" s="35"/>
    </row>
    <row r="266">
      <c r="A266" s="38" t="s">
        <v>2980</v>
      </c>
      <c r="B266" s="36" t="s">
        <v>908</v>
      </c>
      <c r="C266" s="37" t="s">
        <v>204</v>
      </c>
      <c r="D266" s="37">
        <v>6.0</v>
      </c>
      <c r="E266" s="39">
        <v>184.0</v>
      </c>
      <c r="F266" s="35"/>
      <c r="G266" s="35"/>
      <c r="H266" s="35"/>
      <c r="I266" s="35"/>
      <c r="J266" s="35"/>
      <c r="K266" s="35"/>
    </row>
    <row r="267">
      <c r="A267" s="36" t="s">
        <v>2981</v>
      </c>
      <c r="B267" s="36" t="s">
        <v>911</v>
      </c>
      <c r="C267" s="37" t="s">
        <v>47</v>
      </c>
      <c r="D267" s="37">
        <v>3.0</v>
      </c>
      <c r="E267" s="37">
        <v>450.0</v>
      </c>
      <c r="F267" s="35"/>
      <c r="G267" s="35"/>
      <c r="H267" s="35"/>
      <c r="I267" s="35"/>
      <c r="J267" s="35"/>
      <c r="K267" s="35"/>
    </row>
    <row r="268">
      <c r="A268" s="38" t="s">
        <v>2982</v>
      </c>
      <c r="B268" s="36" t="s">
        <v>914</v>
      </c>
      <c r="C268" s="37" t="s">
        <v>21</v>
      </c>
      <c r="D268" s="37">
        <v>7.0</v>
      </c>
      <c r="E268" s="39">
        <v>853.0</v>
      </c>
      <c r="F268" s="35"/>
      <c r="G268" s="35"/>
      <c r="H268" s="35"/>
      <c r="I268" s="35"/>
      <c r="J268" s="35"/>
      <c r="K268" s="35"/>
    </row>
    <row r="269">
      <c r="A269" s="38" t="s">
        <v>2983</v>
      </c>
      <c r="B269" s="36" t="s">
        <v>917</v>
      </c>
      <c r="C269" s="37" t="s">
        <v>217</v>
      </c>
      <c r="D269" s="37">
        <v>5.0</v>
      </c>
      <c r="E269" s="39">
        <v>390.0</v>
      </c>
      <c r="F269" s="35"/>
      <c r="G269" s="35"/>
      <c r="H269" s="35"/>
      <c r="I269" s="35"/>
      <c r="J269" s="35"/>
      <c r="K269" s="35"/>
    </row>
    <row r="270">
      <c r="A270" s="36" t="s">
        <v>2984</v>
      </c>
      <c r="B270" s="36" t="s">
        <v>920</v>
      </c>
      <c r="C270" s="37" t="s">
        <v>87</v>
      </c>
      <c r="D270" s="37">
        <v>2.0</v>
      </c>
      <c r="E270" s="37">
        <v>895.0</v>
      </c>
      <c r="F270" s="35"/>
      <c r="G270" s="35"/>
      <c r="H270" s="35"/>
      <c r="I270" s="35"/>
      <c r="J270" s="35"/>
      <c r="K270" s="35"/>
    </row>
    <row r="271">
      <c r="A271" s="38" t="s">
        <v>2985</v>
      </c>
      <c r="B271" s="36" t="s">
        <v>923</v>
      </c>
      <c r="C271" s="37" t="s">
        <v>178</v>
      </c>
      <c r="D271" s="37">
        <v>9.0</v>
      </c>
      <c r="E271" s="39">
        <v>262.0</v>
      </c>
      <c r="F271" s="35"/>
      <c r="G271" s="35"/>
      <c r="H271" s="35"/>
      <c r="I271" s="35"/>
      <c r="J271" s="35"/>
      <c r="K271" s="35"/>
    </row>
    <row r="272">
      <c r="A272" s="38" t="s">
        <v>2986</v>
      </c>
      <c r="B272" s="36" t="s">
        <v>926</v>
      </c>
      <c r="C272" s="37" t="s">
        <v>82</v>
      </c>
      <c r="D272" s="37">
        <v>10.0</v>
      </c>
      <c r="E272" s="39">
        <v>102.0</v>
      </c>
      <c r="F272" s="35"/>
      <c r="G272" s="35"/>
      <c r="H272" s="35"/>
      <c r="I272" s="35"/>
      <c r="J272" s="35"/>
      <c r="K272" s="35"/>
    </row>
    <row r="273">
      <c r="A273" s="38" t="s">
        <v>2987</v>
      </c>
      <c r="B273" s="36" t="s">
        <v>929</v>
      </c>
      <c r="C273" s="37" t="s">
        <v>199</v>
      </c>
      <c r="D273" s="37">
        <v>1.0</v>
      </c>
      <c r="E273" s="39">
        <v>492.0</v>
      </c>
      <c r="F273" s="35"/>
      <c r="G273" s="35"/>
      <c r="H273" s="35"/>
      <c r="I273" s="35"/>
      <c r="J273" s="35"/>
      <c r="K273" s="35"/>
    </row>
    <row r="274">
      <c r="A274" s="36" t="s">
        <v>2988</v>
      </c>
      <c r="B274" s="36" t="s">
        <v>932</v>
      </c>
      <c r="C274" s="37" t="s">
        <v>21</v>
      </c>
      <c r="D274" s="37">
        <v>7.0</v>
      </c>
      <c r="E274" s="37">
        <v>392.0</v>
      </c>
      <c r="F274" s="35"/>
      <c r="G274" s="35"/>
      <c r="H274" s="35"/>
      <c r="I274" s="35"/>
      <c r="J274" s="35"/>
      <c r="K274" s="35"/>
    </row>
    <row r="275">
      <c r="A275" s="36" t="s">
        <v>2989</v>
      </c>
      <c r="B275" s="36" t="s">
        <v>935</v>
      </c>
      <c r="C275" s="37" t="s">
        <v>187</v>
      </c>
      <c r="D275" s="37">
        <v>9.0</v>
      </c>
      <c r="E275" s="37">
        <v>116.0</v>
      </c>
      <c r="F275" s="35"/>
      <c r="G275" s="35"/>
      <c r="H275" s="35"/>
      <c r="I275" s="35"/>
      <c r="J275" s="35"/>
      <c r="K275" s="35"/>
    </row>
    <row r="276">
      <c r="A276" s="36" t="s">
        <v>2990</v>
      </c>
      <c r="B276" s="36" t="s">
        <v>2325</v>
      </c>
      <c r="C276" s="37" t="e">
        <v>#N/A</v>
      </c>
      <c r="D276" s="37" t="s">
        <v>2783</v>
      </c>
      <c r="E276" s="37">
        <v>240.0</v>
      </c>
      <c r="F276" s="35"/>
      <c r="G276" s="35"/>
      <c r="H276" s="35"/>
      <c r="I276" s="35"/>
      <c r="J276" s="35"/>
      <c r="K276" s="35"/>
    </row>
    <row r="277">
      <c r="A277" s="38" t="s">
        <v>2991</v>
      </c>
      <c r="B277" s="36" t="s">
        <v>938</v>
      </c>
      <c r="C277" s="37" t="s">
        <v>26</v>
      </c>
      <c r="D277" s="37">
        <v>8.0</v>
      </c>
      <c r="E277" s="39">
        <v>743.0</v>
      </c>
      <c r="F277" s="35"/>
      <c r="G277" s="35"/>
      <c r="H277" s="35"/>
      <c r="I277" s="35"/>
      <c r="J277" s="35"/>
      <c r="K277" s="35"/>
    </row>
    <row r="278">
      <c r="A278" s="38" t="s">
        <v>2992</v>
      </c>
      <c r="B278" s="36" t="s">
        <v>941</v>
      </c>
      <c r="C278" s="37" t="s">
        <v>31</v>
      </c>
      <c r="D278" s="37">
        <v>5.0</v>
      </c>
      <c r="E278" s="39">
        <v>378.0</v>
      </c>
      <c r="F278" s="35"/>
      <c r="G278" s="35"/>
      <c r="H278" s="35"/>
      <c r="I278" s="35"/>
      <c r="J278" s="35"/>
      <c r="K278" s="35"/>
    </row>
    <row r="279">
      <c r="A279" s="36" t="s">
        <v>2993</v>
      </c>
      <c r="B279" s="36" t="s">
        <v>944</v>
      </c>
      <c r="C279" s="37" t="s">
        <v>82</v>
      </c>
      <c r="D279" s="37">
        <v>10.0</v>
      </c>
      <c r="E279" s="37">
        <v>227.0</v>
      </c>
      <c r="F279" s="35"/>
      <c r="G279" s="35"/>
      <c r="H279" s="35"/>
      <c r="I279" s="35"/>
      <c r="J279" s="35"/>
      <c r="K279" s="35"/>
    </row>
    <row r="280">
      <c r="A280" s="36" t="s">
        <v>2994</v>
      </c>
      <c r="B280" s="36" t="s">
        <v>947</v>
      </c>
      <c r="C280" s="37" t="s">
        <v>26</v>
      </c>
      <c r="D280" s="37">
        <v>8.0</v>
      </c>
      <c r="E280" s="37">
        <v>1713.0</v>
      </c>
      <c r="F280" s="35"/>
      <c r="G280" s="35"/>
      <c r="H280" s="35"/>
      <c r="I280" s="35"/>
      <c r="J280" s="35"/>
      <c r="K280" s="35"/>
    </row>
    <row r="281">
      <c r="A281" s="38" t="s">
        <v>2995</v>
      </c>
      <c r="B281" s="36" t="s">
        <v>950</v>
      </c>
      <c r="C281" s="37" t="s">
        <v>217</v>
      </c>
      <c r="D281" s="37">
        <v>5.0</v>
      </c>
      <c r="E281" s="39">
        <v>187.0</v>
      </c>
      <c r="F281" s="35"/>
      <c r="G281" s="35"/>
      <c r="H281" s="35"/>
      <c r="I281" s="35"/>
      <c r="J281" s="35"/>
      <c r="K281" s="35"/>
    </row>
    <row r="282">
      <c r="A282" s="38" t="s">
        <v>2996</v>
      </c>
      <c r="B282" s="36" t="s">
        <v>953</v>
      </c>
      <c r="C282" s="37" t="s">
        <v>178</v>
      </c>
      <c r="D282" s="37">
        <v>9.0</v>
      </c>
      <c r="E282" s="39">
        <v>453.0</v>
      </c>
      <c r="F282" s="35"/>
      <c r="G282" s="35"/>
      <c r="H282" s="35"/>
      <c r="I282" s="35"/>
      <c r="J282" s="35"/>
      <c r="K282" s="35"/>
    </row>
    <row r="283">
      <c r="A283" s="36" t="s">
        <v>2997</v>
      </c>
      <c r="B283" s="36" t="s">
        <v>956</v>
      </c>
      <c r="C283" s="37" t="s">
        <v>139</v>
      </c>
      <c r="D283" s="37">
        <v>8.0</v>
      </c>
      <c r="E283" s="37">
        <v>709.0</v>
      </c>
      <c r="F283" s="35"/>
      <c r="G283" s="35"/>
      <c r="H283" s="35"/>
      <c r="I283" s="35"/>
      <c r="J283" s="35"/>
      <c r="K283" s="35"/>
    </row>
    <row r="284">
      <c r="A284" s="38" t="s">
        <v>960</v>
      </c>
      <c r="B284" s="36" t="s">
        <v>959</v>
      </c>
      <c r="C284" s="37" t="s">
        <v>121</v>
      </c>
      <c r="D284" s="37">
        <v>10.0</v>
      </c>
      <c r="E284" s="39">
        <v>702.0</v>
      </c>
      <c r="F284" s="35"/>
      <c r="G284" s="35"/>
      <c r="H284" s="35"/>
      <c r="I284" s="35"/>
      <c r="J284" s="35"/>
      <c r="K284" s="35"/>
    </row>
    <row r="285">
      <c r="A285" s="38" t="s">
        <v>2998</v>
      </c>
      <c r="B285" s="36" t="s">
        <v>962</v>
      </c>
      <c r="C285" s="37" t="s">
        <v>42</v>
      </c>
      <c r="D285" s="37">
        <v>7.0</v>
      </c>
      <c r="E285" s="39">
        <v>409.0</v>
      </c>
      <c r="F285" s="35"/>
      <c r="G285" s="35"/>
      <c r="H285" s="35"/>
      <c r="I285" s="35"/>
      <c r="J285" s="35"/>
      <c r="K285" s="35"/>
    </row>
    <row r="286">
      <c r="A286" s="38" t="s">
        <v>2999</v>
      </c>
      <c r="B286" s="36" t="s">
        <v>965</v>
      </c>
      <c r="C286" s="37" t="e">
        <v>#N/A</v>
      </c>
      <c r="D286" s="37" t="s">
        <v>2783</v>
      </c>
      <c r="E286" s="39">
        <v>623.0</v>
      </c>
      <c r="F286" s="35"/>
      <c r="G286" s="35"/>
      <c r="H286" s="35"/>
      <c r="I286" s="35"/>
      <c r="J286" s="35"/>
      <c r="K286" s="35"/>
    </row>
    <row r="287">
      <c r="A287" s="38" t="s">
        <v>3000</v>
      </c>
      <c r="B287" s="36" t="s">
        <v>971</v>
      </c>
      <c r="C287" s="37" t="s">
        <v>243</v>
      </c>
      <c r="D287" s="37">
        <v>4.0</v>
      </c>
      <c r="E287" s="39">
        <v>669.0</v>
      </c>
      <c r="F287" s="35"/>
      <c r="G287" s="35"/>
      <c r="H287" s="35"/>
      <c r="I287" s="35"/>
      <c r="J287" s="35"/>
      <c r="K287" s="35"/>
    </row>
    <row r="288">
      <c r="A288" s="36" t="s">
        <v>3001</v>
      </c>
      <c r="B288" s="36" t="s">
        <v>974</v>
      </c>
      <c r="C288" s="37" t="s">
        <v>47</v>
      </c>
      <c r="D288" s="37">
        <v>3.0</v>
      </c>
      <c r="E288" s="37">
        <v>983.0</v>
      </c>
      <c r="F288" s="35"/>
      <c r="G288" s="35"/>
      <c r="H288" s="35"/>
      <c r="I288" s="35"/>
      <c r="J288" s="35"/>
      <c r="K288" s="35"/>
    </row>
    <row r="289">
      <c r="A289" s="38" t="s">
        <v>3002</v>
      </c>
      <c r="B289" s="36" t="s">
        <v>977</v>
      </c>
      <c r="C289" s="37" t="s">
        <v>217</v>
      </c>
      <c r="D289" s="37">
        <v>5.0</v>
      </c>
      <c r="E289" s="39">
        <v>287.0</v>
      </c>
      <c r="F289" s="35"/>
      <c r="G289" s="35"/>
      <c r="H289" s="35"/>
      <c r="I289" s="35"/>
      <c r="J289" s="35"/>
      <c r="K289" s="35"/>
    </row>
    <row r="290">
      <c r="A290" s="36" t="s">
        <v>3003</v>
      </c>
      <c r="B290" s="36" t="s">
        <v>980</v>
      </c>
      <c r="C290" s="37" t="s">
        <v>187</v>
      </c>
      <c r="D290" s="37">
        <v>9.0</v>
      </c>
      <c r="E290" s="37">
        <v>331.0</v>
      </c>
      <c r="F290" s="35"/>
      <c r="G290" s="35"/>
      <c r="H290" s="35"/>
      <c r="I290" s="35"/>
      <c r="J290" s="35"/>
      <c r="K290" s="35"/>
    </row>
    <row r="291">
      <c r="A291" s="38" t="s">
        <v>3004</v>
      </c>
      <c r="B291" s="36" t="s">
        <v>983</v>
      </c>
      <c r="C291" s="37" t="s">
        <v>103</v>
      </c>
      <c r="D291" s="37">
        <v>4.0</v>
      </c>
      <c r="E291" s="39">
        <v>288.0</v>
      </c>
      <c r="F291" s="35"/>
      <c r="G291" s="35"/>
      <c r="H291" s="35"/>
      <c r="I291" s="35"/>
      <c r="J291" s="35"/>
      <c r="K291" s="35"/>
    </row>
    <row r="292">
      <c r="A292" s="36" t="s">
        <v>3005</v>
      </c>
      <c r="B292" s="36" t="s">
        <v>986</v>
      </c>
      <c r="C292" s="37" t="s">
        <v>36</v>
      </c>
      <c r="D292" s="37">
        <v>2.0</v>
      </c>
      <c r="E292" s="37">
        <v>786.0</v>
      </c>
      <c r="F292" s="35"/>
      <c r="G292" s="35"/>
      <c r="H292" s="35"/>
      <c r="I292" s="35"/>
      <c r="J292" s="35"/>
      <c r="K292" s="35"/>
    </row>
    <row r="293">
      <c r="A293" s="38" t="s">
        <v>3006</v>
      </c>
      <c r="B293" s="36" t="s">
        <v>992</v>
      </c>
      <c r="C293" s="37" t="s">
        <v>217</v>
      </c>
      <c r="D293" s="37">
        <v>5.0</v>
      </c>
      <c r="E293" s="39">
        <v>250.0</v>
      </c>
      <c r="F293" s="35"/>
      <c r="G293" s="35"/>
      <c r="H293" s="35"/>
      <c r="I293" s="35"/>
      <c r="J293" s="35"/>
      <c r="K293" s="35"/>
    </row>
    <row r="294">
      <c r="A294" s="36" t="s">
        <v>3007</v>
      </c>
      <c r="B294" s="36" t="s">
        <v>995</v>
      </c>
      <c r="C294" s="37" t="s">
        <v>217</v>
      </c>
      <c r="D294" s="37">
        <v>5.0</v>
      </c>
      <c r="E294" s="37">
        <v>220.0</v>
      </c>
      <c r="F294" s="35"/>
      <c r="G294" s="35"/>
      <c r="H294" s="35"/>
      <c r="I294" s="35"/>
      <c r="J294" s="35"/>
      <c r="K294" s="35"/>
    </row>
    <row r="295">
      <c r="A295" s="38" t="s">
        <v>3008</v>
      </c>
      <c r="B295" s="36" t="s">
        <v>998</v>
      </c>
      <c r="C295" s="37" t="s">
        <v>26</v>
      </c>
      <c r="D295" s="37">
        <v>8.0</v>
      </c>
      <c r="E295" s="39">
        <v>1930.0</v>
      </c>
      <c r="F295" s="35"/>
      <c r="G295" s="35"/>
      <c r="H295" s="35"/>
      <c r="I295" s="35"/>
      <c r="J295" s="35"/>
      <c r="K295" s="35"/>
    </row>
    <row r="296">
      <c r="A296" s="38" t="s">
        <v>3009</v>
      </c>
      <c r="B296" s="36" t="s">
        <v>1001</v>
      </c>
      <c r="C296" s="37" t="s">
        <v>187</v>
      </c>
      <c r="D296" s="37">
        <v>9.0</v>
      </c>
      <c r="E296" s="39">
        <v>329.0</v>
      </c>
      <c r="F296" s="35"/>
      <c r="G296" s="35"/>
      <c r="H296" s="35"/>
      <c r="I296" s="35"/>
      <c r="J296" s="35"/>
      <c r="K296" s="35"/>
    </row>
    <row r="297">
      <c r="A297" s="38" t="s">
        <v>3010</v>
      </c>
      <c r="B297" s="36" t="s">
        <v>1004</v>
      </c>
      <c r="C297" s="37" t="s">
        <v>36</v>
      </c>
      <c r="D297" s="37">
        <v>2.0</v>
      </c>
      <c r="E297" s="39">
        <v>493.0</v>
      </c>
      <c r="F297" s="35"/>
      <c r="G297" s="35"/>
      <c r="H297" s="35"/>
      <c r="I297" s="35"/>
      <c r="J297" s="35"/>
      <c r="K297" s="35"/>
    </row>
    <row r="298">
      <c r="A298" s="36" t="s">
        <v>3011</v>
      </c>
      <c r="B298" s="36" t="s">
        <v>1007</v>
      </c>
      <c r="C298" s="37" t="s">
        <v>42</v>
      </c>
      <c r="D298" s="37">
        <v>7.0</v>
      </c>
      <c r="E298" s="37">
        <v>1595.0</v>
      </c>
      <c r="F298" s="35"/>
      <c r="G298" s="35"/>
      <c r="H298" s="35"/>
      <c r="I298" s="35"/>
      <c r="J298" s="35"/>
      <c r="K298" s="35"/>
    </row>
    <row r="299">
      <c r="A299" s="36" t="s">
        <v>3012</v>
      </c>
      <c r="B299" s="36" t="s">
        <v>1010</v>
      </c>
      <c r="C299" s="37" t="s">
        <v>178</v>
      </c>
      <c r="D299" s="37">
        <v>9.0</v>
      </c>
      <c r="E299" s="37">
        <v>425.0</v>
      </c>
      <c r="F299" s="35"/>
      <c r="G299" s="35"/>
      <c r="H299" s="35"/>
      <c r="I299" s="35"/>
      <c r="J299" s="35"/>
      <c r="K299" s="35"/>
    </row>
    <row r="300">
      <c r="A300" s="38" t="s">
        <v>3013</v>
      </c>
      <c r="B300" s="36" t="s">
        <v>1013</v>
      </c>
      <c r="C300" s="37" t="s">
        <v>42</v>
      </c>
      <c r="D300" s="37">
        <v>7.0</v>
      </c>
      <c r="E300" s="39">
        <v>282.0</v>
      </c>
      <c r="F300" s="35"/>
      <c r="G300" s="35"/>
      <c r="H300" s="35"/>
      <c r="I300" s="35"/>
      <c r="J300" s="35"/>
      <c r="K300" s="35"/>
    </row>
    <row r="301">
      <c r="A301" s="38" t="s">
        <v>3014</v>
      </c>
      <c r="B301" s="36" t="s">
        <v>1016</v>
      </c>
      <c r="C301" s="37" t="s">
        <v>42</v>
      </c>
      <c r="D301" s="37">
        <v>7.0</v>
      </c>
      <c r="E301" s="39">
        <v>411.0</v>
      </c>
      <c r="F301" s="35"/>
      <c r="G301" s="35"/>
      <c r="H301" s="35"/>
      <c r="I301" s="35"/>
      <c r="J301" s="35"/>
      <c r="K301" s="35"/>
    </row>
    <row r="302">
      <c r="A302" s="38" t="s">
        <v>3015</v>
      </c>
      <c r="B302" s="36" t="s">
        <v>1019</v>
      </c>
      <c r="C302" s="37" t="s">
        <v>178</v>
      </c>
      <c r="D302" s="37">
        <v>9.0</v>
      </c>
      <c r="E302" s="39">
        <v>213.0</v>
      </c>
      <c r="F302" s="35"/>
      <c r="G302" s="35"/>
      <c r="H302" s="35"/>
      <c r="I302" s="35"/>
      <c r="J302" s="35"/>
      <c r="K302" s="35"/>
    </row>
    <row r="303">
      <c r="A303" s="36" t="s">
        <v>3016</v>
      </c>
      <c r="B303" s="36" t="s">
        <v>1022</v>
      </c>
      <c r="C303" s="37" t="s">
        <v>217</v>
      </c>
      <c r="D303" s="37">
        <v>5.0</v>
      </c>
      <c r="E303" s="37">
        <v>202.0</v>
      </c>
      <c r="F303" s="35"/>
      <c r="G303" s="35"/>
      <c r="H303" s="35"/>
      <c r="I303" s="35"/>
      <c r="J303" s="35"/>
      <c r="K303" s="35"/>
    </row>
    <row r="304">
      <c r="A304" s="36" t="s">
        <v>3017</v>
      </c>
      <c r="B304" s="36" t="s">
        <v>1025</v>
      </c>
      <c r="C304" s="37" t="s">
        <v>178</v>
      </c>
      <c r="D304" s="37">
        <v>9.0</v>
      </c>
      <c r="E304" s="37">
        <v>284.0</v>
      </c>
      <c r="F304" s="35"/>
      <c r="G304" s="35"/>
      <c r="H304" s="35"/>
      <c r="I304" s="35"/>
      <c r="J304" s="35"/>
      <c r="K304" s="35"/>
    </row>
    <row r="305">
      <c r="A305" s="36" t="s">
        <v>1029</v>
      </c>
      <c r="B305" s="36" t="s">
        <v>1028</v>
      </c>
      <c r="C305" s="37" t="s">
        <v>21</v>
      </c>
      <c r="D305" s="37">
        <v>7.0</v>
      </c>
      <c r="E305" s="37">
        <v>1729.0</v>
      </c>
      <c r="F305" s="35"/>
      <c r="G305" s="35"/>
      <c r="H305" s="35"/>
      <c r="I305" s="35"/>
      <c r="J305" s="35"/>
      <c r="K305" s="35"/>
    </row>
    <row r="306">
      <c r="A306" s="38" t="s">
        <v>1032</v>
      </c>
      <c r="B306" s="36" t="s">
        <v>1031</v>
      </c>
      <c r="C306" s="37" t="s">
        <v>47</v>
      </c>
      <c r="D306" s="37">
        <v>3.0</v>
      </c>
      <c r="E306" s="39">
        <v>482.0</v>
      </c>
      <c r="F306" s="35"/>
      <c r="G306" s="35"/>
      <c r="H306" s="35"/>
      <c r="I306" s="35"/>
      <c r="J306" s="35"/>
      <c r="K306" s="35"/>
    </row>
    <row r="307">
      <c r="A307" s="36" t="s">
        <v>3018</v>
      </c>
      <c r="B307" s="36" t="s">
        <v>1034</v>
      </c>
      <c r="C307" s="37" t="s">
        <v>139</v>
      </c>
      <c r="D307" s="37">
        <v>8.0</v>
      </c>
      <c r="E307" s="37">
        <v>1635.0</v>
      </c>
      <c r="F307" s="35"/>
      <c r="G307" s="35"/>
      <c r="H307" s="35"/>
      <c r="I307" s="35"/>
      <c r="J307" s="35"/>
      <c r="K307" s="35"/>
    </row>
    <row r="308">
      <c r="A308" s="38" t="s">
        <v>3019</v>
      </c>
      <c r="B308" s="36" t="s">
        <v>1037</v>
      </c>
      <c r="C308" s="37" t="s">
        <v>121</v>
      </c>
      <c r="D308" s="37">
        <v>10.0</v>
      </c>
      <c r="E308" s="39">
        <v>2311.0</v>
      </c>
      <c r="F308" s="35"/>
      <c r="G308" s="35"/>
      <c r="H308" s="35"/>
      <c r="I308" s="35"/>
      <c r="J308" s="35"/>
      <c r="K308" s="35"/>
    </row>
    <row r="309">
      <c r="A309" s="38" t="s">
        <v>3020</v>
      </c>
      <c r="B309" s="36" t="s">
        <v>1040</v>
      </c>
      <c r="C309" s="37" t="s">
        <v>187</v>
      </c>
      <c r="D309" s="37">
        <v>9.0</v>
      </c>
      <c r="E309" s="39">
        <v>213.0</v>
      </c>
      <c r="F309" s="35"/>
      <c r="G309" s="35"/>
      <c r="H309" s="35"/>
      <c r="I309" s="35"/>
      <c r="J309" s="35"/>
      <c r="K309" s="35"/>
    </row>
    <row r="310">
      <c r="A310" s="36" t="s">
        <v>3021</v>
      </c>
      <c r="B310" s="36" t="s">
        <v>1043</v>
      </c>
      <c r="C310" s="37" t="s">
        <v>36</v>
      </c>
      <c r="D310" s="37">
        <v>2.0</v>
      </c>
      <c r="E310" s="37">
        <v>738.0</v>
      </c>
      <c r="F310" s="35"/>
      <c r="G310" s="35"/>
      <c r="H310" s="35"/>
      <c r="I310" s="35"/>
      <c r="J310" s="35"/>
      <c r="K310" s="35"/>
    </row>
    <row r="311">
      <c r="A311" s="36" t="s">
        <v>3022</v>
      </c>
      <c r="B311" s="36" t="s">
        <v>1046</v>
      </c>
      <c r="C311" s="37" t="s">
        <v>187</v>
      </c>
      <c r="D311" s="37">
        <v>9.0</v>
      </c>
      <c r="E311" s="37">
        <v>239.0</v>
      </c>
      <c r="F311" s="35"/>
      <c r="G311" s="35"/>
      <c r="H311" s="35"/>
      <c r="I311" s="35"/>
      <c r="J311" s="35"/>
      <c r="K311" s="35"/>
    </row>
    <row r="312">
      <c r="A312" s="38" t="s">
        <v>3023</v>
      </c>
      <c r="B312" s="36" t="s">
        <v>1049</v>
      </c>
      <c r="C312" s="37" t="s">
        <v>121</v>
      </c>
      <c r="D312" s="37">
        <v>10.0</v>
      </c>
      <c r="E312" s="39">
        <v>581.0</v>
      </c>
      <c r="F312" s="35"/>
      <c r="G312" s="35"/>
      <c r="H312" s="35"/>
      <c r="I312" s="35"/>
      <c r="J312" s="35"/>
      <c r="K312" s="35"/>
    </row>
    <row r="313">
      <c r="A313" s="38" t="s">
        <v>3024</v>
      </c>
      <c r="B313" s="36" t="s">
        <v>1052</v>
      </c>
      <c r="C313" s="37" t="s">
        <v>139</v>
      </c>
      <c r="D313" s="37">
        <v>8.0</v>
      </c>
      <c r="E313" s="39">
        <v>665.0</v>
      </c>
      <c r="F313" s="35"/>
      <c r="G313" s="35"/>
      <c r="H313" s="35"/>
      <c r="I313" s="35"/>
      <c r="J313" s="35"/>
      <c r="K313" s="35"/>
    </row>
    <row r="314">
      <c r="A314" s="38" t="s">
        <v>3025</v>
      </c>
      <c r="B314" s="36" t="s">
        <v>1055</v>
      </c>
      <c r="C314" s="37" t="s">
        <v>178</v>
      </c>
      <c r="D314" s="37">
        <v>9.0</v>
      </c>
      <c r="E314" s="39">
        <v>228.0</v>
      </c>
      <c r="F314" s="35"/>
      <c r="G314" s="35"/>
      <c r="H314" s="35"/>
      <c r="I314" s="35"/>
      <c r="J314" s="35"/>
      <c r="K314" s="35"/>
    </row>
    <row r="315">
      <c r="A315" s="36" t="s">
        <v>1059</v>
      </c>
      <c r="B315" s="36" t="s">
        <v>1058</v>
      </c>
      <c r="C315" s="37" t="s">
        <v>31</v>
      </c>
      <c r="D315" s="37">
        <v>5.0</v>
      </c>
      <c r="E315" s="37">
        <v>606.0</v>
      </c>
      <c r="F315" s="35"/>
      <c r="G315" s="35"/>
      <c r="H315" s="35"/>
      <c r="I315" s="35"/>
      <c r="J315" s="35"/>
      <c r="K315" s="35"/>
    </row>
    <row r="316">
      <c r="A316" s="36" t="s">
        <v>3026</v>
      </c>
      <c r="B316" s="36" t="s">
        <v>1061</v>
      </c>
      <c r="C316" s="37" t="s">
        <v>217</v>
      </c>
      <c r="D316" s="37">
        <v>5.0</v>
      </c>
      <c r="E316" s="37">
        <v>905.0</v>
      </c>
      <c r="F316" s="35"/>
      <c r="G316" s="35"/>
      <c r="H316" s="35"/>
      <c r="I316" s="35"/>
      <c r="J316" s="35"/>
      <c r="K316" s="35"/>
    </row>
    <row r="317">
      <c r="A317" s="38" t="s">
        <v>3027</v>
      </c>
      <c r="B317" s="36" t="s">
        <v>1064</v>
      </c>
      <c r="C317" s="37" t="s">
        <v>187</v>
      </c>
      <c r="D317" s="37">
        <v>9.0</v>
      </c>
      <c r="E317" s="39">
        <v>851.0</v>
      </c>
      <c r="F317" s="35"/>
      <c r="G317" s="35"/>
      <c r="H317" s="35"/>
      <c r="I317" s="35"/>
      <c r="J317" s="35"/>
      <c r="K317" s="35"/>
    </row>
    <row r="318">
      <c r="A318" s="36" t="s">
        <v>3028</v>
      </c>
      <c r="B318" s="36" t="s">
        <v>1067</v>
      </c>
      <c r="C318" s="37" t="s">
        <v>31</v>
      </c>
      <c r="D318" s="37">
        <v>5.0</v>
      </c>
      <c r="E318" s="37">
        <v>985.0</v>
      </c>
      <c r="F318" s="35"/>
      <c r="G318" s="35"/>
      <c r="H318" s="35"/>
      <c r="I318" s="35"/>
      <c r="J318" s="35"/>
      <c r="K318" s="35"/>
    </row>
    <row r="319">
      <c r="A319" s="38" t="s">
        <v>3029</v>
      </c>
      <c r="B319" s="36" t="s">
        <v>1070</v>
      </c>
      <c r="C319" s="37" t="s">
        <v>204</v>
      </c>
      <c r="D319" s="37">
        <v>6.0</v>
      </c>
      <c r="E319" s="39">
        <v>248.0</v>
      </c>
      <c r="F319" s="35"/>
      <c r="G319" s="35"/>
      <c r="H319" s="35"/>
      <c r="I319" s="35"/>
      <c r="J319" s="35"/>
      <c r="K319" s="35"/>
    </row>
    <row r="320">
      <c r="A320" s="36" t="s">
        <v>1074</v>
      </c>
      <c r="B320" s="36" t="s">
        <v>1073</v>
      </c>
      <c r="C320" s="37" t="s">
        <v>243</v>
      </c>
      <c r="D320" s="37">
        <v>4.0</v>
      </c>
      <c r="E320" s="37">
        <v>1360.0</v>
      </c>
      <c r="F320" s="35"/>
      <c r="G320" s="35"/>
      <c r="H320" s="35"/>
      <c r="I320" s="35"/>
      <c r="J320" s="35"/>
      <c r="K320" s="35"/>
    </row>
    <row r="321">
      <c r="A321" s="38" t="s">
        <v>3030</v>
      </c>
      <c r="B321" s="36" t="s">
        <v>1076</v>
      </c>
      <c r="C321" s="37" t="s">
        <v>103</v>
      </c>
      <c r="D321" s="37">
        <v>4.0</v>
      </c>
      <c r="E321" s="39">
        <v>4482.0</v>
      </c>
      <c r="F321" s="35"/>
      <c r="G321" s="35"/>
      <c r="H321" s="35"/>
      <c r="I321" s="35"/>
      <c r="J321" s="35"/>
      <c r="K321" s="35"/>
    </row>
    <row r="322">
      <c r="A322" s="36" t="s">
        <v>3031</v>
      </c>
      <c r="B322" s="36" t="s">
        <v>1079</v>
      </c>
      <c r="C322" s="37" t="s">
        <v>187</v>
      </c>
      <c r="D322" s="37">
        <v>9.0</v>
      </c>
      <c r="E322" s="37">
        <v>177.0</v>
      </c>
      <c r="F322" s="35"/>
      <c r="G322" s="35"/>
      <c r="H322" s="35"/>
      <c r="I322" s="35"/>
      <c r="J322" s="35"/>
      <c r="K322" s="35"/>
    </row>
    <row r="323">
      <c r="A323" s="36" t="s">
        <v>3032</v>
      </c>
      <c r="B323" s="36" t="s">
        <v>1082</v>
      </c>
      <c r="C323" s="37" t="s">
        <v>26</v>
      </c>
      <c r="D323" s="37">
        <v>8.0</v>
      </c>
      <c r="E323" s="37">
        <v>311.0</v>
      </c>
      <c r="F323" s="35"/>
      <c r="G323" s="35"/>
      <c r="H323" s="35"/>
      <c r="I323" s="35"/>
      <c r="J323" s="35"/>
      <c r="K323" s="35"/>
    </row>
    <row r="324">
      <c r="A324" s="36" t="s">
        <v>3033</v>
      </c>
      <c r="B324" s="36" t="s">
        <v>1085</v>
      </c>
      <c r="C324" s="37" t="s">
        <v>103</v>
      </c>
      <c r="D324" s="37">
        <v>4.0</v>
      </c>
      <c r="E324" s="37">
        <v>486.0</v>
      </c>
      <c r="F324" s="35"/>
      <c r="G324" s="35"/>
      <c r="H324" s="35"/>
      <c r="I324" s="35"/>
      <c r="J324" s="35"/>
      <c r="K324" s="35"/>
    </row>
    <row r="325">
      <c r="A325" s="36" t="s">
        <v>3034</v>
      </c>
      <c r="B325" s="36" t="s">
        <v>1088</v>
      </c>
      <c r="C325" s="37" t="s">
        <v>31</v>
      </c>
      <c r="D325" s="37">
        <v>5.0</v>
      </c>
      <c r="E325" s="37">
        <v>576.0</v>
      </c>
      <c r="F325" s="35"/>
      <c r="G325" s="35"/>
      <c r="H325" s="35"/>
      <c r="I325" s="35"/>
      <c r="J325" s="35"/>
      <c r="K325" s="35"/>
    </row>
    <row r="326">
      <c r="A326" s="38" t="s">
        <v>3035</v>
      </c>
      <c r="B326" s="36" t="s">
        <v>1091</v>
      </c>
      <c r="C326" s="37" t="s">
        <v>178</v>
      </c>
      <c r="D326" s="37">
        <v>9.0</v>
      </c>
      <c r="E326" s="39">
        <v>338.0</v>
      </c>
      <c r="F326" s="35"/>
      <c r="G326" s="35"/>
      <c r="H326" s="35"/>
      <c r="I326" s="35"/>
      <c r="J326" s="35"/>
      <c r="K326" s="35"/>
    </row>
    <row r="327">
      <c r="A327" s="38" t="s">
        <v>3036</v>
      </c>
      <c r="B327" s="36" t="s">
        <v>1094</v>
      </c>
      <c r="C327" s="37" t="s">
        <v>217</v>
      </c>
      <c r="D327" s="37">
        <v>5.0</v>
      </c>
      <c r="E327" s="39">
        <v>216.0</v>
      </c>
      <c r="F327" s="35"/>
      <c r="G327" s="35"/>
      <c r="H327" s="35"/>
      <c r="I327" s="35"/>
      <c r="J327" s="35"/>
      <c r="K327" s="35"/>
    </row>
    <row r="328">
      <c r="A328" s="38" t="s">
        <v>3037</v>
      </c>
      <c r="B328" s="36" t="s">
        <v>1097</v>
      </c>
      <c r="C328" s="37" t="s">
        <v>217</v>
      </c>
      <c r="D328" s="37">
        <v>5.0</v>
      </c>
      <c r="E328" s="39">
        <v>170.0</v>
      </c>
      <c r="F328" s="35"/>
      <c r="G328" s="35"/>
      <c r="H328" s="35"/>
      <c r="I328" s="35"/>
      <c r="J328" s="35"/>
      <c r="K328" s="35"/>
    </row>
    <row r="329">
      <c r="A329" s="38" t="s">
        <v>3038</v>
      </c>
      <c r="B329" s="36" t="s">
        <v>1100</v>
      </c>
      <c r="C329" s="37" t="s">
        <v>217</v>
      </c>
      <c r="D329" s="37">
        <v>5.0</v>
      </c>
      <c r="E329" s="39">
        <v>515.0</v>
      </c>
      <c r="F329" s="35"/>
      <c r="G329" s="35"/>
      <c r="H329" s="35"/>
      <c r="I329" s="35"/>
      <c r="J329" s="35"/>
      <c r="K329" s="35"/>
    </row>
    <row r="330">
      <c r="A330" s="36" t="s">
        <v>3039</v>
      </c>
      <c r="B330" s="36" t="s">
        <v>1103</v>
      </c>
      <c r="C330" s="37" t="s">
        <v>217</v>
      </c>
      <c r="D330" s="37">
        <v>5.0</v>
      </c>
      <c r="E330" s="37">
        <v>366.0</v>
      </c>
      <c r="F330" s="35"/>
      <c r="G330" s="35"/>
      <c r="H330" s="35"/>
      <c r="I330" s="35"/>
      <c r="J330" s="35"/>
      <c r="K330" s="35"/>
    </row>
    <row r="331">
      <c r="A331" s="38" t="s">
        <v>3040</v>
      </c>
      <c r="B331" s="36" t="s">
        <v>1106</v>
      </c>
      <c r="C331" s="37" t="s">
        <v>217</v>
      </c>
      <c r="D331" s="37">
        <v>5.0</v>
      </c>
      <c r="E331" s="39">
        <v>374.0</v>
      </c>
      <c r="F331" s="35"/>
      <c r="G331" s="35"/>
      <c r="H331" s="35"/>
      <c r="I331" s="35"/>
      <c r="J331" s="35"/>
      <c r="K331" s="35"/>
    </row>
    <row r="332">
      <c r="A332" s="38" t="s">
        <v>3041</v>
      </c>
      <c r="B332" s="36" t="s">
        <v>1108</v>
      </c>
      <c r="C332" s="37" t="s">
        <v>217</v>
      </c>
      <c r="D332" s="37">
        <v>5.0</v>
      </c>
      <c r="E332" s="39">
        <v>279.0</v>
      </c>
      <c r="F332" s="35"/>
      <c r="G332" s="35"/>
      <c r="H332" s="35"/>
      <c r="I332" s="35"/>
      <c r="J332" s="35"/>
      <c r="K332" s="35"/>
    </row>
    <row r="333">
      <c r="A333" s="38" t="s">
        <v>3042</v>
      </c>
      <c r="B333" s="36" t="s">
        <v>1110</v>
      </c>
      <c r="C333" s="37" t="s">
        <v>187</v>
      </c>
      <c r="D333" s="37">
        <v>9.0</v>
      </c>
      <c r="E333" s="39">
        <v>471.0</v>
      </c>
      <c r="F333" s="35"/>
      <c r="G333" s="35"/>
      <c r="H333" s="35"/>
      <c r="I333" s="35"/>
      <c r="J333" s="35"/>
      <c r="K333" s="35"/>
    </row>
    <row r="334">
      <c r="A334" s="36" t="s">
        <v>3043</v>
      </c>
      <c r="B334" s="36" t="s">
        <v>1113</v>
      </c>
      <c r="C334" s="37" t="s">
        <v>82</v>
      </c>
      <c r="D334" s="37">
        <v>10.0</v>
      </c>
      <c r="E334" s="37">
        <v>419.0</v>
      </c>
      <c r="F334" s="35"/>
      <c r="G334" s="35"/>
      <c r="H334" s="35"/>
      <c r="I334" s="35"/>
      <c r="J334" s="35"/>
      <c r="K334" s="35"/>
    </row>
    <row r="335">
      <c r="A335" s="38" t="s">
        <v>3044</v>
      </c>
      <c r="B335" s="36" t="s">
        <v>1116</v>
      </c>
      <c r="C335" s="37" t="s">
        <v>139</v>
      </c>
      <c r="D335" s="37">
        <v>8.0</v>
      </c>
      <c r="E335" s="39">
        <v>623.0</v>
      </c>
      <c r="F335" s="35"/>
      <c r="G335" s="35"/>
      <c r="H335" s="35"/>
      <c r="I335" s="35"/>
      <c r="J335" s="35"/>
      <c r="K335" s="35"/>
    </row>
    <row r="336">
      <c r="A336" s="38" t="s">
        <v>3045</v>
      </c>
      <c r="B336" s="36" t="s">
        <v>1119</v>
      </c>
      <c r="C336" s="37" t="s">
        <v>217</v>
      </c>
      <c r="D336" s="37">
        <v>5.0</v>
      </c>
      <c r="E336" s="39">
        <v>449.0</v>
      </c>
      <c r="F336" s="35"/>
      <c r="G336" s="35"/>
      <c r="H336" s="35"/>
      <c r="I336" s="35"/>
      <c r="J336" s="35"/>
      <c r="K336" s="35"/>
    </row>
    <row r="337">
      <c r="A337" s="36" t="s">
        <v>3046</v>
      </c>
      <c r="B337" s="36" t="s">
        <v>1122</v>
      </c>
      <c r="C337" s="37" t="s">
        <v>217</v>
      </c>
      <c r="D337" s="37">
        <v>5.0</v>
      </c>
      <c r="E337" s="37">
        <v>252.0</v>
      </c>
      <c r="F337" s="35"/>
      <c r="G337" s="35"/>
      <c r="H337" s="35"/>
      <c r="I337" s="35"/>
      <c r="J337" s="35"/>
      <c r="K337" s="35"/>
    </row>
    <row r="338">
      <c r="A338" s="38" t="s">
        <v>3047</v>
      </c>
      <c r="B338" s="36" t="s">
        <v>1125</v>
      </c>
      <c r="C338" s="37" t="s">
        <v>31</v>
      </c>
      <c r="D338" s="37">
        <v>5.0</v>
      </c>
      <c r="E338" s="39">
        <v>364.0</v>
      </c>
      <c r="F338" s="35"/>
      <c r="G338" s="35"/>
      <c r="H338" s="35"/>
      <c r="I338" s="35"/>
      <c r="J338" s="35"/>
      <c r="K338" s="35"/>
    </row>
    <row r="339">
      <c r="A339" s="38" t="s">
        <v>3048</v>
      </c>
      <c r="B339" s="36" t="s">
        <v>1128</v>
      </c>
      <c r="C339" s="37" t="s">
        <v>82</v>
      </c>
      <c r="D339" s="37">
        <v>10.0</v>
      </c>
      <c r="E339" s="39">
        <v>289.0</v>
      </c>
      <c r="F339" s="35"/>
      <c r="G339" s="35"/>
      <c r="H339" s="35"/>
      <c r="I339" s="35"/>
      <c r="J339" s="35"/>
      <c r="K339" s="35"/>
    </row>
    <row r="340">
      <c r="A340" s="38" t="s">
        <v>3049</v>
      </c>
      <c r="B340" s="36" t="s">
        <v>1131</v>
      </c>
      <c r="C340" s="37" t="s">
        <v>31</v>
      </c>
      <c r="D340" s="37">
        <v>5.0</v>
      </c>
      <c r="E340" s="39">
        <v>358.0</v>
      </c>
      <c r="F340" s="35"/>
      <c r="G340" s="35"/>
      <c r="H340" s="35"/>
      <c r="I340" s="35"/>
      <c r="J340" s="35"/>
      <c r="K340" s="35"/>
    </row>
    <row r="341">
      <c r="A341" s="36" t="s">
        <v>3050</v>
      </c>
      <c r="B341" s="36" t="s">
        <v>1134</v>
      </c>
      <c r="C341" s="37" t="s">
        <v>187</v>
      </c>
      <c r="D341" s="37">
        <v>9.0</v>
      </c>
      <c r="E341" s="37">
        <v>252.0</v>
      </c>
      <c r="F341" s="35"/>
      <c r="G341" s="35"/>
      <c r="H341" s="35"/>
      <c r="I341" s="35"/>
      <c r="J341" s="35"/>
      <c r="K341" s="35"/>
    </row>
    <row r="342">
      <c r="A342" s="38" t="s">
        <v>3051</v>
      </c>
      <c r="B342" s="36" t="s">
        <v>1137</v>
      </c>
      <c r="C342" s="37" t="s">
        <v>103</v>
      </c>
      <c r="D342" s="37">
        <v>4.0</v>
      </c>
      <c r="E342" s="39">
        <v>805.0</v>
      </c>
      <c r="F342" s="35"/>
      <c r="G342" s="35"/>
      <c r="H342" s="35"/>
      <c r="I342" s="35"/>
      <c r="J342" s="35"/>
      <c r="K342" s="35"/>
    </row>
    <row r="343">
      <c r="A343" s="38" t="s">
        <v>1141</v>
      </c>
      <c r="B343" s="36" t="s">
        <v>1140</v>
      </c>
      <c r="C343" s="37" t="s">
        <v>103</v>
      </c>
      <c r="D343" s="37">
        <v>4.0</v>
      </c>
      <c r="E343" s="39">
        <v>2072.0</v>
      </c>
      <c r="F343" s="35"/>
      <c r="G343" s="35"/>
      <c r="H343" s="35"/>
      <c r="I343" s="35"/>
      <c r="J343" s="35"/>
      <c r="K343" s="35"/>
    </row>
    <row r="344">
      <c r="A344" s="38" t="s">
        <v>3052</v>
      </c>
      <c r="B344" s="36" t="s">
        <v>1143</v>
      </c>
      <c r="C344" s="37" t="s">
        <v>187</v>
      </c>
      <c r="D344" s="37">
        <v>9.0</v>
      </c>
      <c r="E344" s="39">
        <v>1396.0</v>
      </c>
      <c r="F344" s="35"/>
      <c r="G344" s="35"/>
      <c r="H344" s="35"/>
      <c r="I344" s="35"/>
      <c r="J344" s="35"/>
      <c r="K344" s="35"/>
    </row>
    <row r="345">
      <c r="A345" s="38" t="s">
        <v>3053</v>
      </c>
      <c r="B345" s="36" t="s">
        <v>1146</v>
      </c>
      <c r="C345" s="37" t="s">
        <v>42</v>
      </c>
      <c r="D345" s="37">
        <v>7.0</v>
      </c>
      <c r="E345" s="39">
        <v>601.0</v>
      </c>
      <c r="F345" s="35"/>
      <c r="G345" s="35"/>
      <c r="H345" s="35"/>
      <c r="I345" s="35"/>
      <c r="J345" s="35"/>
      <c r="K345" s="35"/>
    </row>
    <row r="346">
      <c r="A346" s="38" t="s">
        <v>3054</v>
      </c>
      <c r="B346" s="36" t="s">
        <v>1149</v>
      </c>
      <c r="C346" s="37" t="s">
        <v>232</v>
      </c>
      <c r="D346" s="37">
        <v>3.0</v>
      </c>
      <c r="E346" s="39">
        <v>822.0</v>
      </c>
      <c r="F346" s="35"/>
      <c r="G346" s="35"/>
      <c r="H346" s="35"/>
      <c r="I346" s="35"/>
      <c r="J346" s="35"/>
      <c r="K346" s="35"/>
    </row>
    <row r="347">
      <c r="A347" s="36" t="s">
        <v>3055</v>
      </c>
      <c r="B347" s="36" t="s">
        <v>1152</v>
      </c>
      <c r="C347" s="37" t="s">
        <v>217</v>
      </c>
      <c r="D347" s="37">
        <v>5.0</v>
      </c>
      <c r="E347" s="37">
        <v>321.0</v>
      </c>
      <c r="F347" s="35"/>
      <c r="G347" s="35"/>
      <c r="H347" s="35"/>
      <c r="I347" s="35"/>
      <c r="J347" s="35"/>
      <c r="K347" s="35"/>
    </row>
    <row r="348">
      <c r="A348" s="36" t="s">
        <v>3056</v>
      </c>
      <c r="B348" s="36" t="s">
        <v>1155</v>
      </c>
      <c r="C348" s="37" t="s">
        <v>222</v>
      </c>
      <c r="D348" s="37">
        <v>1.0</v>
      </c>
      <c r="E348" s="37">
        <v>1138.0</v>
      </c>
      <c r="F348" s="35"/>
      <c r="G348" s="35"/>
      <c r="H348" s="35"/>
      <c r="I348" s="35"/>
      <c r="J348" s="35"/>
      <c r="K348" s="35"/>
    </row>
    <row r="349">
      <c r="A349" s="36" t="s">
        <v>3057</v>
      </c>
      <c r="B349" s="36" t="s">
        <v>1160</v>
      </c>
      <c r="C349" s="37" t="s">
        <v>47</v>
      </c>
      <c r="D349" s="37">
        <v>3.0</v>
      </c>
      <c r="E349" s="37">
        <v>622.0</v>
      </c>
      <c r="F349" s="35"/>
      <c r="G349" s="35"/>
      <c r="H349" s="35"/>
      <c r="I349" s="35"/>
      <c r="J349" s="35"/>
      <c r="K349" s="35"/>
    </row>
    <row r="350">
      <c r="A350" s="38" t="s">
        <v>3058</v>
      </c>
      <c r="B350" s="36" t="s">
        <v>1163</v>
      </c>
      <c r="C350" s="37" t="s">
        <v>31</v>
      </c>
      <c r="D350" s="37">
        <v>5.0</v>
      </c>
      <c r="E350" s="39">
        <v>303.0</v>
      </c>
      <c r="F350" s="35"/>
      <c r="G350" s="35"/>
      <c r="H350" s="35"/>
      <c r="I350" s="35"/>
      <c r="J350" s="35"/>
      <c r="K350" s="35"/>
    </row>
    <row r="351">
      <c r="A351" s="36" t="s">
        <v>3059</v>
      </c>
      <c r="B351" s="36" t="s">
        <v>1166</v>
      </c>
      <c r="C351" s="37" t="s">
        <v>232</v>
      </c>
      <c r="D351" s="37">
        <v>3.0</v>
      </c>
      <c r="E351" s="37">
        <v>304.0</v>
      </c>
      <c r="F351" s="35"/>
      <c r="G351" s="35"/>
      <c r="H351" s="35"/>
      <c r="I351" s="35"/>
      <c r="J351" s="35"/>
      <c r="K351" s="35"/>
    </row>
    <row r="352">
      <c r="A352" s="36" t="s">
        <v>3060</v>
      </c>
      <c r="B352" s="36" t="s">
        <v>1169</v>
      </c>
      <c r="C352" s="37" t="s">
        <v>462</v>
      </c>
      <c r="D352" s="37">
        <v>6.0</v>
      </c>
      <c r="E352" s="37">
        <v>155.0</v>
      </c>
      <c r="F352" s="35"/>
      <c r="G352" s="35"/>
      <c r="H352" s="35"/>
      <c r="I352" s="35"/>
      <c r="J352" s="35"/>
      <c r="K352" s="35"/>
    </row>
    <row r="353">
      <c r="A353" s="38" t="s">
        <v>3061</v>
      </c>
      <c r="B353" s="36" t="s">
        <v>1172</v>
      </c>
      <c r="C353" s="37" t="s">
        <v>222</v>
      </c>
      <c r="D353" s="37">
        <v>1.0</v>
      </c>
      <c r="E353" s="39">
        <v>1048.0</v>
      </c>
      <c r="F353" s="35"/>
      <c r="G353" s="35"/>
      <c r="H353" s="35"/>
      <c r="I353" s="35"/>
      <c r="J353" s="35"/>
      <c r="K353" s="35"/>
    </row>
    <row r="354">
      <c r="A354" s="36" t="s">
        <v>3062</v>
      </c>
      <c r="B354" s="36" t="s">
        <v>1175</v>
      </c>
      <c r="C354" s="37" t="s">
        <v>42</v>
      </c>
      <c r="D354" s="37">
        <v>7.0</v>
      </c>
      <c r="E354" s="37">
        <v>252.0</v>
      </c>
      <c r="F354" s="35"/>
      <c r="G354" s="35"/>
      <c r="H354" s="35"/>
      <c r="I354" s="35"/>
      <c r="J354" s="35"/>
      <c r="K354" s="35"/>
    </row>
    <row r="355">
      <c r="A355" s="36" t="s">
        <v>3063</v>
      </c>
      <c r="B355" s="36" t="s">
        <v>1178</v>
      </c>
      <c r="C355" s="37" t="s">
        <v>121</v>
      </c>
      <c r="D355" s="37">
        <v>10.0</v>
      </c>
      <c r="E355" s="37">
        <v>174.0</v>
      </c>
      <c r="F355" s="35"/>
      <c r="G355" s="35"/>
      <c r="H355" s="35"/>
      <c r="I355" s="35"/>
      <c r="J355" s="35"/>
      <c r="K355" s="35"/>
    </row>
    <row r="356">
      <c r="A356" s="38" t="s">
        <v>3064</v>
      </c>
      <c r="B356" s="36" t="s">
        <v>1181</v>
      </c>
      <c r="C356" s="37" t="s">
        <v>462</v>
      </c>
      <c r="D356" s="37">
        <v>6.0</v>
      </c>
      <c r="E356" s="39">
        <v>247.0</v>
      </c>
      <c r="F356" s="35"/>
      <c r="G356" s="35"/>
      <c r="H356" s="35"/>
      <c r="I356" s="35"/>
      <c r="J356" s="35"/>
      <c r="K356" s="35"/>
    </row>
    <row r="357">
      <c r="A357" s="36" t="s">
        <v>1185</v>
      </c>
      <c r="B357" s="36" t="s">
        <v>1184</v>
      </c>
      <c r="C357" s="37" t="s">
        <v>217</v>
      </c>
      <c r="D357" s="37">
        <v>5.0</v>
      </c>
      <c r="E357" s="37">
        <v>67.0</v>
      </c>
      <c r="F357" s="35"/>
      <c r="G357" s="35"/>
      <c r="H357" s="35"/>
      <c r="I357" s="35"/>
      <c r="J357" s="35"/>
      <c r="K357" s="35"/>
    </row>
    <row r="358">
      <c r="A358" s="36" t="s">
        <v>3065</v>
      </c>
      <c r="B358" s="36" t="s">
        <v>1187</v>
      </c>
      <c r="C358" s="37" t="s">
        <v>82</v>
      </c>
      <c r="D358" s="37">
        <v>10.0</v>
      </c>
      <c r="E358" s="37">
        <v>315.0</v>
      </c>
      <c r="F358" s="35"/>
      <c r="G358" s="35"/>
      <c r="H358" s="35"/>
      <c r="I358" s="35"/>
      <c r="J358" s="35"/>
      <c r="K358" s="35"/>
    </row>
    <row r="359">
      <c r="A359" s="36" t="s">
        <v>3066</v>
      </c>
      <c r="B359" s="36" t="s">
        <v>1190</v>
      </c>
      <c r="C359" s="37" t="s">
        <v>232</v>
      </c>
      <c r="D359" s="37">
        <v>3.0</v>
      </c>
      <c r="E359" s="37">
        <v>697.0</v>
      </c>
      <c r="F359" s="35"/>
      <c r="G359" s="35"/>
      <c r="H359" s="35"/>
      <c r="I359" s="35"/>
      <c r="J359" s="35"/>
      <c r="K359" s="35"/>
    </row>
    <row r="360">
      <c r="A360" s="36" t="s">
        <v>3067</v>
      </c>
      <c r="B360" s="36" t="s">
        <v>1193</v>
      </c>
      <c r="C360" s="37" t="s">
        <v>26</v>
      </c>
      <c r="D360" s="37">
        <v>8.0</v>
      </c>
      <c r="E360" s="37">
        <v>999.0</v>
      </c>
      <c r="F360" s="35"/>
      <c r="G360" s="35"/>
      <c r="H360" s="35"/>
      <c r="I360" s="35"/>
      <c r="J360" s="35"/>
      <c r="K360" s="35"/>
    </row>
    <row r="361">
      <c r="A361" s="38" t="s">
        <v>3068</v>
      </c>
      <c r="B361" s="36" t="s">
        <v>1196</v>
      </c>
      <c r="C361" s="37" t="s">
        <v>82</v>
      </c>
      <c r="D361" s="37">
        <v>10.0</v>
      </c>
      <c r="E361" s="39">
        <v>641.0</v>
      </c>
      <c r="F361" s="35"/>
      <c r="G361" s="35"/>
      <c r="H361" s="35"/>
      <c r="I361" s="35"/>
      <c r="J361" s="35"/>
      <c r="K361" s="35"/>
    </row>
    <row r="362">
      <c r="A362" s="36" t="s">
        <v>3069</v>
      </c>
      <c r="B362" s="36" t="s">
        <v>1199</v>
      </c>
      <c r="C362" s="37" t="s">
        <v>217</v>
      </c>
      <c r="D362" s="37">
        <v>5.0</v>
      </c>
      <c r="E362" s="37">
        <v>189.0</v>
      </c>
      <c r="F362" s="35"/>
      <c r="G362" s="35"/>
      <c r="H362" s="35"/>
      <c r="I362" s="35"/>
      <c r="J362" s="35"/>
      <c r="K362" s="35"/>
    </row>
    <row r="363">
      <c r="A363" s="36" t="s">
        <v>3070</v>
      </c>
      <c r="B363" s="36" t="s">
        <v>1202</v>
      </c>
      <c r="C363" s="37" t="s">
        <v>217</v>
      </c>
      <c r="D363" s="37">
        <v>5.0</v>
      </c>
      <c r="E363" s="37">
        <v>216.0</v>
      </c>
      <c r="F363" s="35"/>
      <c r="G363" s="35"/>
      <c r="H363" s="35"/>
      <c r="I363" s="35"/>
      <c r="J363" s="35"/>
      <c r="K363" s="35"/>
    </row>
    <row r="364">
      <c r="A364" s="38" t="s">
        <v>3071</v>
      </c>
      <c r="B364" s="36" t="s">
        <v>1205</v>
      </c>
      <c r="C364" s="37" t="s">
        <v>36</v>
      </c>
      <c r="D364" s="37">
        <v>2.0</v>
      </c>
      <c r="E364" s="39">
        <v>1654.0</v>
      </c>
      <c r="F364" s="35"/>
      <c r="G364" s="35"/>
      <c r="H364" s="35"/>
      <c r="I364" s="35"/>
      <c r="J364" s="35"/>
      <c r="K364" s="35"/>
    </row>
    <row r="365">
      <c r="A365" s="38" t="s">
        <v>3072</v>
      </c>
      <c r="B365" s="36" t="s">
        <v>1208</v>
      </c>
      <c r="C365" s="37" t="s">
        <v>103</v>
      </c>
      <c r="D365" s="37">
        <v>4.0</v>
      </c>
      <c r="E365" s="39">
        <v>665.0</v>
      </c>
      <c r="F365" s="35"/>
      <c r="G365" s="35"/>
      <c r="H365" s="35"/>
      <c r="I365" s="35"/>
      <c r="J365" s="35"/>
      <c r="K365" s="35"/>
    </row>
    <row r="366">
      <c r="A366" s="36" t="s">
        <v>3073</v>
      </c>
      <c r="B366" s="36" t="s">
        <v>1211</v>
      </c>
      <c r="C366" s="37" t="s">
        <v>187</v>
      </c>
      <c r="D366" s="37">
        <v>9.0</v>
      </c>
      <c r="E366" s="37">
        <v>238.0</v>
      </c>
      <c r="F366" s="35"/>
      <c r="G366" s="35"/>
      <c r="H366" s="35"/>
      <c r="I366" s="35"/>
      <c r="J366" s="35"/>
      <c r="K366" s="35"/>
    </row>
    <row r="367">
      <c r="A367" s="38" t="s">
        <v>3074</v>
      </c>
      <c r="B367" s="36" t="s">
        <v>1214</v>
      </c>
      <c r="C367" s="37" t="s">
        <v>232</v>
      </c>
      <c r="D367" s="37">
        <v>3.0</v>
      </c>
      <c r="E367" s="39">
        <v>570.0</v>
      </c>
      <c r="F367" s="35"/>
      <c r="G367" s="35"/>
      <c r="H367" s="35"/>
      <c r="I367" s="35"/>
      <c r="J367" s="35"/>
      <c r="K367" s="35"/>
    </row>
    <row r="368">
      <c r="A368" s="36" t="s">
        <v>3075</v>
      </c>
      <c r="B368" s="36" t="s">
        <v>2421</v>
      </c>
      <c r="C368" s="37" t="e">
        <v>#N/A</v>
      </c>
      <c r="D368" s="37" t="s">
        <v>2783</v>
      </c>
      <c r="E368" s="37">
        <v>294.0</v>
      </c>
      <c r="F368" s="35"/>
      <c r="G368" s="35"/>
      <c r="H368" s="35"/>
      <c r="I368" s="35"/>
      <c r="J368" s="35"/>
      <c r="K368" s="35"/>
    </row>
    <row r="369">
      <c r="A369" s="36" t="s">
        <v>3076</v>
      </c>
      <c r="B369" s="36" t="s">
        <v>1217</v>
      </c>
      <c r="C369" s="37" t="s">
        <v>42</v>
      </c>
      <c r="D369" s="37">
        <v>7.0</v>
      </c>
      <c r="E369" s="37">
        <v>436.0</v>
      </c>
      <c r="F369" s="35"/>
      <c r="G369" s="35"/>
      <c r="H369" s="35"/>
      <c r="I369" s="35"/>
      <c r="J369" s="35"/>
      <c r="K369" s="35"/>
    </row>
    <row r="370">
      <c r="A370" s="38" t="s">
        <v>3077</v>
      </c>
      <c r="B370" s="36" t="s">
        <v>1220</v>
      </c>
      <c r="C370" s="37" t="s">
        <v>243</v>
      </c>
      <c r="D370" s="37">
        <v>4.0</v>
      </c>
      <c r="E370" s="39">
        <v>297.0</v>
      </c>
      <c r="F370" s="35"/>
      <c r="G370" s="35"/>
      <c r="H370" s="35"/>
      <c r="I370" s="35"/>
      <c r="J370" s="35"/>
      <c r="K370" s="35"/>
    </row>
    <row r="371">
      <c r="A371" s="36" t="s">
        <v>3078</v>
      </c>
      <c r="B371" s="36" t="s">
        <v>1223</v>
      </c>
      <c r="C371" s="37" t="s">
        <v>82</v>
      </c>
      <c r="D371" s="37">
        <v>10.0</v>
      </c>
      <c r="E371" s="37">
        <v>210.0</v>
      </c>
      <c r="F371" s="35"/>
      <c r="G371" s="35"/>
      <c r="H371" s="35"/>
      <c r="I371" s="35"/>
      <c r="J371" s="35"/>
      <c r="K371" s="35"/>
    </row>
    <row r="372">
      <c r="A372" s="36" t="s">
        <v>3079</v>
      </c>
      <c r="B372" s="36" t="s">
        <v>1226</v>
      </c>
      <c r="C372" s="37" t="s">
        <v>82</v>
      </c>
      <c r="D372" s="37">
        <v>10.0</v>
      </c>
      <c r="E372" s="37">
        <v>115.0</v>
      </c>
      <c r="F372" s="35"/>
      <c r="G372" s="35"/>
      <c r="H372" s="35"/>
      <c r="I372" s="35"/>
      <c r="J372" s="35"/>
      <c r="K372" s="35"/>
    </row>
    <row r="373">
      <c r="A373" s="38" t="s">
        <v>3080</v>
      </c>
      <c r="B373" s="36" t="s">
        <v>1229</v>
      </c>
      <c r="C373" s="37" t="s">
        <v>139</v>
      </c>
      <c r="D373" s="37">
        <v>8.0</v>
      </c>
      <c r="E373" s="39">
        <v>613.0</v>
      </c>
      <c r="F373" s="35"/>
      <c r="G373" s="35"/>
      <c r="H373" s="35"/>
      <c r="I373" s="35"/>
      <c r="J373" s="35"/>
      <c r="K373" s="35"/>
    </row>
    <row r="374">
      <c r="A374" s="36" t="s">
        <v>3081</v>
      </c>
      <c r="B374" s="36" t="s">
        <v>1232</v>
      </c>
      <c r="C374" s="37" t="s">
        <v>31</v>
      </c>
      <c r="D374" s="37">
        <v>5.0</v>
      </c>
      <c r="E374" s="37">
        <v>348.0</v>
      </c>
      <c r="F374" s="35"/>
      <c r="G374" s="35"/>
      <c r="H374" s="35"/>
      <c r="I374" s="35"/>
      <c r="J374" s="35"/>
      <c r="K374" s="35"/>
    </row>
    <row r="375">
      <c r="A375" s="36" t="s">
        <v>3082</v>
      </c>
      <c r="B375" s="36" t="s">
        <v>1235</v>
      </c>
      <c r="C375" s="37" t="s">
        <v>87</v>
      </c>
      <c r="D375" s="37">
        <v>2.0</v>
      </c>
      <c r="E375" s="37">
        <v>653.0</v>
      </c>
      <c r="F375" s="35"/>
      <c r="G375" s="35"/>
      <c r="H375" s="35"/>
      <c r="I375" s="35"/>
      <c r="J375" s="35"/>
      <c r="K375" s="35"/>
    </row>
    <row r="376">
      <c r="A376" s="38" t="s">
        <v>3083</v>
      </c>
      <c r="B376" s="36" t="s">
        <v>1238</v>
      </c>
      <c r="C376" s="37" t="s">
        <v>217</v>
      </c>
      <c r="D376" s="37">
        <v>5.0</v>
      </c>
      <c r="E376" s="39">
        <v>267.0</v>
      </c>
      <c r="F376" s="35"/>
      <c r="G376" s="35"/>
      <c r="H376" s="35"/>
      <c r="I376" s="35"/>
      <c r="J376" s="35"/>
      <c r="K376" s="35"/>
    </row>
    <row r="377">
      <c r="A377" s="38" t="s">
        <v>3084</v>
      </c>
      <c r="B377" s="36" t="s">
        <v>1241</v>
      </c>
      <c r="C377" s="37" t="s">
        <v>178</v>
      </c>
      <c r="D377" s="37">
        <v>9.0</v>
      </c>
      <c r="E377" s="39">
        <v>328.0</v>
      </c>
      <c r="F377" s="35"/>
      <c r="G377" s="35"/>
      <c r="H377" s="35"/>
      <c r="I377" s="35"/>
      <c r="J377" s="35"/>
      <c r="K377" s="35"/>
    </row>
    <row r="378">
      <c r="A378" s="36" t="s">
        <v>3085</v>
      </c>
      <c r="B378" s="36" t="s">
        <v>1247</v>
      </c>
      <c r="C378" s="37" t="s">
        <v>82</v>
      </c>
      <c r="D378" s="37">
        <v>10.0</v>
      </c>
      <c r="E378" s="37">
        <v>461.0</v>
      </c>
      <c r="F378" s="35"/>
      <c r="G378" s="35"/>
      <c r="H378" s="35"/>
      <c r="I378" s="35"/>
      <c r="J378" s="35"/>
      <c r="K378" s="35"/>
    </row>
    <row r="379">
      <c r="A379" s="36" t="s">
        <v>3086</v>
      </c>
      <c r="B379" s="36" t="s">
        <v>1250</v>
      </c>
      <c r="C379" s="37" t="s">
        <v>31</v>
      </c>
      <c r="D379" s="37">
        <v>5.0</v>
      </c>
      <c r="E379" s="37">
        <v>382.0</v>
      </c>
      <c r="F379" s="35"/>
      <c r="G379" s="35"/>
      <c r="H379" s="35"/>
      <c r="I379" s="35"/>
      <c r="J379" s="35"/>
      <c r="K379" s="35"/>
    </row>
    <row r="380">
      <c r="A380" s="38" t="s">
        <v>3087</v>
      </c>
      <c r="B380" s="36" t="s">
        <v>1253</v>
      </c>
      <c r="C380" s="37" t="s">
        <v>204</v>
      </c>
      <c r="D380" s="37">
        <v>6.0</v>
      </c>
      <c r="E380" s="39">
        <v>262.0</v>
      </c>
      <c r="F380" s="35"/>
      <c r="G380" s="35"/>
      <c r="H380" s="35"/>
      <c r="I380" s="35"/>
      <c r="J380" s="35"/>
      <c r="K380" s="35"/>
    </row>
    <row r="381">
      <c r="A381" s="36" t="s">
        <v>3088</v>
      </c>
      <c r="B381" s="36" t="s">
        <v>2435</v>
      </c>
      <c r="C381" s="37" t="e">
        <v>#N/A</v>
      </c>
      <c r="D381" s="37" t="s">
        <v>2783</v>
      </c>
      <c r="E381" s="37">
        <v>649.0</v>
      </c>
      <c r="F381" s="35"/>
      <c r="G381" s="35"/>
      <c r="H381" s="35"/>
      <c r="I381" s="35"/>
      <c r="J381" s="35"/>
      <c r="K381" s="35"/>
    </row>
    <row r="382">
      <c r="A382" s="38" t="s">
        <v>3089</v>
      </c>
      <c r="B382" s="36" t="s">
        <v>1259</v>
      </c>
      <c r="C382" s="37" t="s">
        <v>187</v>
      </c>
      <c r="D382" s="37">
        <v>9.0</v>
      </c>
      <c r="E382" s="39">
        <v>330.0</v>
      </c>
      <c r="F382" s="35"/>
      <c r="G382" s="35"/>
      <c r="H382" s="35"/>
      <c r="I382" s="35"/>
      <c r="J382" s="35"/>
      <c r="K382" s="35"/>
    </row>
    <row r="383">
      <c r="A383" s="38" t="s">
        <v>3090</v>
      </c>
      <c r="B383" s="36" t="s">
        <v>1262</v>
      </c>
      <c r="C383" s="37" t="s">
        <v>232</v>
      </c>
      <c r="D383" s="37">
        <v>3.0</v>
      </c>
      <c r="E383" s="39">
        <v>431.0</v>
      </c>
      <c r="F383" s="35"/>
      <c r="G383" s="35"/>
      <c r="H383" s="35"/>
      <c r="I383" s="35"/>
      <c r="J383" s="35"/>
      <c r="K383" s="35"/>
    </row>
    <row r="384">
      <c r="A384" s="36" t="s">
        <v>1266</v>
      </c>
      <c r="B384" s="36" t="s">
        <v>1265</v>
      </c>
      <c r="C384" s="37" t="s">
        <v>178</v>
      </c>
      <c r="D384" s="37">
        <v>9.0</v>
      </c>
      <c r="E384" s="37">
        <v>1091.0</v>
      </c>
      <c r="F384" s="35"/>
      <c r="G384" s="35"/>
      <c r="H384" s="35"/>
      <c r="I384" s="35"/>
      <c r="J384" s="35"/>
      <c r="K384" s="35"/>
    </row>
    <row r="385">
      <c r="A385" s="36" t="s">
        <v>3091</v>
      </c>
      <c r="B385" s="36" t="s">
        <v>1268</v>
      </c>
      <c r="C385" s="37" t="s">
        <v>26</v>
      </c>
      <c r="D385" s="37">
        <v>8.0</v>
      </c>
      <c r="E385" s="37">
        <v>506.0</v>
      </c>
      <c r="F385" s="35"/>
      <c r="G385" s="35"/>
      <c r="H385" s="35"/>
      <c r="I385" s="35"/>
      <c r="J385" s="35"/>
      <c r="K385" s="35"/>
    </row>
    <row r="386">
      <c r="A386" s="38" t="s">
        <v>3092</v>
      </c>
      <c r="B386" s="36" t="s">
        <v>1271</v>
      </c>
      <c r="C386" s="37" t="s">
        <v>217</v>
      </c>
      <c r="D386" s="37">
        <v>5.0</v>
      </c>
      <c r="E386" s="39">
        <v>180.0</v>
      </c>
      <c r="F386" s="35"/>
      <c r="G386" s="35"/>
      <c r="H386" s="35"/>
      <c r="I386" s="35"/>
      <c r="J386" s="35"/>
      <c r="K386" s="35"/>
    </row>
    <row r="387">
      <c r="A387" s="38" t="s">
        <v>3093</v>
      </c>
      <c r="B387" s="36" t="s">
        <v>1277</v>
      </c>
      <c r="C387" s="37" t="s">
        <v>178</v>
      </c>
      <c r="D387" s="37">
        <v>9.0</v>
      </c>
      <c r="E387" s="39">
        <v>1156.0</v>
      </c>
      <c r="F387" s="35"/>
      <c r="G387" s="35"/>
      <c r="H387" s="35"/>
      <c r="I387" s="35"/>
      <c r="J387" s="35"/>
      <c r="K387" s="35"/>
    </row>
    <row r="388">
      <c r="A388" s="36" t="s">
        <v>3094</v>
      </c>
      <c r="B388" s="36" t="s">
        <v>1280</v>
      </c>
      <c r="C388" s="37" t="s">
        <v>178</v>
      </c>
      <c r="D388" s="37">
        <v>9.0</v>
      </c>
      <c r="E388" s="37">
        <v>229.0</v>
      </c>
      <c r="F388" s="35"/>
      <c r="G388" s="35"/>
      <c r="H388" s="35"/>
      <c r="I388" s="35"/>
      <c r="J388" s="35"/>
      <c r="K388" s="35"/>
    </row>
    <row r="389">
      <c r="A389" s="36" t="s">
        <v>1284</v>
      </c>
      <c r="B389" s="36" t="s">
        <v>1283</v>
      </c>
      <c r="C389" s="37" t="s">
        <v>31</v>
      </c>
      <c r="D389" s="37">
        <v>5.0</v>
      </c>
      <c r="E389" s="37">
        <v>770.0</v>
      </c>
      <c r="F389" s="35"/>
      <c r="G389" s="35"/>
      <c r="H389" s="35"/>
      <c r="I389" s="35"/>
      <c r="J389" s="35"/>
      <c r="K389" s="35"/>
    </row>
    <row r="390">
      <c r="A390" s="38" t="s">
        <v>3095</v>
      </c>
      <c r="B390" s="36" t="s">
        <v>1286</v>
      </c>
      <c r="C390" s="37" t="s">
        <v>232</v>
      </c>
      <c r="D390" s="37">
        <v>3.0</v>
      </c>
      <c r="E390" s="39">
        <v>482.0</v>
      </c>
      <c r="F390" s="35"/>
      <c r="G390" s="35"/>
      <c r="H390" s="35"/>
      <c r="I390" s="35"/>
      <c r="J390" s="35"/>
      <c r="K390" s="35"/>
    </row>
    <row r="391">
      <c r="A391" s="36" t="s">
        <v>1290</v>
      </c>
      <c r="B391" s="36" t="s">
        <v>2446</v>
      </c>
      <c r="C391" s="37" t="e">
        <v>#N/A</v>
      </c>
      <c r="D391" s="37" t="s">
        <v>2783</v>
      </c>
      <c r="E391" s="37">
        <v>258.0</v>
      </c>
      <c r="F391" s="35"/>
      <c r="G391" s="35"/>
      <c r="H391" s="35"/>
      <c r="I391" s="35"/>
      <c r="J391" s="35"/>
      <c r="K391" s="35"/>
    </row>
    <row r="392">
      <c r="A392" s="36" t="s">
        <v>3096</v>
      </c>
      <c r="B392" s="36" t="s">
        <v>1291</v>
      </c>
      <c r="C392" s="37" t="s">
        <v>47</v>
      </c>
      <c r="D392" s="37">
        <v>3.0</v>
      </c>
      <c r="E392" s="37">
        <v>496.0</v>
      </c>
      <c r="F392" s="35"/>
      <c r="G392" s="35"/>
      <c r="H392" s="35"/>
      <c r="I392" s="35"/>
      <c r="J392" s="35"/>
      <c r="K392" s="35"/>
    </row>
    <row r="393">
      <c r="A393" s="38" t="s">
        <v>3097</v>
      </c>
      <c r="B393" s="36" t="s">
        <v>1294</v>
      </c>
      <c r="C393" s="37" t="s">
        <v>121</v>
      </c>
      <c r="D393" s="37">
        <v>10.0</v>
      </c>
      <c r="E393" s="39">
        <v>445.0</v>
      </c>
      <c r="F393" s="35"/>
      <c r="G393" s="35"/>
      <c r="H393" s="35"/>
      <c r="I393" s="35"/>
      <c r="J393" s="35"/>
      <c r="K393" s="35"/>
    </row>
    <row r="394">
      <c r="A394" s="36" t="s">
        <v>3098</v>
      </c>
      <c r="B394" s="36" t="s">
        <v>1297</v>
      </c>
      <c r="C394" s="37" t="s">
        <v>26</v>
      </c>
      <c r="D394" s="37">
        <v>8.0</v>
      </c>
      <c r="E394" s="37">
        <v>415.0</v>
      </c>
      <c r="F394" s="35"/>
      <c r="G394" s="35"/>
      <c r="H394" s="35"/>
      <c r="I394" s="35"/>
      <c r="J394" s="35"/>
      <c r="K394" s="35"/>
    </row>
    <row r="395">
      <c r="A395" s="38" t="s">
        <v>3099</v>
      </c>
      <c r="B395" s="36" t="s">
        <v>1300</v>
      </c>
      <c r="C395" s="37" t="s">
        <v>31</v>
      </c>
      <c r="D395" s="37">
        <v>5.0</v>
      </c>
      <c r="E395" s="39">
        <v>231.0</v>
      </c>
      <c r="F395" s="35"/>
      <c r="G395" s="35"/>
      <c r="H395" s="35"/>
      <c r="I395" s="35"/>
      <c r="J395" s="35"/>
      <c r="K395" s="35"/>
    </row>
    <row r="396">
      <c r="A396" s="38" t="s">
        <v>3100</v>
      </c>
      <c r="B396" s="36" t="s">
        <v>1303</v>
      </c>
      <c r="C396" s="37" t="s">
        <v>26</v>
      </c>
      <c r="D396" s="37">
        <v>8.0</v>
      </c>
      <c r="E396" s="39">
        <v>751.0</v>
      </c>
      <c r="F396" s="35"/>
      <c r="G396" s="35"/>
      <c r="H396" s="35"/>
      <c r="I396" s="35"/>
      <c r="J396" s="35"/>
      <c r="K396" s="35"/>
    </row>
    <row r="397">
      <c r="A397" s="36" t="s">
        <v>3101</v>
      </c>
      <c r="B397" s="36" t="s">
        <v>1306</v>
      </c>
      <c r="C397" s="37" t="s">
        <v>82</v>
      </c>
      <c r="D397" s="37">
        <v>10.0</v>
      </c>
      <c r="E397" s="37">
        <v>250.0</v>
      </c>
      <c r="F397" s="35"/>
      <c r="G397" s="35"/>
      <c r="H397" s="35"/>
      <c r="I397" s="35"/>
      <c r="J397" s="35"/>
      <c r="K397" s="35"/>
    </row>
    <row r="398">
      <c r="A398" s="36" t="s">
        <v>3102</v>
      </c>
      <c r="B398" s="36" t="s">
        <v>1309</v>
      </c>
      <c r="C398" s="37" t="s">
        <v>243</v>
      </c>
      <c r="D398" s="37">
        <v>4.0</v>
      </c>
      <c r="E398" s="37">
        <v>616.0</v>
      </c>
      <c r="F398" s="35"/>
      <c r="G398" s="35"/>
      <c r="H398" s="35"/>
      <c r="I398" s="35"/>
      <c r="J398" s="35"/>
      <c r="K398" s="35"/>
    </row>
    <row r="399">
      <c r="A399" s="38" t="s">
        <v>3103</v>
      </c>
      <c r="B399" s="36" t="s">
        <v>1312</v>
      </c>
      <c r="C399" s="37" t="s">
        <v>36</v>
      </c>
      <c r="D399" s="37">
        <v>2.0</v>
      </c>
      <c r="E399" s="39">
        <v>511.0</v>
      </c>
      <c r="F399" s="35"/>
      <c r="G399" s="35"/>
      <c r="H399" s="35"/>
      <c r="I399" s="35"/>
      <c r="J399" s="35"/>
      <c r="K399" s="35"/>
    </row>
    <row r="400">
      <c r="A400" s="36" t="s">
        <v>3104</v>
      </c>
      <c r="B400" s="36" t="s">
        <v>1315</v>
      </c>
      <c r="C400" s="37" t="s">
        <v>82</v>
      </c>
      <c r="D400" s="37">
        <v>10.0</v>
      </c>
      <c r="E400" s="37">
        <v>383.0</v>
      </c>
      <c r="F400" s="35"/>
      <c r="G400" s="35"/>
      <c r="H400" s="35"/>
      <c r="I400" s="35"/>
      <c r="J400" s="35"/>
      <c r="K400" s="35"/>
    </row>
    <row r="401">
      <c r="A401" s="38" t="s">
        <v>3105</v>
      </c>
      <c r="B401" s="36" t="s">
        <v>1318</v>
      </c>
      <c r="C401" s="37" t="s">
        <v>103</v>
      </c>
      <c r="D401" s="37">
        <v>4.0</v>
      </c>
      <c r="E401" s="39">
        <v>363.0</v>
      </c>
      <c r="F401" s="35"/>
      <c r="G401" s="35"/>
      <c r="H401" s="35"/>
      <c r="I401" s="35"/>
      <c r="J401" s="35"/>
      <c r="K401" s="35"/>
    </row>
    <row r="402">
      <c r="A402" s="36" t="s">
        <v>3106</v>
      </c>
      <c r="B402" s="36" t="s">
        <v>1321</v>
      </c>
      <c r="C402" s="37" t="s">
        <v>187</v>
      </c>
      <c r="D402" s="37">
        <v>9.0</v>
      </c>
      <c r="E402" s="37">
        <v>429.0</v>
      </c>
      <c r="F402" s="35"/>
      <c r="G402" s="35"/>
      <c r="H402" s="35"/>
      <c r="I402" s="35"/>
      <c r="J402" s="35"/>
      <c r="K402" s="35"/>
    </row>
    <row r="403">
      <c r="A403" s="38" t="s">
        <v>3107</v>
      </c>
      <c r="B403" s="36" t="s">
        <v>1324</v>
      </c>
      <c r="C403" s="37" t="s">
        <v>21</v>
      </c>
      <c r="D403" s="37">
        <v>7.0</v>
      </c>
      <c r="E403" s="39">
        <v>963.0</v>
      </c>
      <c r="F403" s="35"/>
      <c r="G403" s="35"/>
      <c r="H403" s="35"/>
      <c r="I403" s="35"/>
      <c r="J403" s="35"/>
      <c r="K403" s="35"/>
    </row>
    <row r="404">
      <c r="A404" s="38" t="s">
        <v>3108</v>
      </c>
      <c r="B404" s="36" t="s">
        <v>1327</v>
      </c>
      <c r="C404" s="37" t="s">
        <v>82</v>
      </c>
      <c r="D404" s="37">
        <v>10.0</v>
      </c>
      <c r="E404" s="39">
        <v>290.0</v>
      </c>
      <c r="F404" s="35"/>
      <c r="G404" s="35"/>
      <c r="H404" s="35"/>
      <c r="I404" s="35"/>
      <c r="J404" s="35"/>
      <c r="K404" s="35"/>
    </row>
    <row r="405">
      <c r="A405" s="36" t="s">
        <v>3109</v>
      </c>
      <c r="B405" s="36" t="s">
        <v>1330</v>
      </c>
      <c r="C405" s="37" t="s">
        <v>232</v>
      </c>
      <c r="D405" s="37">
        <v>3.0</v>
      </c>
      <c r="E405" s="37">
        <v>583.0</v>
      </c>
      <c r="F405" s="35"/>
      <c r="G405" s="35"/>
      <c r="H405" s="35"/>
      <c r="I405" s="35"/>
      <c r="J405" s="35"/>
      <c r="K405" s="35"/>
    </row>
    <row r="406">
      <c r="A406" s="36" t="s">
        <v>3110</v>
      </c>
      <c r="B406" s="36" t="s">
        <v>1333</v>
      </c>
      <c r="C406" s="37" t="s">
        <v>217</v>
      </c>
      <c r="D406" s="37">
        <v>5.0</v>
      </c>
      <c r="E406" s="37">
        <v>306.0</v>
      </c>
      <c r="F406" s="35"/>
      <c r="G406" s="35"/>
      <c r="H406" s="35"/>
      <c r="I406" s="35"/>
      <c r="J406" s="35"/>
      <c r="K406" s="35"/>
    </row>
    <row r="407">
      <c r="A407" s="36" t="s">
        <v>3111</v>
      </c>
      <c r="B407" s="36" t="s">
        <v>1336</v>
      </c>
      <c r="C407" s="37" t="s">
        <v>217</v>
      </c>
      <c r="D407" s="37">
        <v>5.0</v>
      </c>
      <c r="E407" s="37">
        <v>413.0</v>
      </c>
      <c r="F407" s="35"/>
      <c r="G407" s="35"/>
      <c r="H407" s="35"/>
      <c r="I407" s="35"/>
      <c r="J407" s="35"/>
      <c r="K407" s="35"/>
    </row>
    <row r="408">
      <c r="A408" s="38" t="s">
        <v>3112</v>
      </c>
      <c r="B408" s="36" t="s">
        <v>1338</v>
      </c>
      <c r="C408" s="37" t="s">
        <v>232</v>
      </c>
      <c r="D408" s="37">
        <v>3.0</v>
      </c>
      <c r="E408" s="39">
        <v>576.0</v>
      </c>
      <c r="F408" s="35"/>
      <c r="G408" s="35"/>
      <c r="H408" s="35"/>
      <c r="I408" s="35"/>
      <c r="J408" s="35"/>
      <c r="K408" s="35"/>
    </row>
    <row r="409">
      <c r="A409" s="38" t="s">
        <v>3113</v>
      </c>
      <c r="B409" s="36" t="s">
        <v>1344</v>
      </c>
      <c r="C409" s="37" t="s">
        <v>82</v>
      </c>
      <c r="D409" s="37">
        <v>10.0</v>
      </c>
      <c r="E409" s="39">
        <v>268.0</v>
      </c>
      <c r="F409" s="35"/>
      <c r="G409" s="35"/>
      <c r="H409" s="35"/>
      <c r="I409" s="35"/>
      <c r="J409" s="35"/>
      <c r="K409" s="35"/>
    </row>
    <row r="410">
      <c r="A410" s="38" t="s">
        <v>3114</v>
      </c>
      <c r="B410" s="36" t="s">
        <v>1346</v>
      </c>
      <c r="C410" s="37" t="s">
        <v>217</v>
      </c>
      <c r="D410" s="37">
        <v>5.0</v>
      </c>
      <c r="E410" s="39">
        <v>1167.0</v>
      </c>
      <c r="F410" s="35"/>
      <c r="G410" s="35"/>
      <c r="H410" s="35"/>
      <c r="I410" s="35"/>
      <c r="J410" s="35"/>
      <c r="K410" s="35"/>
    </row>
    <row r="411">
      <c r="A411" s="36" t="s">
        <v>3115</v>
      </c>
      <c r="B411" s="36" t="s">
        <v>1349</v>
      </c>
      <c r="C411" s="37" t="s">
        <v>82</v>
      </c>
      <c r="D411" s="37">
        <v>10.0</v>
      </c>
      <c r="E411" s="37">
        <v>641.0</v>
      </c>
      <c r="F411" s="35"/>
      <c r="G411" s="35"/>
      <c r="H411" s="35"/>
      <c r="I411" s="35"/>
      <c r="J411" s="35"/>
      <c r="K411" s="35"/>
    </row>
    <row r="412">
      <c r="A412" s="38" t="s">
        <v>3116</v>
      </c>
      <c r="B412" s="36" t="s">
        <v>1351</v>
      </c>
      <c r="C412" s="37" t="s">
        <v>121</v>
      </c>
      <c r="D412" s="37">
        <v>10.0</v>
      </c>
      <c r="E412" s="39">
        <v>1030.0</v>
      </c>
      <c r="F412" s="35"/>
      <c r="G412" s="35"/>
      <c r="H412" s="35"/>
      <c r="I412" s="35"/>
      <c r="J412" s="35"/>
      <c r="K412" s="35"/>
    </row>
    <row r="413">
      <c r="A413" s="38" t="s">
        <v>3117</v>
      </c>
      <c r="B413" s="36" t="s">
        <v>1354</v>
      </c>
      <c r="C413" s="37" t="s">
        <v>217</v>
      </c>
      <c r="D413" s="37">
        <v>5.0</v>
      </c>
      <c r="E413" s="39">
        <v>348.0</v>
      </c>
      <c r="F413" s="35"/>
      <c r="G413" s="35"/>
      <c r="H413" s="35"/>
      <c r="I413" s="35"/>
      <c r="J413" s="35"/>
      <c r="K413" s="35"/>
    </row>
    <row r="414">
      <c r="A414" s="36" t="s">
        <v>3118</v>
      </c>
      <c r="B414" s="36" t="s">
        <v>1357</v>
      </c>
      <c r="C414" s="37" t="s">
        <v>217</v>
      </c>
      <c r="D414" s="37">
        <v>5.0</v>
      </c>
      <c r="E414" s="37">
        <v>636.0</v>
      </c>
      <c r="F414" s="35"/>
      <c r="G414" s="35"/>
      <c r="H414" s="35"/>
      <c r="I414" s="35"/>
      <c r="J414" s="35"/>
      <c r="K414" s="35"/>
    </row>
    <row r="415">
      <c r="A415" s="36" t="s">
        <v>3119</v>
      </c>
      <c r="B415" s="36" t="s">
        <v>1360</v>
      </c>
      <c r="C415" s="37" t="s">
        <v>187</v>
      </c>
      <c r="D415" s="37">
        <v>9.0</v>
      </c>
      <c r="E415" s="37">
        <v>493.0</v>
      </c>
      <c r="F415" s="35"/>
      <c r="G415" s="35"/>
      <c r="H415" s="35"/>
      <c r="I415" s="35"/>
      <c r="J415" s="35"/>
      <c r="K415" s="35"/>
    </row>
    <row r="416">
      <c r="A416" s="38" t="s">
        <v>3120</v>
      </c>
      <c r="B416" s="36" t="s">
        <v>1363</v>
      </c>
      <c r="C416" s="37" t="s">
        <v>232</v>
      </c>
      <c r="D416" s="37">
        <v>3.0</v>
      </c>
      <c r="E416" s="39">
        <v>1101.0</v>
      </c>
      <c r="F416" s="35"/>
      <c r="G416" s="35"/>
      <c r="H416" s="35"/>
      <c r="I416" s="35"/>
      <c r="J416" s="35"/>
      <c r="K416" s="35"/>
    </row>
    <row r="417">
      <c r="A417" s="38" t="s">
        <v>3121</v>
      </c>
      <c r="B417" s="36" t="s">
        <v>1366</v>
      </c>
      <c r="C417" s="37" t="s">
        <v>204</v>
      </c>
      <c r="D417" s="37">
        <v>6.0</v>
      </c>
      <c r="E417" s="39">
        <v>470.0</v>
      </c>
      <c r="F417" s="35"/>
      <c r="G417" s="35"/>
      <c r="H417" s="35"/>
      <c r="I417" s="35"/>
      <c r="J417" s="35"/>
      <c r="K417" s="35"/>
    </row>
    <row r="418">
      <c r="A418" s="38" t="s">
        <v>3122</v>
      </c>
      <c r="B418" s="36" t="s">
        <v>1369</v>
      </c>
      <c r="C418" s="37" t="s">
        <v>21</v>
      </c>
      <c r="D418" s="37">
        <v>7.0</v>
      </c>
      <c r="E418" s="39">
        <v>1038.0</v>
      </c>
      <c r="F418" s="35"/>
      <c r="G418" s="35"/>
      <c r="H418" s="35"/>
      <c r="I418" s="35"/>
      <c r="J418" s="35"/>
      <c r="K418" s="35"/>
    </row>
    <row r="419">
      <c r="A419" s="36" t="s">
        <v>3123</v>
      </c>
      <c r="B419" s="36" t="s">
        <v>1372</v>
      </c>
      <c r="C419" s="37" t="s">
        <v>204</v>
      </c>
      <c r="D419" s="37">
        <v>6.0</v>
      </c>
      <c r="E419" s="37">
        <v>842.0</v>
      </c>
      <c r="F419" s="35"/>
      <c r="G419" s="35"/>
      <c r="H419" s="35"/>
      <c r="I419" s="35"/>
      <c r="J419" s="35"/>
      <c r="K419" s="35"/>
    </row>
    <row r="420">
      <c r="A420" s="36" t="s">
        <v>3124</v>
      </c>
      <c r="B420" s="36" t="s">
        <v>1375</v>
      </c>
      <c r="C420" s="37" t="s">
        <v>217</v>
      </c>
      <c r="D420" s="37">
        <v>5.0</v>
      </c>
      <c r="E420" s="37">
        <v>588.0</v>
      </c>
      <c r="F420" s="35"/>
      <c r="G420" s="35"/>
      <c r="H420" s="35"/>
      <c r="I420" s="35"/>
      <c r="J420" s="35"/>
      <c r="K420" s="35"/>
    </row>
    <row r="421">
      <c r="A421" s="36" t="s">
        <v>3125</v>
      </c>
      <c r="B421" s="36" t="s">
        <v>1375</v>
      </c>
      <c r="C421" s="37" t="s">
        <v>217</v>
      </c>
      <c r="D421" s="37">
        <v>5.0</v>
      </c>
      <c r="E421" s="37">
        <v>659.0</v>
      </c>
      <c r="F421" s="35"/>
      <c r="G421" s="35"/>
      <c r="H421" s="35"/>
      <c r="I421" s="35"/>
      <c r="J421" s="35"/>
      <c r="K421" s="35"/>
    </row>
    <row r="422">
      <c r="A422" s="38" t="s">
        <v>3126</v>
      </c>
      <c r="B422" s="36" t="s">
        <v>1378</v>
      </c>
      <c r="C422" s="37" t="s">
        <v>232</v>
      </c>
      <c r="D422" s="37">
        <v>3.0</v>
      </c>
      <c r="E422" s="39">
        <v>955.0</v>
      </c>
      <c r="F422" s="35"/>
      <c r="G422" s="35"/>
      <c r="H422" s="35"/>
      <c r="I422" s="35"/>
      <c r="J422" s="35"/>
      <c r="K422" s="35"/>
    </row>
    <row r="423">
      <c r="A423" s="36" t="s">
        <v>3127</v>
      </c>
      <c r="B423" s="36" t="s">
        <v>1381</v>
      </c>
      <c r="C423" s="37" t="s">
        <v>217</v>
      </c>
      <c r="D423" s="37">
        <v>5.0</v>
      </c>
      <c r="E423" s="37">
        <v>659.0</v>
      </c>
      <c r="F423" s="35"/>
      <c r="G423" s="35"/>
      <c r="H423" s="35"/>
      <c r="I423" s="35"/>
      <c r="J423" s="35"/>
      <c r="K423" s="35"/>
    </row>
    <row r="424">
      <c r="A424" s="38" t="s">
        <v>3128</v>
      </c>
      <c r="B424" s="36" t="s">
        <v>1384</v>
      </c>
      <c r="C424" s="37" t="s">
        <v>31</v>
      </c>
      <c r="D424" s="37">
        <v>5.0</v>
      </c>
      <c r="E424" s="39">
        <v>387.0</v>
      </c>
      <c r="F424" s="35"/>
      <c r="G424" s="35"/>
      <c r="H424" s="35"/>
      <c r="I424" s="35"/>
      <c r="J424" s="35"/>
      <c r="K424" s="35"/>
    </row>
    <row r="425">
      <c r="A425" s="36" t="s">
        <v>3129</v>
      </c>
      <c r="B425" s="36" t="s">
        <v>1387</v>
      </c>
      <c r="C425" s="37" t="s">
        <v>42</v>
      </c>
      <c r="D425" s="37">
        <v>7.0</v>
      </c>
      <c r="E425" s="37">
        <v>899.0</v>
      </c>
      <c r="F425" s="35"/>
      <c r="G425" s="35"/>
      <c r="H425" s="35"/>
      <c r="I425" s="35"/>
      <c r="J425" s="35"/>
      <c r="K425" s="35"/>
    </row>
    <row r="426">
      <c r="A426" s="36" t="s">
        <v>3130</v>
      </c>
      <c r="B426" s="36" t="s">
        <v>1390</v>
      </c>
      <c r="C426" s="37" t="s">
        <v>47</v>
      </c>
      <c r="D426" s="37">
        <v>3.0</v>
      </c>
      <c r="E426" s="37">
        <v>232.0</v>
      </c>
      <c r="F426" s="35"/>
      <c r="G426" s="35"/>
      <c r="H426" s="35"/>
      <c r="I426" s="35"/>
      <c r="J426" s="35"/>
      <c r="K426" s="35"/>
    </row>
    <row r="427">
      <c r="A427" s="36" t="s">
        <v>1393</v>
      </c>
      <c r="B427" s="36" t="s">
        <v>1392</v>
      </c>
      <c r="C427" s="37" t="s">
        <v>232</v>
      </c>
      <c r="D427" s="37">
        <v>3.0</v>
      </c>
      <c r="E427" s="37">
        <v>1063.0</v>
      </c>
      <c r="F427" s="35"/>
      <c r="G427" s="35"/>
      <c r="H427" s="35"/>
      <c r="I427" s="35"/>
      <c r="J427" s="35"/>
      <c r="K427" s="35"/>
    </row>
    <row r="428">
      <c r="A428" s="36" t="s">
        <v>3131</v>
      </c>
      <c r="B428" s="36" t="s">
        <v>1398</v>
      </c>
      <c r="C428" s="37" t="s">
        <v>87</v>
      </c>
      <c r="D428" s="37">
        <v>2.0</v>
      </c>
      <c r="E428" s="37">
        <v>1040.0</v>
      </c>
      <c r="F428" s="35"/>
      <c r="G428" s="35"/>
      <c r="H428" s="35"/>
      <c r="I428" s="35"/>
      <c r="J428" s="35"/>
      <c r="K428" s="35"/>
    </row>
    <row r="429">
      <c r="A429" s="38" t="s">
        <v>1402</v>
      </c>
      <c r="B429" s="36" t="s">
        <v>1401</v>
      </c>
      <c r="C429" s="37" t="s">
        <v>232</v>
      </c>
      <c r="D429" s="37">
        <v>3.0</v>
      </c>
      <c r="E429" s="39">
        <v>481.0</v>
      </c>
      <c r="F429" s="35"/>
      <c r="G429" s="35"/>
      <c r="H429" s="35"/>
      <c r="I429" s="35"/>
      <c r="J429" s="35"/>
      <c r="K429" s="35"/>
    </row>
    <row r="430">
      <c r="A430" s="36" t="s">
        <v>3132</v>
      </c>
      <c r="B430" s="36" t="s">
        <v>1403</v>
      </c>
      <c r="C430" s="37" t="s">
        <v>199</v>
      </c>
      <c r="D430" s="37">
        <v>1.0</v>
      </c>
      <c r="E430" s="37">
        <v>337.0</v>
      </c>
      <c r="F430" s="35"/>
      <c r="G430" s="35"/>
      <c r="H430" s="35"/>
      <c r="I430" s="35"/>
      <c r="J430" s="35"/>
      <c r="K430" s="35"/>
    </row>
    <row r="431">
      <c r="A431" s="38" t="s">
        <v>3133</v>
      </c>
      <c r="B431" s="36" t="s">
        <v>1406</v>
      </c>
      <c r="C431" s="37" t="s">
        <v>462</v>
      </c>
      <c r="D431" s="37">
        <v>6.0</v>
      </c>
      <c r="E431" s="39">
        <v>866.0</v>
      </c>
      <c r="F431" s="35"/>
      <c r="G431" s="35"/>
      <c r="H431" s="35"/>
      <c r="I431" s="35"/>
      <c r="J431" s="35"/>
      <c r="K431" s="35"/>
    </row>
    <row r="432">
      <c r="A432" s="38" t="s">
        <v>3134</v>
      </c>
      <c r="B432" s="36" t="s">
        <v>1409</v>
      </c>
      <c r="C432" s="37" t="s">
        <v>217</v>
      </c>
      <c r="D432" s="37">
        <v>5.0</v>
      </c>
      <c r="E432" s="39">
        <v>490.0</v>
      </c>
      <c r="F432" s="35"/>
      <c r="G432" s="35"/>
      <c r="H432" s="35"/>
      <c r="I432" s="35"/>
      <c r="J432" s="35"/>
      <c r="K432" s="35"/>
    </row>
    <row r="433">
      <c r="A433" s="36" t="s">
        <v>3135</v>
      </c>
      <c r="B433" s="36" t="s">
        <v>1412</v>
      </c>
      <c r="C433" s="37" t="s">
        <v>187</v>
      </c>
      <c r="D433" s="37">
        <v>9.0</v>
      </c>
      <c r="E433" s="37">
        <v>263.0</v>
      </c>
      <c r="F433" s="35"/>
      <c r="G433" s="35"/>
      <c r="H433" s="35"/>
      <c r="I433" s="35"/>
      <c r="J433" s="35"/>
      <c r="K433" s="35"/>
    </row>
    <row r="434">
      <c r="A434" s="38" t="s">
        <v>3136</v>
      </c>
      <c r="B434" s="36" t="s">
        <v>1415</v>
      </c>
      <c r="C434" s="37" t="s">
        <v>121</v>
      </c>
      <c r="D434" s="37">
        <v>10.0</v>
      </c>
      <c r="E434" s="39">
        <v>491.0</v>
      </c>
      <c r="F434" s="35"/>
      <c r="G434" s="35"/>
      <c r="H434" s="35"/>
      <c r="I434" s="35"/>
      <c r="J434" s="35"/>
      <c r="K434" s="35"/>
    </row>
    <row r="435">
      <c r="A435" s="36" t="s">
        <v>3137</v>
      </c>
      <c r="B435" s="36" t="s">
        <v>1431</v>
      </c>
      <c r="C435" s="37" t="s">
        <v>199</v>
      </c>
      <c r="D435" s="37">
        <v>1.0</v>
      </c>
      <c r="E435" s="37">
        <v>659.0</v>
      </c>
      <c r="F435" s="35"/>
      <c r="G435" s="35"/>
      <c r="H435" s="35"/>
      <c r="I435" s="35"/>
      <c r="J435" s="35"/>
      <c r="K435" s="35"/>
    </row>
    <row r="436">
      <c r="A436" s="38" t="s">
        <v>3138</v>
      </c>
      <c r="B436" s="36" t="s">
        <v>1434</v>
      </c>
      <c r="C436" s="37" t="s">
        <v>199</v>
      </c>
      <c r="D436" s="37">
        <v>1.0</v>
      </c>
      <c r="E436" s="39">
        <v>593.0</v>
      </c>
      <c r="F436" s="35"/>
      <c r="G436" s="35"/>
      <c r="H436" s="35"/>
      <c r="I436" s="35"/>
      <c r="J436" s="35"/>
      <c r="K436" s="35"/>
    </row>
    <row r="437">
      <c r="A437" s="36" t="s">
        <v>3139</v>
      </c>
      <c r="B437" s="36" t="s">
        <v>1437</v>
      </c>
      <c r="C437" s="37" t="s">
        <v>42</v>
      </c>
      <c r="D437" s="37">
        <v>7.0</v>
      </c>
      <c r="E437" s="37">
        <v>277.0</v>
      </c>
      <c r="F437" s="35"/>
      <c r="G437" s="35"/>
      <c r="H437" s="35"/>
      <c r="I437" s="35"/>
      <c r="J437" s="35"/>
      <c r="K437" s="35"/>
    </row>
    <row r="438">
      <c r="A438" s="38" t="s">
        <v>3140</v>
      </c>
      <c r="B438" s="36" t="s">
        <v>1440</v>
      </c>
      <c r="C438" s="37" t="s">
        <v>31</v>
      </c>
      <c r="D438" s="37">
        <v>5.0</v>
      </c>
      <c r="E438" s="39">
        <v>231.0</v>
      </c>
      <c r="F438" s="35"/>
      <c r="G438" s="35"/>
      <c r="H438" s="35"/>
      <c r="I438" s="35"/>
      <c r="J438" s="35"/>
      <c r="K438" s="35"/>
    </row>
    <row r="439">
      <c r="A439" s="38" t="s">
        <v>3141</v>
      </c>
      <c r="B439" s="36" t="s">
        <v>1443</v>
      </c>
      <c r="C439" s="37" t="s">
        <v>42</v>
      </c>
      <c r="D439" s="37">
        <v>7.0</v>
      </c>
      <c r="E439" s="39">
        <v>388.0</v>
      </c>
      <c r="F439" s="35"/>
      <c r="G439" s="35"/>
      <c r="H439" s="35"/>
      <c r="I439" s="35"/>
      <c r="J439" s="35"/>
      <c r="K439" s="35"/>
    </row>
    <row r="440">
      <c r="A440" s="38" t="s">
        <v>3142</v>
      </c>
      <c r="B440" s="36" t="s">
        <v>1446</v>
      </c>
      <c r="C440" s="37" t="s">
        <v>217</v>
      </c>
      <c r="D440" s="37">
        <v>5.0</v>
      </c>
      <c r="E440" s="39">
        <v>315.0</v>
      </c>
      <c r="F440" s="35"/>
      <c r="G440" s="35"/>
      <c r="H440" s="35"/>
      <c r="I440" s="35"/>
      <c r="J440" s="35"/>
      <c r="K440" s="35"/>
    </row>
    <row r="441">
      <c r="A441" s="36" t="s">
        <v>3143</v>
      </c>
      <c r="B441" s="36" t="s">
        <v>1449</v>
      </c>
      <c r="C441" s="37" t="s">
        <v>187</v>
      </c>
      <c r="D441" s="37">
        <v>9.0</v>
      </c>
      <c r="E441" s="37">
        <v>329.0</v>
      </c>
      <c r="F441" s="35"/>
      <c r="G441" s="35"/>
      <c r="H441" s="35"/>
      <c r="I441" s="35"/>
      <c r="J441" s="35"/>
      <c r="K441" s="35"/>
    </row>
    <row r="442">
      <c r="A442" s="38" t="s">
        <v>3144</v>
      </c>
      <c r="B442" s="36" t="s">
        <v>1452</v>
      </c>
      <c r="C442" s="37" t="s">
        <v>139</v>
      </c>
      <c r="D442" s="37">
        <v>8.0</v>
      </c>
      <c r="E442" s="39">
        <v>271.0</v>
      </c>
      <c r="F442" s="35"/>
      <c r="G442" s="35"/>
      <c r="H442" s="35"/>
      <c r="I442" s="35"/>
      <c r="J442" s="35"/>
      <c r="K442" s="35"/>
    </row>
    <row r="443">
      <c r="A443" s="38" t="s">
        <v>3145</v>
      </c>
      <c r="B443" s="36" t="s">
        <v>1455</v>
      </c>
      <c r="C443" s="37" t="s">
        <v>178</v>
      </c>
      <c r="D443" s="37">
        <v>9.0</v>
      </c>
      <c r="E443" s="39">
        <v>331.0</v>
      </c>
      <c r="F443" s="35"/>
      <c r="G443" s="35"/>
      <c r="H443" s="35"/>
      <c r="I443" s="35"/>
      <c r="J443" s="35"/>
      <c r="K443" s="35"/>
    </row>
    <row r="444">
      <c r="A444" s="36" t="s">
        <v>3146</v>
      </c>
      <c r="B444" s="36" t="s">
        <v>1458</v>
      </c>
      <c r="C444" s="37" t="s">
        <v>222</v>
      </c>
      <c r="D444" s="37">
        <v>1.0</v>
      </c>
      <c r="E444" s="37">
        <v>731.0</v>
      </c>
      <c r="F444" s="35"/>
      <c r="G444" s="35"/>
      <c r="H444" s="35"/>
      <c r="I444" s="35"/>
      <c r="J444" s="35"/>
      <c r="K444" s="35"/>
    </row>
    <row r="445">
      <c r="A445" s="36" t="s">
        <v>3147</v>
      </c>
      <c r="B445" s="36" t="s">
        <v>1461</v>
      </c>
      <c r="C445" s="37" t="s">
        <v>204</v>
      </c>
      <c r="D445" s="37">
        <v>6.0</v>
      </c>
      <c r="E445" s="37">
        <v>262.0</v>
      </c>
      <c r="F445" s="35"/>
      <c r="G445" s="35"/>
      <c r="H445" s="35"/>
      <c r="I445" s="35"/>
      <c r="J445" s="35"/>
      <c r="K445" s="35"/>
    </row>
    <row r="446">
      <c r="A446" s="38" t="s">
        <v>3148</v>
      </c>
      <c r="B446" s="36" t="s">
        <v>1464</v>
      </c>
      <c r="C446" s="37" t="s">
        <v>204</v>
      </c>
      <c r="D446" s="37">
        <v>6.0</v>
      </c>
      <c r="E446" s="39">
        <v>346.0</v>
      </c>
      <c r="F446" s="35"/>
      <c r="G446" s="35"/>
      <c r="H446" s="35"/>
      <c r="I446" s="35"/>
      <c r="J446" s="35"/>
      <c r="K446" s="35"/>
    </row>
    <row r="447">
      <c r="A447" s="38" t="s">
        <v>3149</v>
      </c>
      <c r="B447" s="36" t="s">
        <v>1467</v>
      </c>
      <c r="C447" s="37" t="s">
        <v>121</v>
      </c>
      <c r="D447" s="37">
        <v>10.0</v>
      </c>
      <c r="E447" s="39">
        <v>234.0</v>
      </c>
      <c r="F447" s="35"/>
      <c r="G447" s="35"/>
      <c r="H447" s="35"/>
      <c r="I447" s="35"/>
      <c r="J447" s="35"/>
      <c r="K447" s="35"/>
    </row>
    <row r="448">
      <c r="A448" s="36" t="s">
        <v>3150</v>
      </c>
      <c r="B448" s="36" t="s">
        <v>1470</v>
      </c>
      <c r="C448" s="37" t="s">
        <v>139</v>
      </c>
      <c r="D448" s="37">
        <v>8.0</v>
      </c>
      <c r="E448" s="37">
        <v>578.0</v>
      </c>
      <c r="F448" s="35"/>
      <c r="G448" s="35"/>
      <c r="H448" s="35"/>
      <c r="I448" s="35"/>
      <c r="J448" s="35"/>
      <c r="K448" s="35"/>
    </row>
    <row r="449">
      <c r="A449" s="36" t="s">
        <v>3151</v>
      </c>
      <c r="B449" s="36" t="s">
        <v>1485</v>
      </c>
      <c r="C449" s="37" t="s">
        <v>462</v>
      </c>
      <c r="D449" s="37">
        <v>6.0</v>
      </c>
      <c r="E449" s="37">
        <v>1231.0</v>
      </c>
      <c r="F449" s="35"/>
      <c r="G449" s="35"/>
      <c r="H449" s="35"/>
      <c r="I449" s="35"/>
      <c r="J449" s="35"/>
      <c r="K449" s="35"/>
    </row>
    <row r="450">
      <c r="A450" s="38" t="s">
        <v>3152</v>
      </c>
      <c r="B450" s="36" t="s">
        <v>1491</v>
      </c>
      <c r="C450" s="37" t="s">
        <v>21</v>
      </c>
      <c r="D450" s="37">
        <v>7.0</v>
      </c>
      <c r="E450" s="39">
        <v>795.0</v>
      </c>
      <c r="F450" s="35"/>
      <c r="G450" s="35"/>
      <c r="H450" s="35"/>
      <c r="I450" s="35"/>
      <c r="J450" s="35"/>
      <c r="K450" s="35"/>
    </row>
    <row r="451">
      <c r="A451" s="36" t="s">
        <v>3153</v>
      </c>
      <c r="B451" s="36" t="s">
        <v>1494</v>
      </c>
      <c r="C451" s="37" t="s">
        <v>87</v>
      </c>
      <c r="D451" s="37">
        <v>2.0</v>
      </c>
      <c r="E451" s="37">
        <v>1061.0</v>
      </c>
      <c r="F451" s="35"/>
      <c r="G451" s="35"/>
      <c r="H451" s="35"/>
      <c r="I451" s="35"/>
      <c r="J451" s="35"/>
      <c r="K451" s="35"/>
    </row>
    <row r="452">
      <c r="A452" s="38" t="s">
        <v>3154</v>
      </c>
      <c r="B452" s="36" t="s">
        <v>1497</v>
      </c>
      <c r="C452" s="37" t="s">
        <v>217</v>
      </c>
      <c r="D452" s="37">
        <v>5.0</v>
      </c>
      <c r="E452" s="39">
        <v>218.0</v>
      </c>
      <c r="F452" s="35"/>
      <c r="G452" s="35"/>
      <c r="H452" s="35"/>
      <c r="I452" s="35"/>
      <c r="J452" s="35"/>
      <c r="K452" s="35"/>
    </row>
    <row r="453">
      <c r="A453" s="36" t="s">
        <v>3155</v>
      </c>
      <c r="B453" s="36" t="s">
        <v>1499</v>
      </c>
      <c r="C453" s="37" t="s">
        <v>42</v>
      </c>
      <c r="D453" s="37">
        <v>7.0</v>
      </c>
      <c r="E453" s="37">
        <v>258.0</v>
      </c>
      <c r="F453" s="35"/>
      <c r="G453" s="35"/>
      <c r="H453" s="35"/>
      <c r="I453" s="35"/>
      <c r="J453" s="35"/>
      <c r="K453" s="35"/>
    </row>
    <row r="454">
      <c r="A454" s="38" t="s">
        <v>3156</v>
      </c>
      <c r="B454" s="36" t="s">
        <v>1502</v>
      </c>
      <c r="C454" s="37" t="s">
        <v>204</v>
      </c>
      <c r="D454" s="37">
        <v>6.0</v>
      </c>
      <c r="E454" s="39">
        <v>429.0</v>
      </c>
      <c r="F454" s="35"/>
      <c r="G454" s="35"/>
      <c r="H454" s="35"/>
      <c r="I454" s="35"/>
      <c r="J454" s="35"/>
      <c r="K454" s="35"/>
    </row>
    <row r="455">
      <c r="A455" s="36" t="s">
        <v>3157</v>
      </c>
      <c r="B455" s="36" t="s">
        <v>1505</v>
      </c>
      <c r="C455" s="37" t="s">
        <v>26</v>
      </c>
      <c r="D455" s="37">
        <v>8.0</v>
      </c>
      <c r="E455" s="37">
        <v>378.0</v>
      </c>
      <c r="F455" s="35"/>
      <c r="G455" s="35"/>
      <c r="H455" s="35"/>
      <c r="I455" s="35"/>
      <c r="J455" s="35"/>
      <c r="K455" s="35"/>
    </row>
    <row r="456">
      <c r="A456" s="39">
        <v>21.0</v>
      </c>
      <c r="B456" s="36" t="s">
        <v>1508</v>
      </c>
      <c r="C456" s="37" t="s">
        <v>82</v>
      </c>
      <c r="D456" s="37">
        <v>10.0</v>
      </c>
      <c r="E456" s="39">
        <v>674.0</v>
      </c>
      <c r="F456" s="35"/>
      <c r="G456" s="35"/>
      <c r="H456" s="35"/>
      <c r="I456" s="35"/>
      <c r="J456" s="35"/>
      <c r="K456" s="35"/>
    </row>
    <row r="457">
      <c r="A457" s="38" t="s">
        <v>3158</v>
      </c>
      <c r="B457" s="36" t="s">
        <v>1511</v>
      </c>
      <c r="C457" s="37" t="s">
        <v>204</v>
      </c>
      <c r="D457" s="37">
        <v>6.0</v>
      </c>
      <c r="E457" s="39">
        <v>408.0</v>
      </c>
      <c r="F457" s="35"/>
      <c r="G457" s="35"/>
      <c r="H457" s="35"/>
      <c r="I457" s="35"/>
      <c r="J457" s="35"/>
      <c r="K457" s="35"/>
    </row>
    <row r="458">
      <c r="A458" s="38" t="s">
        <v>3159</v>
      </c>
      <c r="B458" s="36" t="s">
        <v>1514</v>
      </c>
      <c r="C458" s="37" t="s">
        <v>82</v>
      </c>
      <c r="D458" s="37">
        <v>10.0</v>
      </c>
      <c r="E458" s="39">
        <v>353.0</v>
      </c>
      <c r="F458" s="35"/>
      <c r="G458" s="35"/>
      <c r="H458" s="35"/>
      <c r="I458" s="35"/>
      <c r="J458" s="35"/>
      <c r="K458" s="35"/>
    </row>
    <row r="459">
      <c r="A459" s="36" t="s">
        <v>3160</v>
      </c>
      <c r="B459" s="36" t="s">
        <v>1516</v>
      </c>
      <c r="C459" s="37" t="s">
        <v>87</v>
      </c>
      <c r="D459" s="37">
        <v>2.0</v>
      </c>
      <c r="E459" s="37">
        <v>834.0</v>
      </c>
      <c r="F459" s="35"/>
      <c r="G459" s="35"/>
      <c r="H459" s="35"/>
      <c r="I459" s="35"/>
      <c r="J459" s="35"/>
      <c r="K459" s="35"/>
    </row>
    <row r="460">
      <c r="A460" s="38" t="s">
        <v>3161</v>
      </c>
      <c r="B460" s="36" t="s">
        <v>1519</v>
      </c>
      <c r="C460" s="37" t="s">
        <v>204</v>
      </c>
      <c r="D460" s="37">
        <v>6.0</v>
      </c>
      <c r="E460" s="39">
        <v>448.0</v>
      </c>
      <c r="F460" s="35"/>
      <c r="G460" s="35"/>
      <c r="H460" s="35"/>
      <c r="I460" s="35"/>
      <c r="J460" s="35"/>
      <c r="K460" s="35"/>
    </row>
    <row r="461">
      <c r="A461" s="36" t="s">
        <v>3162</v>
      </c>
      <c r="B461" s="36" t="s">
        <v>1522</v>
      </c>
      <c r="C461" s="37" t="s">
        <v>217</v>
      </c>
      <c r="D461" s="37">
        <v>5.0</v>
      </c>
      <c r="E461" s="37">
        <v>459.0</v>
      </c>
      <c r="F461" s="35"/>
      <c r="G461" s="35"/>
      <c r="H461" s="35"/>
      <c r="I461" s="35"/>
      <c r="J461" s="35"/>
      <c r="K461" s="35"/>
    </row>
    <row r="462">
      <c r="A462" s="36" t="s">
        <v>3163</v>
      </c>
      <c r="B462" s="36" t="s">
        <v>1525</v>
      </c>
      <c r="C462" s="37" t="s">
        <v>232</v>
      </c>
      <c r="D462" s="37">
        <v>3.0</v>
      </c>
      <c r="E462" s="37">
        <v>564.0</v>
      </c>
      <c r="F462" s="35"/>
      <c r="G462" s="35"/>
      <c r="H462" s="35"/>
      <c r="I462" s="35"/>
      <c r="J462" s="35"/>
      <c r="K462" s="35"/>
    </row>
    <row r="463">
      <c r="A463" s="38" t="s">
        <v>3164</v>
      </c>
      <c r="B463" s="36" t="s">
        <v>1528</v>
      </c>
      <c r="C463" s="37" t="s">
        <v>42</v>
      </c>
      <c r="D463" s="37">
        <v>7.0</v>
      </c>
      <c r="E463" s="39">
        <v>291.0</v>
      </c>
      <c r="F463" s="35"/>
      <c r="G463" s="35"/>
      <c r="H463" s="35"/>
      <c r="I463" s="35"/>
      <c r="J463" s="35"/>
      <c r="K463" s="35"/>
    </row>
    <row r="464">
      <c r="A464" s="36" t="s">
        <v>3165</v>
      </c>
      <c r="B464" s="36" t="s">
        <v>1531</v>
      </c>
      <c r="C464" s="37" t="s">
        <v>42</v>
      </c>
      <c r="D464" s="37">
        <v>7.0</v>
      </c>
      <c r="E464" s="37">
        <v>219.0</v>
      </c>
      <c r="F464" s="35"/>
      <c r="G464" s="35"/>
      <c r="H464" s="35"/>
      <c r="I464" s="35"/>
      <c r="J464" s="35"/>
      <c r="K464" s="35"/>
    </row>
    <row r="465">
      <c r="A465" s="36" t="s">
        <v>3166</v>
      </c>
      <c r="B465" s="36" t="s">
        <v>1534</v>
      </c>
      <c r="C465" s="37" t="s">
        <v>82</v>
      </c>
      <c r="D465" s="37">
        <v>10.0</v>
      </c>
      <c r="E465" s="37">
        <v>201.0</v>
      </c>
      <c r="F465" s="35"/>
      <c r="G465" s="35"/>
      <c r="H465" s="35"/>
      <c r="I465" s="35"/>
      <c r="J465" s="35"/>
      <c r="K465" s="35"/>
    </row>
    <row r="466">
      <c r="A466" s="38" t="s">
        <v>3167</v>
      </c>
      <c r="B466" s="36" t="s">
        <v>1537</v>
      </c>
      <c r="C466" s="37" t="s">
        <v>217</v>
      </c>
      <c r="D466" s="37">
        <v>5.0</v>
      </c>
      <c r="E466" s="39">
        <v>103.0</v>
      </c>
      <c r="F466" s="35"/>
      <c r="G466" s="35"/>
      <c r="H466" s="35"/>
      <c r="I466" s="35"/>
      <c r="J466" s="35"/>
      <c r="K466" s="35"/>
    </row>
    <row r="467">
      <c r="A467" s="38" t="s">
        <v>3168</v>
      </c>
      <c r="B467" s="36" t="s">
        <v>1540</v>
      </c>
      <c r="C467" s="37" t="s">
        <v>31</v>
      </c>
      <c r="D467" s="37">
        <v>5.0</v>
      </c>
      <c r="E467" s="39">
        <v>176.0</v>
      </c>
      <c r="F467" s="35"/>
      <c r="G467" s="35"/>
      <c r="H467" s="35"/>
      <c r="I467" s="35"/>
      <c r="J467" s="35"/>
      <c r="K467" s="35"/>
    </row>
    <row r="468">
      <c r="A468" s="38" t="s">
        <v>3169</v>
      </c>
      <c r="B468" s="36" t="s">
        <v>1543</v>
      </c>
      <c r="C468" s="37" t="s">
        <v>82</v>
      </c>
      <c r="D468" s="37">
        <v>10.0</v>
      </c>
      <c r="E468" s="39">
        <v>227.0</v>
      </c>
      <c r="F468" s="35"/>
      <c r="G468" s="35"/>
      <c r="H468" s="35"/>
      <c r="I468" s="35"/>
      <c r="J468" s="35"/>
      <c r="K468" s="35"/>
    </row>
    <row r="469">
      <c r="A469" s="38" t="s">
        <v>3170</v>
      </c>
      <c r="B469" s="36" t="s">
        <v>1546</v>
      </c>
      <c r="C469" s="37" t="s">
        <v>31</v>
      </c>
      <c r="D469" s="37">
        <v>5.0</v>
      </c>
      <c r="E469" s="39">
        <v>348.0</v>
      </c>
      <c r="F469" s="35"/>
      <c r="G469" s="35"/>
      <c r="H469" s="35"/>
      <c r="I469" s="35"/>
      <c r="J469" s="35"/>
      <c r="K469" s="35"/>
    </row>
    <row r="470">
      <c r="A470" s="36" t="s">
        <v>3171</v>
      </c>
      <c r="B470" s="36" t="s">
        <v>1549</v>
      </c>
      <c r="C470" s="37" t="s">
        <v>222</v>
      </c>
      <c r="D470" s="37">
        <v>1.0</v>
      </c>
      <c r="E470" s="37">
        <v>825.0</v>
      </c>
      <c r="F470" s="35"/>
      <c r="G470" s="35"/>
      <c r="H470" s="35"/>
      <c r="I470" s="35"/>
      <c r="J470" s="35"/>
      <c r="K470" s="35"/>
    </row>
    <row r="471">
      <c r="A471" s="36" t="s">
        <v>3172</v>
      </c>
      <c r="B471" s="36" t="s">
        <v>1552</v>
      </c>
      <c r="C471" s="37" t="s">
        <v>121</v>
      </c>
      <c r="D471" s="37">
        <v>10.0</v>
      </c>
      <c r="E471" s="37">
        <v>533.0</v>
      </c>
      <c r="F471" s="35"/>
      <c r="G471" s="35"/>
      <c r="H471" s="35"/>
      <c r="I471" s="35"/>
      <c r="J471" s="35"/>
      <c r="K471" s="35"/>
    </row>
    <row r="472">
      <c r="A472" s="36" t="s">
        <v>3173</v>
      </c>
      <c r="B472" s="36" t="s">
        <v>1555</v>
      </c>
      <c r="C472" s="37" t="s">
        <v>103</v>
      </c>
      <c r="D472" s="37">
        <v>4.0</v>
      </c>
      <c r="E472" s="37">
        <v>399.0</v>
      </c>
      <c r="F472" s="35"/>
      <c r="G472" s="35"/>
      <c r="H472" s="35"/>
      <c r="I472" s="35"/>
      <c r="J472" s="35"/>
      <c r="K472" s="35"/>
    </row>
    <row r="473">
      <c r="A473" s="38" t="s">
        <v>3174</v>
      </c>
      <c r="B473" s="36" t="s">
        <v>1558</v>
      </c>
      <c r="C473" s="37" t="s">
        <v>232</v>
      </c>
      <c r="D473" s="37">
        <v>3.0</v>
      </c>
      <c r="E473" s="39">
        <v>742.0</v>
      </c>
      <c r="F473" s="35"/>
      <c r="G473" s="35"/>
      <c r="H473" s="35"/>
      <c r="I473" s="35"/>
      <c r="J473" s="35"/>
      <c r="K473" s="35"/>
    </row>
    <row r="474">
      <c r="A474" s="36" t="s">
        <v>3175</v>
      </c>
      <c r="B474" s="36" t="s">
        <v>1561</v>
      </c>
      <c r="C474" s="37" t="s">
        <v>462</v>
      </c>
      <c r="D474" s="37">
        <v>6.0</v>
      </c>
      <c r="E474" s="37">
        <v>649.0</v>
      </c>
      <c r="F474" s="35"/>
      <c r="G474" s="35"/>
      <c r="H474" s="35"/>
      <c r="I474" s="35"/>
      <c r="J474" s="35"/>
      <c r="K474" s="35"/>
    </row>
    <row r="475">
      <c r="A475" s="36" t="s">
        <v>3176</v>
      </c>
      <c r="B475" s="36" t="s">
        <v>1564</v>
      </c>
      <c r="C475" s="37" t="s">
        <v>232</v>
      </c>
      <c r="D475" s="37">
        <v>3.0</v>
      </c>
      <c r="E475" s="37">
        <v>1163.0</v>
      </c>
      <c r="F475" s="35"/>
      <c r="G475" s="35"/>
      <c r="H475" s="35"/>
      <c r="I475" s="35"/>
      <c r="J475" s="35"/>
      <c r="K475" s="35"/>
    </row>
    <row r="476">
      <c r="A476" s="36" t="s">
        <v>3177</v>
      </c>
      <c r="B476" s="36" t="s">
        <v>1567</v>
      </c>
      <c r="C476" s="37" t="s">
        <v>187</v>
      </c>
      <c r="D476" s="37">
        <v>9.0</v>
      </c>
      <c r="E476" s="37">
        <v>436.0</v>
      </c>
      <c r="F476" s="35"/>
      <c r="G476" s="35"/>
      <c r="H476" s="35"/>
      <c r="I476" s="35"/>
      <c r="J476" s="35"/>
      <c r="K476" s="35"/>
    </row>
    <row r="477">
      <c r="A477" s="38" t="s">
        <v>3178</v>
      </c>
      <c r="B477" s="36" t="s">
        <v>1570</v>
      </c>
      <c r="C477" s="37" t="s">
        <v>199</v>
      </c>
      <c r="D477" s="37">
        <v>1.0</v>
      </c>
      <c r="E477" s="39">
        <v>614.0</v>
      </c>
      <c r="F477" s="35"/>
      <c r="G477" s="35"/>
      <c r="H477" s="35"/>
      <c r="I477" s="35"/>
      <c r="J477" s="35"/>
      <c r="K477" s="35"/>
    </row>
    <row r="478">
      <c r="A478" s="36" t="s">
        <v>3179</v>
      </c>
      <c r="B478" s="36" t="s">
        <v>1573</v>
      </c>
      <c r="C478" s="37" t="s">
        <v>462</v>
      </c>
      <c r="D478" s="37">
        <v>6.0</v>
      </c>
      <c r="E478" s="37">
        <v>821.0</v>
      </c>
      <c r="F478" s="35"/>
      <c r="G478" s="35"/>
      <c r="H478" s="35"/>
      <c r="I478" s="35"/>
      <c r="J478" s="35"/>
      <c r="K478" s="35"/>
    </row>
    <row r="479">
      <c r="A479" s="38" t="s">
        <v>3180</v>
      </c>
      <c r="B479" s="36" t="s">
        <v>1576</v>
      </c>
      <c r="C479" s="37" t="s">
        <v>82</v>
      </c>
      <c r="D479" s="37">
        <v>10.0</v>
      </c>
      <c r="E479" s="39">
        <v>294.0</v>
      </c>
      <c r="F479" s="35"/>
      <c r="G479" s="35"/>
      <c r="H479" s="35"/>
      <c r="I479" s="35"/>
      <c r="J479" s="35"/>
      <c r="K479" s="35"/>
    </row>
    <row r="480">
      <c r="A480" s="38" t="s">
        <v>3181</v>
      </c>
      <c r="B480" s="36" t="s">
        <v>1579</v>
      </c>
      <c r="C480" s="37" t="s">
        <v>217</v>
      </c>
      <c r="D480" s="37">
        <v>5.0</v>
      </c>
      <c r="E480" s="39">
        <v>179.0</v>
      </c>
      <c r="F480" s="35"/>
      <c r="G480" s="35"/>
      <c r="H480" s="35"/>
      <c r="I480" s="35"/>
      <c r="J480" s="35"/>
      <c r="K480" s="35"/>
    </row>
    <row r="481">
      <c r="A481" s="36" t="s">
        <v>3182</v>
      </c>
      <c r="B481" s="36" t="s">
        <v>1582</v>
      </c>
      <c r="C481" s="37" t="s">
        <v>187</v>
      </c>
      <c r="D481" s="37">
        <v>9.0</v>
      </c>
      <c r="E481" s="37">
        <v>331.0</v>
      </c>
      <c r="F481" s="35"/>
      <c r="G481" s="35"/>
      <c r="H481" s="35"/>
      <c r="I481" s="35"/>
      <c r="J481" s="35"/>
      <c r="K481" s="35"/>
    </row>
    <row r="482">
      <c r="A482" s="36" t="s">
        <v>3183</v>
      </c>
      <c r="B482" s="36" t="s">
        <v>1585</v>
      </c>
      <c r="C482" s="37" t="s">
        <v>243</v>
      </c>
      <c r="D482" s="37">
        <v>4.0</v>
      </c>
      <c r="E482" s="37">
        <v>533.0</v>
      </c>
      <c r="F482" s="35"/>
      <c r="G482" s="35"/>
      <c r="H482" s="35"/>
      <c r="I482" s="35"/>
      <c r="J482" s="35"/>
      <c r="K482" s="35"/>
    </row>
    <row r="483">
      <c r="A483" s="38" t="s">
        <v>3184</v>
      </c>
      <c r="B483" s="36" t="s">
        <v>1588</v>
      </c>
      <c r="C483" s="37" t="s">
        <v>121</v>
      </c>
      <c r="D483" s="37">
        <v>10.0</v>
      </c>
      <c r="E483" s="39">
        <v>489.0</v>
      </c>
      <c r="F483" s="35"/>
      <c r="G483" s="35"/>
      <c r="H483" s="35"/>
      <c r="I483" s="35"/>
      <c r="J483" s="35"/>
      <c r="K483" s="35"/>
    </row>
    <row r="484">
      <c r="A484" s="36" t="s">
        <v>3185</v>
      </c>
      <c r="B484" s="36" t="s">
        <v>1591</v>
      </c>
      <c r="C484" s="37" t="s">
        <v>121</v>
      </c>
      <c r="D484" s="37">
        <v>10.0</v>
      </c>
      <c r="E484" s="37">
        <v>276.0</v>
      </c>
      <c r="F484" s="35"/>
      <c r="G484" s="35"/>
      <c r="H484" s="35"/>
      <c r="I484" s="35"/>
      <c r="J484" s="35"/>
      <c r="K484" s="35"/>
    </row>
    <row r="485">
      <c r="A485" s="36" t="s">
        <v>3186</v>
      </c>
      <c r="B485" s="36" t="s">
        <v>1594</v>
      </c>
      <c r="C485" s="37" t="s">
        <v>47</v>
      </c>
      <c r="D485" s="37">
        <v>3.0</v>
      </c>
      <c r="E485" s="37">
        <v>559.0</v>
      </c>
      <c r="F485" s="35"/>
      <c r="G485" s="35"/>
      <c r="H485" s="35"/>
      <c r="I485" s="35"/>
      <c r="J485" s="35"/>
      <c r="K485" s="35"/>
    </row>
    <row r="486">
      <c r="A486" s="38" t="s">
        <v>3187</v>
      </c>
      <c r="B486" s="36" t="s">
        <v>1597</v>
      </c>
      <c r="C486" s="37" t="s">
        <v>222</v>
      </c>
      <c r="D486" s="37">
        <v>1.0</v>
      </c>
      <c r="E486" s="39">
        <v>714.0</v>
      </c>
      <c r="F486" s="35"/>
      <c r="G486" s="35"/>
      <c r="H486" s="35"/>
      <c r="I486" s="35"/>
      <c r="J486" s="35"/>
      <c r="K486" s="35"/>
    </row>
    <row r="487">
      <c r="A487" s="36" t="s">
        <v>3188</v>
      </c>
      <c r="B487" s="36" t="s">
        <v>1600</v>
      </c>
      <c r="C487" s="37" t="s">
        <v>121</v>
      </c>
      <c r="D487" s="37">
        <v>10.0</v>
      </c>
      <c r="E487" s="37">
        <v>213.0</v>
      </c>
      <c r="F487" s="35"/>
      <c r="G487" s="35"/>
      <c r="H487" s="35"/>
      <c r="I487" s="35"/>
      <c r="J487" s="35"/>
      <c r="K487" s="35"/>
    </row>
    <row r="488">
      <c r="A488" s="38" t="s">
        <v>3189</v>
      </c>
      <c r="B488" s="36" t="s">
        <v>1603</v>
      </c>
      <c r="C488" s="37" t="s">
        <v>26</v>
      </c>
      <c r="D488" s="37">
        <v>8.0</v>
      </c>
      <c r="E488" s="39">
        <v>275.0</v>
      </c>
      <c r="F488" s="35"/>
      <c r="G488" s="35"/>
      <c r="H488" s="35"/>
      <c r="I488" s="35"/>
      <c r="J488" s="35"/>
      <c r="K488" s="35"/>
    </row>
    <row r="489">
      <c r="A489" s="36" t="s">
        <v>3190</v>
      </c>
      <c r="B489" s="36" t="s">
        <v>1606</v>
      </c>
      <c r="C489" s="37" t="s">
        <v>139</v>
      </c>
      <c r="D489" s="37">
        <v>8.0</v>
      </c>
      <c r="E489" s="37">
        <v>926.0</v>
      </c>
      <c r="F489" s="35"/>
      <c r="G489" s="35"/>
      <c r="H489" s="35"/>
      <c r="I489" s="35"/>
      <c r="J489" s="35"/>
      <c r="K489" s="35"/>
    </row>
    <row r="490">
      <c r="A490" s="38" t="s">
        <v>3191</v>
      </c>
      <c r="B490" s="36" t="s">
        <v>1609</v>
      </c>
      <c r="C490" s="37" t="s">
        <v>222</v>
      </c>
      <c r="D490" s="37">
        <v>1.0</v>
      </c>
      <c r="E490" s="39">
        <v>459.0</v>
      </c>
      <c r="F490" s="35"/>
      <c r="G490" s="35"/>
      <c r="H490" s="35"/>
      <c r="I490" s="35"/>
      <c r="J490" s="35"/>
      <c r="K490" s="35"/>
    </row>
    <row r="491">
      <c r="A491" s="36" t="s">
        <v>3192</v>
      </c>
      <c r="B491" s="36" t="s">
        <v>1612</v>
      </c>
      <c r="C491" s="37" t="s">
        <v>121</v>
      </c>
      <c r="D491" s="37">
        <v>10.0</v>
      </c>
      <c r="E491" s="37">
        <v>110.0</v>
      </c>
      <c r="F491" s="35"/>
      <c r="G491" s="35"/>
      <c r="H491" s="35"/>
      <c r="I491" s="35"/>
      <c r="J491" s="35"/>
      <c r="K491" s="35"/>
    </row>
    <row r="492">
      <c r="A492" s="38" t="s">
        <v>3193</v>
      </c>
      <c r="B492" s="36" t="s">
        <v>1615</v>
      </c>
      <c r="C492" s="37" t="s">
        <v>36</v>
      </c>
      <c r="D492" s="37">
        <v>2.0</v>
      </c>
      <c r="E492" s="39">
        <v>694.0</v>
      </c>
      <c r="F492" s="35"/>
      <c r="G492" s="35"/>
      <c r="H492" s="35"/>
      <c r="I492" s="35"/>
      <c r="J492" s="35"/>
      <c r="K492" s="35"/>
    </row>
    <row r="493">
      <c r="A493" s="36" t="s">
        <v>3194</v>
      </c>
      <c r="B493" s="36" t="s">
        <v>1618</v>
      </c>
      <c r="C493" s="37" t="s">
        <v>47</v>
      </c>
      <c r="D493" s="37">
        <v>3.0</v>
      </c>
      <c r="E493" s="37">
        <v>1058.0</v>
      </c>
      <c r="F493" s="35"/>
      <c r="G493" s="35"/>
      <c r="H493" s="35"/>
      <c r="I493" s="35"/>
      <c r="J493" s="35"/>
      <c r="K493" s="35"/>
    </row>
    <row r="494">
      <c r="A494" s="36" t="s">
        <v>3195</v>
      </c>
      <c r="B494" s="36" t="s">
        <v>1621</v>
      </c>
      <c r="C494" s="37" t="s">
        <v>462</v>
      </c>
      <c r="D494" s="37">
        <v>6.0</v>
      </c>
      <c r="E494" s="37">
        <v>757.0</v>
      </c>
      <c r="F494" s="35"/>
      <c r="G494" s="35"/>
      <c r="H494" s="35"/>
      <c r="I494" s="35"/>
      <c r="J494" s="35"/>
      <c r="K494" s="35"/>
    </row>
    <row r="495">
      <c r="A495" s="36" t="s">
        <v>3196</v>
      </c>
      <c r="B495" s="36" t="s">
        <v>1627</v>
      </c>
      <c r="C495" s="37" t="s">
        <v>121</v>
      </c>
      <c r="D495" s="37">
        <v>10.0</v>
      </c>
      <c r="E495" s="37">
        <v>315.0</v>
      </c>
      <c r="F495" s="35"/>
      <c r="G495" s="35"/>
      <c r="H495" s="35"/>
      <c r="I495" s="35"/>
      <c r="J495" s="35"/>
      <c r="K495" s="35"/>
    </row>
    <row r="496">
      <c r="A496" s="38" t="s">
        <v>3197</v>
      </c>
      <c r="B496" s="36" t="s">
        <v>1630</v>
      </c>
      <c r="C496" s="37" t="s">
        <v>42</v>
      </c>
      <c r="D496" s="37">
        <v>7.0</v>
      </c>
      <c r="E496" s="39">
        <v>432.0</v>
      </c>
      <c r="F496" s="35"/>
      <c r="G496" s="35"/>
      <c r="H496" s="35"/>
      <c r="I496" s="35"/>
      <c r="J496" s="35"/>
      <c r="K496" s="35"/>
    </row>
    <row r="497">
      <c r="A497" s="38" t="s">
        <v>3198</v>
      </c>
      <c r="B497" s="36" t="s">
        <v>1633</v>
      </c>
      <c r="C497" s="37" t="s">
        <v>187</v>
      </c>
      <c r="D497" s="37">
        <v>9.0</v>
      </c>
      <c r="E497" s="39">
        <v>349.0</v>
      </c>
      <c r="F497" s="35"/>
      <c r="G497" s="35"/>
      <c r="H497" s="35"/>
      <c r="I497" s="35"/>
      <c r="J497" s="35"/>
      <c r="K497" s="35"/>
    </row>
    <row r="498">
      <c r="A498" s="36" t="s">
        <v>3199</v>
      </c>
      <c r="B498" s="36" t="s">
        <v>1636</v>
      </c>
      <c r="C498" s="37" t="s">
        <v>462</v>
      </c>
      <c r="D498" s="37">
        <v>6.0</v>
      </c>
      <c r="E498" s="37">
        <v>316.0</v>
      </c>
      <c r="F498" s="35"/>
      <c r="G498" s="35"/>
      <c r="H498" s="35"/>
      <c r="I498" s="35"/>
      <c r="J498" s="35"/>
      <c r="K498" s="35"/>
    </row>
    <row r="499">
      <c r="A499" s="38" t="s">
        <v>3200</v>
      </c>
      <c r="B499" s="36" t="s">
        <v>1639</v>
      </c>
      <c r="C499" s="37" t="s">
        <v>82</v>
      </c>
      <c r="D499" s="37">
        <v>10.0</v>
      </c>
      <c r="E499" s="39">
        <v>623.0</v>
      </c>
      <c r="F499" s="35"/>
      <c r="G499" s="35"/>
      <c r="H499" s="35"/>
      <c r="I499" s="35"/>
      <c r="J499" s="35"/>
      <c r="K499" s="35"/>
    </row>
    <row r="500">
      <c r="A500" s="38" t="s">
        <v>3201</v>
      </c>
      <c r="B500" s="36" t="s">
        <v>1650</v>
      </c>
      <c r="C500" s="37" t="s">
        <v>462</v>
      </c>
      <c r="D500" s="37">
        <v>6.0</v>
      </c>
      <c r="E500" s="39">
        <v>274.0</v>
      </c>
      <c r="F500" s="35"/>
      <c r="G500" s="35"/>
      <c r="H500" s="35"/>
      <c r="I500" s="35"/>
      <c r="J500" s="35"/>
      <c r="K500" s="35"/>
    </row>
    <row r="501">
      <c r="A501" s="36" t="s">
        <v>3202</v>
      </c>
      <c r="B501" s="36" t="s">
        <v>1653</v>
      </c>
      <c r="C501" s="37" t="s">
        <v>21</v>
      </c>
      <c r="D501" s="37">
        <v>7.0</v>
      </c>
      <c r="E501" s="37">
        <v>736.0</v>
      </c>
      <c r="F501" s="35"/>
      <c r="G501" s="35"/>
      <c r="H501" s="35"/>
      <c r="I501" s="35"/>
      <c r="J501" s="35"/>
      <c r="K501" s="35"/>
    </row>
    <row r="502">
      <c r="A502" s="38" t="s">
        <v>3203</v>
      </c>
      <c r="B502" s="36" t="s">
        <v>1656</v>
      </c>
      <c r="C502" s="37" t="s">
        <v>42</v>
      </c>
      <c r="D502" s="37">
        <v>7.0</v>
      </c>
      <c r="E502" s="39">
        <v>868.0</v>
      </c>
      <c r="F502" s="35"/>
      <c r="G502" s="35"/>
      <c r="H502" s="35"/>
      <c r="I502" s="35"/>
      <c r="J502" s="35"/>
      <c r="K502" s="35"/>
    </row>
    <row r="503">
      <c r="A503" s="36" t="s">
        <v>3204</v>
      </c>
      <c r="B503" s="36" t="s">
        <v>1659</v>
      </c>
      <c r="C503" s="37" t="s">
        <v>199</v>
      </c>
      <c r="D503" s="37">
        <v>1.0</v>
      </c>
      <c r="E503" s="37">
        <v>604.0</v>
      </c>
      <c r="F503" s="35"/>
      <c r="G503" s="35"/>
      <c r="H503" s="35"/>
      <c r="I503" s="35"/>
      <c r="J503" s="35"/>
      <c r="K503" s="35"/>
    </row>
    <row r="504">
      <c r="A504" s="38" t="s">
        <v>3205</v>
      </c>
      <c r="B504" s="36" t="s">
        <v>1662</v>
      </c>
      <c r="C504" s="37" t="s">
        <v>21</v>
      </c>
      <c r="D504" s="37">
        <v>7.0</v>
      </c>
      <c r="E504" s="39">
        <v>1021.0</v>
      </c>
      <c r="F504" s="35"/>
      <c r="G504" s="35"/>
      <c r="H504" s="35"/>
      <c r="I504" s="35"/>
      <c r="J504" s="35"/>
      <c r="K504" s="35"/>
    </row>
    <row r="505">
      <c r="A505" s="36" t="s">
        <v>3206</v>
      </c>
      <c r="B505" s="36" t="s">
        <v>1665</v>
      </c>
      <c r="C505" s="37" t="s">
        <v>31</v>
      </c>
      <c r="D505" s="37">
        <v>5.0</v>
      </c>
      <c r="E505" s="37">
        <v>422.0</v>
      </c>
      <c r="F505" s="35"/>
      <c r="G505" s="35"/>
      <c r="H505" s="35"/>
      <c r="I505" s="35"/>
      <c r="J505" s="35"/>
      <c r="K505" s="35"/>
    </row>
    <row r="506">
      <c r="A506" s="36" t="s">
        <v>3207</v>
      </c>
      <c r="B506" s="36" t="s">
        <v>1668</v>
      </c>
      <c r="C506" s="37" t="s">
        <v>47</v>
      </c>
      <c r="D506" s="37">
        <v>3.0</v>
      </c>
      <c r="E506" s="37">
        <v>635.0</v>
      </c>
      <c r="F506" s="35"/>
      <c r="G506" s="35"/>
      <c r="H506" s="35"/>
      <c r="I506" s="35"/>
      <c r="J506" s="35"/>
      <c r="K506" s="35"/>
    </row>
    <row r="507">
      <c r="A507" s="38" t="s">
        <v>3208</v>
      </c>
      <c r="B507" s="36" t="s">
        <v>1671</v>
      </c>
      <c r="C507" s="37" t="s">
        <v>82</v>
      </c>
      <c r="D507" s="37">
        <v>10.0</v>
      </c>
      <c r="E507" s="39">
        <v>171.0</v>
      </c>
      <c r="F507" s="35"/>
      <c r="G507" s="35"/>
      <c r="H507" s="35"/>
      <c r="I507" s="35"/>
      <c r="J507" s="35"/>
      <c r="K507" s="35"/>
    </row>
    <row r="508">
      <c r="A508" s="36" t="s">
        <v>3209</v>
      </c>
      <c r="B508" s="36" t="s">
        <v>1674</v>
      </c>
      <c r="C508" s="37" t="s">
        <v>232</v>
      </c>
      <c r="D508" s="37">
        <v>3.0</v>
      </c>
      <c r="E508" s="37">
        <v>535.0</v>
      </c>
      <c r="F508" s="35"/>
      <c r="G508" s="35"/>
      <c r="H508" s="35"/>
      <c r="I508" s="35"/>
      <c r="J508" s="35"/>
      <c r="K508" s="35"/>
    </row>
    <row r="509">
      <c r="A509" s="38" t="s">
        <v>3210</v>
      </c>
      <c r="B509" s="36" t="s">
        <v>1677</v>
      </c>
      <c r="C509" s="37" t="s">
        <v>222</v>
      </c>
      <c r="D509" s="37">
        <v>1.0</v>
      </c>
      <c r="E509" s="39">
        <v>1277.0</v>
      </c>
      <c r="F509" s="35"/>
      <c r="G509" s="35"/>
      <c r="H509" s="35"/>
      <c r="I509" s="35"/>
      <c r="J509" s="35"/>
      <c r="K509" s="35"/>
    </row>
    <row r="510">
      <c r="A510" s="36" t="s">
        <v>3211</v>
      </c>
      <c r="B510" s="36" t="s">
        <v>1680</v>
      </c>
      <c r="C510" s="37" t="s">
        <v>87</v>
      </c>
      <c r="D510" s="37">
        <v>2.0</v>
      </c>
      <c r="E510" s="37">
        <v>1531.0</v>
      </c>
      <c r="F510" s="35"/>
      <c r="G510" s="35"/>
      <c r="H510" s="35"/>
      <c r="I510" s="35"/>
      <c r="J510" s="35"/>
      <c r="K510" s="35"/>
    </row>
    <row r="511">
      <c r="A511" s="38" t="s">
        <v>3212</v>
      </c>
      <c r="B511" s="36" t="s">
        <v>1683</v>
      </c>
      <c r="C511" s="37" t="s">
        <v>26</v>
      </c>
      <c r="D511" s="37">
        <v>8.0</v>
      </c>
      <c r="E511" s="39">
        <v>449.0</v>
      </c>
      <c r="F511" s="35"/>
      <c r="G511" s="35"/>
      <c r="H511" s="35"/>
      <c r="I511" s="35"/>
      <c r="J511" s="35"/>
      <c r="K511" s="35"/>
    </row>
    <row r="512">
      <c r="A512" s="38" t="s">
        <v>3213</v>
      </c>
      <c r="B512" s="36" t="s">
        <v>1686</v>
      </c>
      <c r="C512" s="37" t="s">
        <v>21</v>
      </c>
      <c r="D512" s="37">
        <v>7.0</v>
      </c>
      <c r="E512" s="39">
        <v>529.0</v>
      </c>
      <c r="F512" s="35"/>
      <c r="G512" s="35"/>
      <c r="H512" s="35"/>
      <c r="I512" s="35"/>
      <c r="J512" s="35"/>
      <c r="K512" s="35"/>
    </row>
    <row r="513">
      <c r="A513" s="38" t="s">
        <v>3214</v>
      </c>
      <c r="B513" s="36" t="s">
        <v>1689</v>
      </c>
      <c r="C513" s="37" t="s">
        <v>187</v>
      </c>
      <c r="D513" s="37">
        <v>9.0</v>
      </c>
      <c r="E513" s="39">
        <v>220.0</v>
      </c>
      <c r="F513" s="35"/>
      <c r="G513" s="35"/>
      <c r="H513" s="35"/>
      <c r="I513" s="35"/>
      <c r="J513" s="35"/>
      <c r="K513" s="35"/>
    </row>
    <row r="514">
      <c r="A514" s="36" t="s">
        <v>3215</v>
      </c>
      <c r="B514" s="36" t="s">
        <v>1692</v>
      </c>
      <c r="C514" s="37" t="s">
        <v>204</v>
      </c>
      <c r="D514" s="37">
        <v>6.0</v>
      </c>
      <c r="E514" s="37">
        <v>199.0</v>
      </c>
      <c r="F514" s="35"/>
      <c r="G514" s="35"/>
      <c r="H514" s="35"/>
      <c r="I514" s="35"/>
      <c r="J514" s="35"/>
      <c r="K514" s="35"/>
    </row>
    <row r="515">
      <c r="A515" s="38" t="s">
        <v>3216</v>
      </c>
      <c r="B515" s="36" t="s">
        <v>1695</v>
      </c>
      <c r="C515" s="37" t="s">
        <v>21</v>
      </c>
      <c r="D515" s="37">
        <v>7.0</v>
      </c>
      <c r="E515" s="39">
        <v>450.0</v>
      </c>
      <c r="F515" s="35"/>
      <c r="G515" s="35"/>
      <c r="H515" s="35"/>
      <c r="I515" s="35"/>
      <c r="J515" s="35"/>
      <c r="K515" s="35"/>
    </row>
    <row r="516">
      <c r="A516" s="36" t="s">
        <v>3217</v>
      </c>
      <c r="B516" s="36" t="s">
        <v>1698</v>
      </c>
      <c r="C516" s="37" t="s">
        <v>26</v>
      </c>
      <c r="D516" s="37">
        <v>8.0</v>
      </c>
      <c r="E516" s="37">
        <v>440.0</v>
      </c>
      <c r="F516" s="35"/>
      <c r="G516" s="35"/>
      <c r="H516" s="35"/>
      <c r="I516" s="35"/>
      <c r="J516" s="35"/>
      <c r="K516" s="35"/>
    </row>
    <row r="517">
      <c r="A517" s="36" t="s">
        <v>3218</v>
      </c>
      <c r="B517" s="36" t="s">
        <v>1701</v>
      </c>
      <c r="C517" s="37" t="s">
        <v>121</v>
      </c>
      <c r="D517" s="37">
        <v>10.0</v>
      </c>
      <c r="E517" s="37">
        <v>319.0</v>
      </c>
      <c r="F517" s="35"/>
      <c r="G517" s="35"/>
      <c r="H517" s="35"/>
      <c r="I517" s="35"/>
      <c r="J517" s="35"/>
      <c r="K517" s="35"/>
    </row>
    <row r="518">
      <c r="A518" s="38" t="s">
        <v>3219</v>
      </c>
      <c r="B518" s="36" t="s">
        <v>1704</v>
      </c>
      <c r="C518" s="37" t="s">
        <v>178</v>
      </c>
      <c r="D518" s="37">
        <v>9.0</v>
      </c>
      <c r="E518" s="39">
        <v>385.0</v>
      </c>
      <c r="F518" s="35"/>
      <c r="G518" s="35"/>
      <c r="H518" s="35"/>
      <c r="I518" s="35"/>
      <c r="J518" s="35"/>
      <c r="K518" s="35"/>
    </row>
    <row r="519">
      <c r="A519" s="36" t="s">
        <v>3220</v>
      </c>
      <c r="B519" s="36" t="s">
        <v>1707</v>
      </c>
      <c r="C519" s="37" t="s">
        <v>82</v>
      </c>
      <c r="D519" s="37">
        <v>10.0</v>
      </c>
      <c r="E519" s="37">
        <v>1157.0</v>
      </c>
      <c r="F519" s="35"/>
      <c r="G519" s="35"/>
      <c r="H519" s="35"/>
      <c r="I519" s="35"/>
      <c r="J519" s="35"/>
      <c r="K519" s="35"/>
    </row>
    <row r="520">
      <c r="A520" s="36" t="s">
        <v>3221</v>
      </c>
      <c r="B520" s="36" t="s">
        <v>1713</v>
      </c>
      <c r="C520" s="37" t="s">
        <v>217</v>
      </c>
      <c r="D520" s="37">
        <v>5.0</v>
      </c>
      <c r="E520" s="37">
        <v>976.0</v>
      </c>
      <c r="F520" s="35"/>
      <c r="G520" s="35"/>
      <c r="H520" s="35"/>
      <c r="I520" s="35"/>
      <c r="J520" s="35"/>
      <c r="K520" s="35"/>
    </row>
    <row r="521">
      <c r="A521" s="36" t="s">
        <v>3222</v>
      </c>
      <c r="B521" s="36" t="s">
        <v>1716</v>
      </c>
      <c r="C521" s="37" t="s">
        <v>462</v>
      </c>
      <c r="D521" s="37">
        <v>6.0</v>
      </c>
      <c r="E521" s="37">
        <v>490.0</v>
      </c>
      <c r="F521" s="35"/>
      <c r="G521" s="35"/>
      <c r="H521" s="35"/>
      <c r="I521" s="35"/>
      <c r="J521" s="35"/>
      <c r="K521" s="35"/>
    </row>
    <row r="522">
      <c r="A522" s="36" t="s">
        <v>3223</v>
      </c>
      <c r="B522" s="36" t="s">
        <v>1719</v>
      </c>
      <c r="C522" s="37" t="s">
        <v>82</v>
      </c>
      <c r="D522" s="37">
        <v>10.0</v>
      </c>
      <c r="E522" s="37">
        <v>316.0</v>
      </c>
      <c r="F522" s="35"/>
      <c r="G522" s="35"/>
      <c r="H522" s="35"/>
      <c r="I522" s="35"/>
      <c r="J522" s="35"/>
      <c r="K522" s="35"/>
    </row>
    <row r="523">
      <c r="A523" s="38" t="s">
        <v>3224</v>
      </c>
      <c r="B523" s="36" t="s">
        <v>1722</v>
      </c>
      <c r="C523" s="37" t="s">
        <v>222</v>
      </c>
      <c r="D523" s="37">
        <v>1.0</v>
      </c>
      <c r="E523" s="39">
        <v>747.0</v>
      </c>
      <c r="F523" s="35"/>
      <c r="G523" s="35"/>
      <c r="H523" s="35"/>
      <c r="I523" s="35"/>
      <c r="J523" s="35"/>
      <c r="K523" s="35"/>
    </row>
    <row r="524">
      <c r="A524" s="38" t="s">
        <v>3225</v>
      </c>
      <c r="B524" s="36" t="s">
        <v>1725</v>
      </c>
      <c r="C524" s="37" t="s">
        <v>42</v>
      </c>
      <c r="D524" s="37">
        <v>7.0</v>
      </c>
      <c r="E524" s="39">
        <v>395.0</v>
      </c>
      <c r="F524" s="35"/>
      <c r="G524" s="35"/>
      <c r="H524" s="35"/>
      <c r="I524" s="35"/>
      <c r="J524" s="35"/>
      <c r="K524" s="35"/>
    </row>
    <row r="525">
      <c r="A525" s="38" t="s">
        <v>3226</v>
      </c>
      <c r="B525" s="36" t="s">
        <v>1728</v>
      </c>
      <c r="C525" s="37" t="s">
        <v>42</v>
      </c>
      <c r="D525" s="37">
        <v>7.0</v>
      </c>
      <c r="E525" s="39">
        <v>281.0</v>
      </c>
      <c r="F525" s="35"/>
      <c r="G525" s="35"/>
      <c r="H525" s="35"/>
      <c r="I525" s="35"/>
      <c r="J525" s="35"/>
      <c r="K525" s="35"/>
    </row>
    <row r="526">
      <c r="A526" s="36" t="s">
        <v>3227</v>
      </c>
      <c r="B526" s="36" t="s">
        <v>1730</v>
      </c>
      <c r="C526" s="37" t="s">
        <v>199</v>
      </c>
      <c r="D526" s="37">
        <v>1.0</v>
      </c>
      <c r="E526" s="37">
        <v>345.0</v>
      </c>
      <c r="F526" s="35"/>
      <c r="G526" s="35"/>
      <c r="H526" s="35"/>
      <c r="I526" s="35"/>
      <c r="J526" s="35"/>
      <c r="K526" s="35"/>
    </row>
    <row r="527">
      <c r="A527" s="36" t="s">
        <v>3228</v>
      </c>
      <c r="B527" s="36" t="s">
        <v>1733</v>
      </c>
      <c r="C527" s="37" t="s">
        <v>21</v>
      </c>
      <c r="D527" s="37">
        <v>7.0</v>
      </c>
      <c r="E527" s="37">
        <v>1224.0</v>
      </c>
      <c r="F527" s="35"/>
      <c r="G527" s="35"/>
      <c r="H527" s="35"/>
      <c r="I527" s="35"/>
      <c r="J527" s="35"/>
      <c r="K527" s="35"/>
    </row>
    <row r="528">
      <c r="A528" s="38" t="s">
        <v>3229</v>
      </c>
      <c r="B528" s="36" t="s">
        <v>1736</v>
      </c>
      <c r="C528" s="37" t="s">
        <v>139</v>
      </c>
      <c r="D528" s="37">
        <v>8.0</v>
      </c>
      <c r="E528" s="39">
        <v>396.0</v>
      </c>
      <c r="F528" s="35"/>
      <c r="G528" s="35"/>
      <c r="H528" s="35"/>
      <c r="I528" s="35"/>
      <c r="J528" s="35"/>
      <c r="K528" s="35"/>
    </row>
    <row r="529">
      <c r="A529" s="36" t="s">
        <v>3230</v>
      </c>
      <c r="B529" s="36" t="s">
        <v>1739</v>
      </c>
      <c r="C529" s="37" t="s">
        <v>26</v>
      </c>
      <c r="D529" s="37">
        <v>8.0</v>
      </c>
      <c r="E529" s="37">
        <v>801.0</v>
      </c>
      <c r="F529" s="35"/>
      <c r="G529" s="35"/>
      <c r="H529" s="35"/>
      <c r="I529" s="35"/>
      <c r="J529" s="35"/>
      <c r="K529" s="35"/>
    </row>
    <row r="530">
      <c r="A530" s="38" t="s">
        <v>3231</v>
      </c>
      <c r="B530" s="36" t="s">
        <v>1742</v>
      </c>
      <c r="C530" s="37" t="s">
        <v>121</v>
      </c>
      <c r="D530" s="37">
        <v>10.0</v>
      </c>
      <c r="E530" s="39">
        <v>253.0</v>
      </c>
      <c r="F530" s="35"/>
      <c r="G530" s="35"/>
      <c r="H530" s="35"/>
      <c r="I530" s="35"/>
      <c r="J530" s="35"/>
      <c r="K530" s="35"/>
    </row>
    <row r="531">
      <c r="A531" s="36" t="s">
        <v>3232</v>
      </c>
      <c r="B531" s="36" t="s">
        <v>1745</v>
      </c>
      <c r="C531" s="37" t="s">
        <v>82</v>
      </c>
      <c r="D531" s="37">
        <v>10.0</v>
      </c>
      <c r="E531" s="37">
        <v>509.0</v>
      </c>
      <c r="F531" s="35"/>
      <c r="G531" s="35"/>
      <c r="H531" s="35"/>
      <c r="I531" s="35"/>
      <c r="J531" s="35"/>
      <c r="K531" s="35"/>
    </row>
    <row r="532">
      <c r="A532" s="38" t="s">
        <v>3233</v>
      </c>
      <c r="B532" s="36" t="s">
        <v>1751</v>
      </c>
      <c r="C532" s="37" t="s">
        <v>31</v>
      </c>
      <c r="D532" s="37">
        <v>5.0</v>
      </c>
      <c r="E532" s="39">
        <v>386.0</v>
      </c>
      <c r="F532" s="35"/>
      <c r="G532" s="35"/>
      <c r="H532" s="35"/>
      <c r="I532" s="35"/>
      <c r="J532" s="35"/>
      <c r="K532" s="35"/>
    </row>
    <row r="533">
      <c r="A533" s="38" t="s">
        <v>3234</v>
      </c>
      <c r="B533" s="36" t="s">
        <v>1754</v>
      </c>
      <c r="C533" s="37" t="s">
        <v>42</v>
      </c>
      <c r="D533" s="37">
        <v>7.0</v>
      </c>
      <c r="E533" s="39">
        <v>293.0</v>
      </c>
      <c r="F533" s="35"/>
      <c r="G533" s="35"/>
      <c r="H533" s="35"/>
      <c r="I533" s="35"/>
      <c r="J533" s="35"/>
      <c r="K533" s="35"/>
    </row>
    <row r="534">
      <c r="A534" s="38" t="s">
        <v>1758</v>
      </c>
      <c r="B534" s="36" t="s">
        <v>1757</v>
      </c>
      <c r="C534" s="37" t="s">
        <v>42</v>
      </c>
      <c r="D534" s="37">
        <v>7.0</v>
      </c>
      <c r="E534" s="39">
        <v>73.0</v>
      </c>
      <c r="F534" s="35"/>
      <c r="G534" s="35"/>
      <c r="H534" s="35"/>
      <c r="I534" s="35"/>
      <c r="J534" s="35"/>
      <c r="K534" s="35"/>
    </row>
    <row r="535">
      <c r="A535" s="36" t="s">
        <v>3235</v>
      </c>
      <c r="B535" s="36" t="s">
        <v>1759</v>
      </c>
      <c r="C535" s="37" t="s">
        <v>187</v>
      </c>
      <c r="D535" s="37">
        <v>9.0</v>
      </c>
      <c r="E535" s="37">
        <v>379.0</v>
      </c>
      <c r="F535" s="35"/>
      <c r="G535" s="35"/>
      <c r="H535" s="35"/>
      <c r="I535" s="35"/>
      <c r="J535" s="35"/>
      <c r="K535" s="35"/>
    </row>
    <row r="536">
      <c r="A536" s="36" t="s">
        <v>3236</v>
      </c>
      <c r="B536" s="36" t="s">
        <v>1762</v>
      </c>
      <c r="C536" s="37" t="s">
        <v>222</v>
      </c>
      <c r="D536" s="37">
        <v>1.0</v>
      </c>
      <c r="E536" s="37">
        <v>1129.0</v>
      </c>
      <c r="F536" s="35"/>
      <c r="G536" s="35"/>
      <c r="H536" s="35"/>
      <c r="I536" s="35"/>
      <c r="J536" s="35"/>
      <c r="K536" s="35"/>
    </row>
    <row r="537">
      <c r="A537" s="38" t="s">
        <v>3237</v>
      </c>
      <c r="B537" s="36" t="s">
        <v>1765</v>
      </c>
      <c r="C537" s="37" t="s">
        <v>42</v>
      </c>
      <c r="D537" s="37">
        <v>7.0</v>
      </c>
      <c r="E537" s="39">
        <v>395.0</v>
      </c>
      <c r="F537" s="35"/>
      <c r="G537" s="35"/>
      <c r="H537" s="35"/>
      <c r="I537" s="35"/>
      <c r="J537" s="35"/>
      <c r="K537" s="35"/>
    </row>
    <row r="538">
      <c r="A538" s="38" t="s">
        <v>3238</v>
      </c>
      <c r="B538" s="36" t="s">
        <v>1768</v>
      </c>
      <c r="C538" s="37" t="s">
        <v>139</v>
      </c>
      <c r="D538" s="37">
        <v>8.0</v>
      </c>
      <c r="E538" s="39">
        <v>1117.0</v>
      </c>
      <c r="F538" s="35"/>
      <c r="G538" s="35"/>
      <c r="H538" s="35"/>
      <c r="I538" s="35"/>
      <c r="J538" s="35"/>
      <c r="K538" s="35"/>
    </row>
    <row r="539">
      <c r="A539" s="36" t="s">
        <v>3239</v>
      </c>
      <c r="B539" s="36" t="s">
        <v>1771</v>
      </c>
      <c r="C539" s="37" t="s">
        <v>199</v>
      </c>
      <c r="D539" s="37">
        <v>1.0</v>
      </c>
      <c r="E539" s="40"/>
      <c r="F539" s="35"/>
      <c r="G539" s="35"/>
      <c r="H539" s="35"/>
      <c r="I539" s="35"/>
      <c r="J539" s="35"/>
      <c r="K539" s="35"/>
    </row>
    <row r="540">
      <c r="A540" s="36" t="s">
        <v>3240</v>
      </c>
      <c r="B540" s="36" t="s">
        <v>1774</v>
      </c>
      <c r="C540" s="37" t="s">
        <v>36</v>
      </c>
      <c r="D540" s="37">
        <v>2.0</v>
      </c>
      <c r="E540" s="37">
        <v>551.0</v>
      </c>
      <c r="F540" s="35"/>
      <c r="G540" s="35"/>
      <c r="H540" s="35"/>
      <c r="I540" s="35"/>
      <c r="J540" s="35"/>
      <c r="K540" s="35"/>
    </row>
    <row r="541">
      <c r="A541" s="38" t="s">
        <v>3241</v>
      </c>
      <c r="B541" s="36" t="s">
        <v>1777</v>
      </c>
      <c r="C541" s="37" t="s">
        <v>232</v>
      </c>
      <c r="D541" s="37">
        <v>3.0</v>
      </c>
      <c r="E541" s="39">
        <v>551.0</v>
      </c>
      <c r="F541" s="35"/>
      <c r="G541" s="35"/>
      <c r="H541" s="35"/>
      <c r="I541" s="35"/>
      <c r="J541" s="35"/>
      <c r="K541" s="35"/>
    </row>
    <row r="542">
      <c r="A542" s="38" t="s">
        <v>3242</v>
      </c>
      <c r="B542" s="36" t="s">
        <v>1780</v>
      </c>
      <c r="C542" s="37" t="s">
        <v>217</v>
      </c>
      <c r="D542" s="37">
        <v>5.0</v>
      </c>
      <c r="E542" s="39">
        <v>444.0</v>
      </c>
      <c r="F542" s="35"/>
      <c r="G542" s="35"/>
      <c r="H542" s="35"/>
      <c r="I542" s="35"/>
      <c r="J542" s="35"/>
      <c r="K542" s="35"/>
    </row>
    <row r="543">
      <c r="A543" s="38" t="s">
        <v>3243</v>
      </c>
      <c r="B543" s="36" t="s">
        <v>1783</v>
      </c>
      <c r="C543" s="37" t="s">
        <v>36</v>
      </c>
      <c r="D543" s="37">
        <v>2.0</v>
      </c>
      <c r="E543" s="39">
        <v>662.0</v>
      </c>
      <c r="F543" s="35"/>
      <c r="G543" s="35"/>
      <c r="H543" s="35"/>
      <c r="I543" s="35"/>
      <c r="J543" s="35"/>
      <c r="K543" s="35"/>
    </row>
    <row r="544">
      <c r="A544" s="38" t="s">
        <v>3244</v>
      </c>
      <c r="B544" s="36" t="s">
        <v>1786</v>
      </c>
      <c r="C544" s="37" t="s">
        <v>217</v>
      </c>
      <c r="D544" s="37">
        <v>5.0</v>
      </c>
      <c r="E544" s="39">
        <v>201.0</v>
      </c>
      <c r="F544" s="35"/>
      <c r="G544" s="35"/>
      <c r="H544" s="35"/>
      <c r="I544" s="35"/>
      <c r="J544" s="35"/>
      <c r="K544" s="35"/>
    </row>
    <row r="545">
      <c r="A545" s="36" t="s">
        <v>3245</v>
      </c>
      <c r="B545" s="36" t="s">
        <v>1789</v>
      </c>
      <c r="C545" s="37" t="s">
        <v>178</v>
      </c>
      <c r="D545" s="37">
        <v>9.0</v>
      </c>
      <c r="E545" s="37">
        <v>572.0</v>
      </c>
      <c r="F545" s="35"/>
      <c r="G545" s="35"/>
      <c r="H545" s="35"/>
      <c r="I545" s="35"/>
      <c r="J545" s="35"/>
      <c r="K545" s="35"/>
    </row>
    <row r="546">
      <c r="A546" s="38" t="s">
        <v>3246</v>
      </c>
      <c r="B546" s="36" t="s">
        <v>1792</v>
      </c>
      <c r="C546" s="37" t="s">
        <v>87</v>
      </c>
      <c r="D546" s="37">
        <v>2.0</v>
      </c>
      <c r="E546" s="39">
        <v>532.0</v>
      </c>
      <c r="F546" s="35"/>
      <c r="G546" s="35"/>
      <c r="H546" s="35"/>
      <c r="I546" s="35"/>
      <c r="J546" s="35"/>
      <c r="K546" s="35"/>
    </row>
    <row r="547">
      <c r="A547" s="36" t="s">
        <v>3247</v>
      </c>
      <c r="B547" s="36" t="s">
        <v>1795</v>
      </c>
      <c r="C547" s="37" t="s">
        <v>199</v>
      </c>
      <c r="D547" s="37">
        <v>1.0</v>
      </c>
      <c r="E547" s="37">
        <v>4329.0</v>
      </c>
      <c r="F547" s="35"/>
      <c r="G547" s="35"/>
      <c r="H547" s="35"/>
      <c r="I547" s="35"/>
      <c r="J547" s="35"/>
      <c r="K547" s="35"/>
    </row>
    <row r="548">
      <c r="A548" s="36" t="s">
        <v>3248</v>
      </c>
      <c r="B548" s="36" t="s">
        <v>1798</v>
      </c>
      <c r="C548" s="37" t="s">
        <v>217</v>
      </c>
      <c r="D548" s="37">
        <v>5.0</v>
      </c>
      <c r="E548" s="37">
        <v>436.0</v>
      </c>
      <c r="F548" s="35"/>
      <c r="G548" s="35"/>
      <c r="H548" s="35"/>
      <c r="I548" s="35"/>
      <c r="J548" s="35"/>
      <c r="K548" s="35"/>
    </row>
    <row r="549">
      <c r="A549" s="36" t="s">
        <v>3249</v>
      </c>
      <c r="B549" s="36" t="s">
        <v>1801</v>
      </c>
      <c r="C549" s="37" t="s">
        <v>21</v>
      </c>
      <c r="D549" s="37">
        <v>7.0</v>
      </c>
      <c r="E549" s="37">
        <v>345.0</v>
      </c>
      <c r="F549" s="35"/>
      <c r="G549" s="35"/>
      <c r="H549" s="35"/>
      <c r="I549" s="35"/>
      <c r="J549" s="35"/>
      <c r="K549" s="35"/>
    </row>
    <row r="550">
      <c r="A550" s="38" t="s">
        <v>3250</v>
      </c>
      <c r="B550" s="36" t="s">
        <v>1804</v>
      </c>
      <c r="C550" s="37" t="s">
        <v>204</v>
      </c>
      <c r="D550" s="37">
        <v>6.0</v>
      </c>
      <c r="E550" s="39">
        <v>291.0</v>
      </c>
      <c r="F550" s="35"/>
      <c r="G550" s="35"/>
      <c r="H550" s="35"/>
      <c r="I550" s="35"/>
      <c r="J550" s="35"/>
      <c r="K550" s="35"/>
    </row>
    <row r="551">
      <c r="A551" s="36" t="s">
        <v>3251</v>
      </c>
      <c r="B551" s="36" t="s">
        <v>1807</v>
      </c>
      <c r="C551" s="37" t="s">
        <v>139</v>
      </c>
      <c r="D551" s="37">
        <v>8.0</v>
      </c>
      <c r="E551" s="37">
        <v>863.0</v>
      </c>
      <c r="F551" s="35"/>
      <c r="G551" s="35"/>
      <c r="H551" s="35"/>
      <c r="I551" s="35"/>
      <c r="J551" s="35"/>
      <c r="K551" s="35"/>
    </row>
    <row r="552">
      <c r="A552" s="38" t="s">
        <v>3252</v>
      </c>
      <c r="B552" s="36" t="s">
        <v>1810</v>
      </c>
      <c r="C552" s="37" t="s">
        <v>82</v>
      </c>
      <c r="D552" s="37">
        <v>10.0</v>
      </c>
      <c r="E552" s="39">
        <v>337.0</v>
      </c>
      <c r="F552" s="35"/>
      <c r="G552" s="35"/>
      <c r="H552" s="35"/>
      <c r="I552" s="35"/>
      <c r="J552" s="35"/>
      <c r="K552" s="35"/>
    </row>
    <row r="553">
      <c r="A553" s="38" t="s">
        <v>3253</v>
      </c>
      <c r="B553" s="36" t="s">
        <v>1813</v>
      </c>
      <c r="C553" s="37" t="s">
        <v>42</v>
      </c>
      <c r="D553" s="37">
        <v>7.0</v>
      </c>
      <c r="E553" s="39">
        <v>219.0</v>
      </c>
      <c r="F553" s="35"/>
      <c r="G553" s="35"/>
      <c r="H553" s="35"/>
      <c r="I553" s="35"/>
      <c r="J553" s="35"/>
      <c r="K553" s="35"/>
    </row>
    <row r="554">
      <c r="A554" s="36" t="s">
        <v>3254</v>
      </c>
      <c r="B554" s="36" t="s">
        <v>1816</v>
      </c>
      <c r="C554" s="37" t="s">
        <v>26</v>
      </c>
      <c r="D554" s="37">
        <v>8.0</v>
      </c>
      <c r="E554" s="40"/>
      <c r="F554" s="35"/>
      <c r="G554" s="35"/>
      <c r="H554" s="35"/>
      <c r="I554" s="35"/>
      <c r="J554" s="35"/>
      <c r="K554" s="35"/>
    </row>
    <row r="555">
      <c r="A555" s="36" t="s">
        <v>3255</v>
      </c>
      <c r="B555" s="36" t="s">
        <v>1819</v>
      </c>
      <c r="C555" s="37" t="s">
        <v>82</v>
      </c>
      <c r="D555" s="37">
        <v>10.0</v>
      </c>
      <c r="E555" s="37">
        <v>271.0</v>
      </c>
      <c r="F555" s="35"/>
      <c r="G555" s="35"/>
      <c r="H555" s="35"/>
      <c r="I555" s="35"/>
      <c r="J555" s="35"/>
      <c r="K555" s="35"/>
    </row>
    <row r="556">
      <c r="A556" s="38" t="s">
        <v>3256</v>
      </c>
      <c r="B556" s="36" t="s">
        <v>1821</v>
      </c>
      <c r="C556" s="37" t="s">
        <v>222</v>
      </c>
      <c r="D556" s="37">
        <v>1.0</v>
      </c>
      <c r="E556" s="39">
        <v>787.0</v>
      </c>
      <c r="F556" s="35"/>
      <c r="G556" s="35"/>
      <c r="H556" s="35"/>
      <c r="I556" s="35"/>
      <c r="J556" s="35"/>
      <c r="K556" s="35"/>
    </row>
    <row r="557">
      <c r="A557" s="38" t="s">
        <v>3257</v>
      </c>
      <c r="B557" s="36" t="s">
        <v>1824</v>
      </c>
      <c r="C557" s="37" t="s">
        <v>187</v>
      </c>
      <c r="D557" s="37">
        <v>9.0</v>
      </c>
      <c r="E557" s="39">
        <v>215.0</v>
      </c>
      <c r="F557" s="35"/>
      <c r="G557" s="35"/>
      <c r="H557" s="35"/>
      <c r="I557" s="35"/>
      <c r="J557" s="35"/>
      <c r="K557" s="35"/>
    </row>
    <row r="558">
      <c r="A558" s="36" t="s">
        <v>3258</v>
      </c>
      <c r="B558" s="36" t="s">
        <v>1827</v>
      </c>
      <c r="C558" s="37" t="s">
        <v>204</v>
      </c>
      <c r="D558" s="37">
        <v>6.0</v>
      </c>
      <c r="E558" s="37">
        <v>302.0</v>
      </c>
      <c r="F558" s="35"/>
      <c r="G558" s="35"/>
      <c r="H558" s="35"/>
      <c r="I558" s="35"/>
      <c r="J558" s="35"/>
      <c r="K558" s="35"/>
    </row>
    <row r="559">
      <c r="A559" s="36" t="s">
        <v>3259</v>
      </c>
      <c r="B559" s="36" t="s">
        <v>1830</v>
      </c>
      <c r="C559" s="37" t="s">
        <v>217</v>
      </c>
      <c r="D559" s="37">
        <v>5.0</v>
      </c>
      <c r="E559" s="37">
        <v>232.0</v>
      </c>
      <c r="F559" s="35"/>
      <c r="G559" s="35"/>
      <c r="H559" s="35"/>
      <c r="I559" s="35"/>
      <c r="J559" s="35"/>
      <c r="K559" s="35"/>
    </row>
    <row r="560">
      <c r="A560" s="38" t="s">
        <v>1257</v>
      </c>
      <c r="B560" s="36" t="s">
        <v>2622</v>
      </c>
      <c r="C560" s="37" t="e">
        <v>#N/A</v>
      </c>
      <c r="D560" s="37" t="s">
        <v>2783</v>
      </c>
      <c r="E560" s="39">
        <v>789.0</v>
      </c>
      <c r="F560" s="35"/>
      <c r="G560" s="35"/>
      <c r="H560" s="35"/>
      <c r="I560" s="35"/>
      <c r="J560" s="35"/>
      <c r="K560" s="35"/>
    </row>
    <row r="561">
      <c r="A561" s="38" t="s">
        <v>3260</v>
      </c>
      <c r="B561" s="36" t="s">
        <v>1833</v>
      </c>
      <c r="C561" s="37" t="s">
        <v>103</v>
      </c>
      <c r="D561" s="37">
        <v>4.0</v>
      </c>
      <c r="E561" s="39">
        <v>294.0</v>
      </c>
      <c r="F561" s="35"/>
      <c r="G561" s="35"/>
      <c r="H561" s="35"/>
      <c r="I561" s="35"/>
      <c r="J561" s="35"/>
      <c r="K561" s="35"/>
    </row>
    <row r="562">
      <c r="A562" s="38" t="s">
        <v>3261</v>
      </c>
      <c r="B562" s="36" t="s">
        <v>1836</v>
      </c>
      <c r="C562" s="37" t="s">
        <v>178</v>
      </c>
      <c r="D562" s="37">
        <v>9.0</v>
      </c>
      <c r="E562" s="39">
        <v>199.0</v>
      </c>
      <c r="F562" s="35"/>
      <c r="G562" s="35"/>
      <c r="H562" s="35"/>
      <c r="I562" s="35"/>
      <c r="J562" s="35"/>
      <c r="K562" s="35"/>
    </row>
    <row r="563">
      <c r="A563" s="38" t="s">
        <v>3262</v>
      </c>
      <c r="B563" s="36" t="s">
        <v>1839</v>
      </c>
      <c r="C563" s="37" t="s">
        <v>139</v>
      </c>
      <c r="D563" s="37">
        <v>8.0</v>
      </c>
      <c r="E563" s="39">
        <v>922.0</v>
      </c>
      <c r="F563" s="35"/>
      <c r="G563" s="35"/>
      <c r="H563" s="35"/>
      <c r="I563" s="35"/>
      <c r="J563" s="35"/>
      <c r="K563" s="35"/>
    </row>
    <row r="564">
      <c r="A564" s="36" t="s">
        <v>3263</v>
      </c>
      <c r="B564" s="36" t="s">
        <v>1842</v>
      </c>
      <c r="C564" s="37" t="s">
        <v>121</v>
      </c>
      <c r="D564" s="37">
        <v>10.0</v>
      </c>
      <c r="E564" s="37">
        <v>456.0</v>
      </c>
      <c r="F564" s="35"/>
      <c r="G564" s="35"/>
      <c r="H564" s="35"/>
      <c r="I564" s="35"/>
      <c r="J564" s="35"/>
      <c r="K564" s="35"/>
    </row>
    <row r="565">
      <c r="A565" s="36" t="s">
        <v>3264</v>
      </c>
      <c r="B565" s="36" t="s">
        <v>1845</v>
      </c>
      <c r="C565" s="37" t="s">
        <v>121</v>
      </c>
      <c r="D565" s="37">
        <v>10.0</v>
      </c>
      <c r="E565" s="37">
        <v>299.0</v>
      </c>
      <c r="F565" s="35"/>
      <c r="G565" s="35"/>
      <c r="H565" s="35"/>
      <c r="I565" s="35"/>
      <c r="J565" s="35"/>
      <c r="K565" s="35"/>
    </row>
    <row r="566">
      <c r="A566" s="36" t="s">
        <v>3265</v>
      </c>
      <c r="B566" s="36" t="s">
        <v>1847</v>
      </c>
      <c r="C566" s="37" t="s">
        <v>204</v>
      </c>
      <c r="D566" s="37">
        <v>6.0</v>
      </c>
      <c r="E566" s="37">
        <v>574.0</v>
      </c>
      <c r="F566" s="35"/>
      <c r="G566" s="35"/>
      <c r="H566" s="35"/>
      <c r="I566" s="35"/>
      <c r="J566" s="35"/>
      <c r="K566" s="35"/>
    </row>
    <row r="567">
      <c r="A567" s="36" t="s">
        <v>1851</v>
      </c>
      <c r="B567" s="36" t="s">
        <v>1850</v>
      </c>
      <c r="C567" s="37" t="s">
        <v>243</v>
      </c>
      <c r="D567" s="37">
        <v>4.0</v>
      </c>
      <c r="E567" s="37">
        <v>98.0</v>
      </c>
      <c r="F567" s="35"/>
      <c r="G567" s="35"/>
      <c r="H567" s="35"/>
      <c r="I567" s="35"/>
      <c r="J567" s="35"/>
      <c r="K567" s="35"/>
    </row>
    <row r="568">
      <c r="A568" s="36" t="s">
        <v>3266</v>
      </c>
      <c r="B568" s="36" t="s">
        <v>1853</v>
      </c>
      <c r="C568" s="37" t="s">
        <v>121</v>
      </c>
      <c r="D568" s="37">
        <v>10.0</v>
      </c>
      <c r="E568" s="37">
        <v>217.0</v>
      </c>
      <c r="F568" s="35"/>
      <c r="G568" s="35"/>
      <c r="H568" s="35"/>
      <c r="I568" s="35"/>
      <c r="J568" s="35"/>
      <c r="K568" s="35"/>
    </row>
    <row r="569">
      <c r="A569" s="36" t="s">
        <v>3267</v>
      </c>
      <c r="B569" s="36" t="s">
        <v>1856</v>
      </c>
      <c r="C569" s="37" t="s">
        <v>204</v>
      </c>
      <c r="D569" s="37">
        <v>6.0</v>
      </c>
      <c r="E569" s="37">
        <v>155.0</v>
      </c>
      <c r="F569" s="35"/>
      <c r="G569" s="35"/>
      <c r="H569" s="35"/>
      <c r="I569" s="35"/>
      <c r="J569" s="35"/>
      <c r="K569" s="35"/>
    </row>
    <row r="570">
      <c r="A570" s="36" t="s">
        <v>3268</v>
      </c>
      <c r="B570" s="36" t="s">
        <v>1859</v>
      </c>
      <c r="C570" s="37" t="s">
        <v>178</v>
      </c>
      <c r="D570" s="37">
        <v>9.0</v>
      </c>
      <c r="E570" s="37">
        <v>241.0</v>
      </c>
      <c r="F570" s="35"/>
      <c r="G570" s="35"/>
      <c r="H570" s="35"/>
      <c r="I570" s="35"/>
      <c r="J570" s="35"/>
      <c r="K570" s="35"/>
    </row>
    <row r="571">
      <c r="A571" s="38" t="s">
        <v>3269</v>
      </c>
      <c r="B571" s="36" t="s">
        <v>1865</v>
      </c>
      <c r="C571" s="37" t="s">
        <v>178</v>
      </c>
      <c r="D571" s="37">
        <v>9.0</v>
      </c>
      <c r="E571" s="41"/>
      <c r="F571" s="35"/>
      <c r="G571" s="35"/>
      <c r="H571" s="35"/>
      <c r="I571" s="35"/>
      <c r="J571" s="35"/>
      <c r="K571" s="35"/>
    </row>
    <row r="572">
      <c r="A572" s="36" t="s">
        <v>3270</v>
      </c>
      <c r="B572" s="36" t="s">
        <v>1868</v>
      </c>
      <c r="C572" s="37" t="s">
        <v>87</v>
      </c>
      <c r="D572" s="37">
        <v>2.0</v>
      </c>
      <c r="E572" s="37">
        <v>694.0</v>
      </c>
      <c r="F572" s="35"/>
      <c r="G572" s="35"/>
      <c r="H572" s="35"/>
      <c r="I572" s="35"/>
      <c r="J572" s="35"/>
      <c r="K572" s="35"/>
    </row>
    <row r="573">
      <c r="A573" s="36" t="s">
        <v>3271</v>
      </c>
      <c r="B573" s="36" t="s">
        <v>1871</v>
      </c>
      <c r="C573" s="37" t="s">
        <v>47</v>
      </c>
      <c r="D573" s="37">
        <v>3.0</v>
      </c>
      <c r="E573" s="37">
        <v>621.0</v>
      </c>
      <c r="F573" s="35"/>
      <c r="G573" s="35"/>
      <c r="H573" s="35"/>
      <c r="I573" s="35"/>
      <c r="J573" s="35"/>
      <c r="K573" s="35"/>
    </row>
    <row r="574">
      <c r="A574" s="36" t="s">
        <v>3272</v>
      </c>
      <c r="B574" s="36" t="s">
        <v>1874</v>
      </c>
      <c r="C574" s="37" t="s">
        <v>87</v>
      </c>
      <c r="D574" s="37">
        <v>2.0</v>
      </c>
      <c r="E574" s="37">
        <v>1643.0</v>
      </c>
      <c r="F574" s="35"/>
      <c r="G574" s="35"/>
      <c r="H574" s="35"/>
      <c r="I574" s="35"/>
      <c r="J574" s="35"/>
      <c r="K574" s="35"/>
    </row>
    <row r="575">
      <c r="A575" s="38" t="s">
        <v>3273</v>
      </c>
      <c r="B575" s="36" t="s">
        <v>1877</v>
      </c>
      <c r="C575" s="37" t="s">
        <v>178</v>
      </c>
      <c r="D575" s="37">
        <v>9.0</v>
      </c>
      <c r="E575" s="39">
        <v>218.0</v>
      </c>
      <c r="F575" s="35"/>
      <c r="G575" s="35"/>
      <c r="H575" s="35"/>
      <c r="I575" s="35"/>
      <c r="J575" s="35"/>
      <c r="K575" s="35"/>
    </row>
    <row r="576">
      <c r="A576" s="36" t="s">
        <v>3274</v>
      </c>
      <c r="B576" s="36" t="s">
        <v>1880</v>
      </c>
      <c r="C576" s="37" t="s">
        <v>204</v>
      </c>
      <c r="D576" s="37">
        <v>6.0</v>
      </c>
      <c r="E576" s="37">
        <v>460.0</v>
      </c>
      <c r="F576" s="35"/>
      <c r="G576" s="35"/>
      <c r="H576" s="35"/>
      <c r="I576" s="35"/>
      <c r="J576" s="35"/>
      <c r="K576" s="35"/>
    </row>
    <row r="577">
      <c r="A577" s="36" t="s">
        <v>3275</v>
      </c>
      <c r="B577" s="36" t="s">
        <v>1883</v>
      </c>
      <c r="C577" s="37" t="s">
        <v>42</v>
      </c>
      <c r="D577" s="37">
        <v>7.0</v>
      </c>
      <c r="E577" s="37">
        <v>232.0</v>
      </c>
      <c r="F577" s="35"/>
      <c r="G577" s="35"/>
      <c r="H577" s="35"/>
      <c r="I577" s="35"/>
      <c r="J577" s="35"/>
      <c r="K577" s="35"/>
    </row>
    <row r="578">
      <c r="A578" s="38" t="s">
        <v>3276</v>
      </c>
      <c r="B578" s="36" t="s">
        <v>1886</v>
      </c>
      <c r="C578" s="37" t="s">
        <v>21</v>
      </c>
      <c r="D578" s="37">
        <v>7.0</v>
      </c>
      <c r="E578" s="39">
        <v>515.0</v>
      </c>
      <c r="F578" s="35"/>
      <c r="G578" s="35"/>
      <c r="H578" s="35"/>
      <c r="I578" s="35"/>
      <c r="J578" s="35"/>
      <c r="K578" s="35"/>
    </row>
    <row r="579">
      <c r="A579" s="38" t="s">
        <v>3277</v>
      </c>
      <c r="B579" s="36" t="s">
        <v>1889</v>
      </c>
      <c r="C579" s="37" t="s">
        <v>31</v>
      </c>
      <c r="D579" s="37">
        <v>5.0</v>
      </c>
      <c r="E579" s="39">
        <v>244.0</v>
      </c>
      <c r="F579" s="35"/>
      <c r="G579" s="35"/>
      <c r="H579" s="35"/>
      <c r="I579" s="35"/>
      <c r="J579" s="35"/>
      <c r="K579" s="35"/>
    </row>
    <row r="580">
      <c r="A580" s="36" t="s">
        <v>3278</v>
      </c>
      <c r="B580" s="36" t="s">
        <v>1892</v>
      </c>
      <c r="C580" s="37" t="s">
        <v>82</v>
      </c>
      <c r="D580" s="37">
        <v>10.0</v>
      </c>
      <c r="E580" s="37">
        <v>238.0</v>
      </c>
      <c r="F580" s="35"/>
      <c r="G580" s="35"/>
      <c r="H580" s="35"/>
      <c r="I580" s="35"/>
      <c r="J580" s="35"/>
      <c r="K580" s="35"/>
    </row>
    <row r="581">
      <c r="A581" s="38" t="s">
        <v>3279</v>
      </c>
      <c r="B581" s="36" t="s">
        <v>1895</v>
      </c>
      <c r="C581" s="37" t="s">
        <v>82</v>
      </c>
      <c r="D581" s="37">
        <v>10.0</v>
      </c>
      <c r="E581" s="39">
        <v>637.0</v>
      </c>
      <c r="F581" s="35"/>
      <c r="G581" s="35"/>
      <c r="H581" s="35"/>
      <c r="I581" s="35"/>
      <c r="J581" s="35"/>
      <c r="K581" s="35"/>
    </row>
    <row r="582">
      <c r="A582" s="36" t="s">
        <v>3280</v>
      </c>
      <c r="B582" s="36" t="s">
        <v>1898</v>
      </c>
      <c r="C582" s="37" t="s">
        <v>82</v>
      </c>
      <c r="D582" s="37">
        <v>10.0</v>
      </c>
      <c r="E582" s="37">
        <v>242.0</v>
      </c>
      <c r="F582" s="35"/>
      <c r="G582" s="35"/>
      <c r="H582" s="35"/>
      <c r="I582" s="35"/>
      <c r="J582" s="35"/>
      <c r="K582" s="35"/>
    </row>
    <row r="583">
      <c r="A583" s="36" t="s">
        <v>3281</v>
      </c>
      <c r="B583" s="36" t="s">
        <v>1901</v>
      </c>
      <c r="C583" s="37" t="s">
        <v>82</v>
      </c>
      <c r="D583" s="37">
        <v>10.0</v>
      </c>
      <c r="E583" s="37">
        <v>1494.0</v>
      </c>
      <c r="F583" s="35"/>
      <c r="G583" s="35"/>
      <c r="H583" s="35"/>
      <c r="I583" s="35"/>
      <c r="J583" s="35"/>
      <c r="K583" s="35"/>
    </row>
    <row r="584">
      <c r="A584" s="36" t="s">
        <v>3282</v>
      </c>
      <c r="B584" s="36" t="s">
        <v>1904</v>
      </c>
      <c r="C584" s="37" t="s">
        <v>87</v>
      </c>
      <c r="D584" s="37">
        <v>2.0</v>
      </c>
      <c r="E584" s="37">
        <v>619.0</v>
      </c>
      <c r="F584" s="35"/>
      <c r="G584" s="35"/>
      <c r="H584" s="35"/>
      <c r="I584" s="35"/>
      <c r="J584" s="35"/>
      <c r="K584" s="35"/>
    </row>
    <row r="585">
      <c r="A585" s="38" t="s">
        <v>3283</v>
      </c>
      <c r="B585" s="36" t="s">
        <v>1907</v>
      </c>
      <c r="C585" s="37" t="s">
        <v>217</v>
      </c>
      <c r="D585" s="37">
        <v>5.0</v>
      </c>
      <c r="E585" s="39">
        <v>211.0</v>
      </c>
      <c r="F585" s="35"/>
      <c r="G585" s="35"/>
      <c r="H585" s="35"/>
      <c r="I585" s="35"/>
      <c r="J585" s="35"/>
      <c r="K585" s="35"/>
    </row>
    <row r="586">
      <c r="A586" s="36" t="s">
        <v>3284</v>
      </c>
      <c r="B586" s="36" t="s">
        <v>1910</v>
      </c>
      <c r="C586" s="37" t="s">
        <v>204</v>
      </c>
      <c r="D586" s="37">
        <v>6.0</v>
      </c>
      <c r="E586" s="37">
        <v>279.0</v>
      </c>
      <c r="F586" s="35"/>
      <c r="G586" s="35"/>
      <c r="H586" s="35"/>
      <c r="I586" s="35"/>
      <c r="J586" s="35"/>
      <c r="K586" s="35"/>
    </row>
    <row r="587">
      <c r="A587" s="38" t="s">
        <v>3285</v>
      </c>
      <c r="B587" s="36" t="s">
        <v>1913</v>
      </c>
      <c r="C587" s="37" t="s">
        <v>217</v>
      </c>
      <c r="D587" s="37">
        <v>5.0</v>
      </c>
      <c r="E587" s="39">
        <v>320.0</v>
      </c>
      <c r="F587" s="35"/>
      <c r="G587" s="35"/>
      <c r="H587" s="35"/>
      <c r="I587" s="35"/>
      <c r="J587" s="35"/>
      <c r="K587" s="35"/>
    </row>
    <row r="588">
      <c r="A588" s="36" t="s">
        <v>3286</v>
      </c>
      <c r="B588" s="36" t="s">
        <v>1916</v>
      </c>
      <c r="C588" s="37" t="s">
        <v>187</v>
      </c>
      <c r="D588" s="37">
        <v>9.0</v>
      </c>
      <c r="E588" s="37">
        <v>404.0</v>
      </c>
      <c r="F588" s="35"/>
      <c r="G588" s="35"/>
      <c r="H588" s="35"/>
      <c r="I588" s="35"/>
      <c r="J588" s="35"/>
      <c r="K588" s="35"/>
    </row>
    <row r="589">
      <c r="A589" s="38" t="s">
        <v>3287</v>
      </c>
      <c r="B589" s="36" t="s">
        <v>1919</v>
      </c>
      <c r="C589" s="37" t="s">
        <v>232</v>
      </c>
      <c r="D589" s="37">
        <v>3.0</v>
      </c>
      <c r="E589" s="39">
        <v>459.0</v>
      </c>
      <c r="F589" s="35"/>
      <c r="G589" s="35"/>
      <c r="H589" s="35"/>
      <c r="I589" s="35"/>
      <c r="J589" s="35"/>
      <c r="K589" s="35"/>
    </row>
    <row r="590">
      <c r="A590" s="38" t="s">
        <v>3288</v>
      </c>
      <c r="B590" s="36" t="s">
        <v>1922</v>
      </c>
      <c r="C590" s="37" t="s">
        <v>36</v>
      </c>
      <c r="D590" s="37">
        <v>2.0</v>
      </c>
      <c r="E590" s="39">
        <v>626.0</v>
      </c>
      <c r="F590" s="35"/>
      <c r="G590" s="35"/>
      <c r="H590" s="35"/>
      <c r="I590" s="35"/>
      <c r="J590" s="35"/>
      <c r="K590" s="35"/>
    </row>
    <row r="591">
      <c r="A591" s="38" t="s">
        <v>3289</v>
      </c>
      <c r="B591" s="36" t="s">
        <v>1925</v>
      </c>
      <c r="C591" s="37" t="s">
        <v>82</v>
      </c>
      <c r="D591" s="37">
        <v>10.0</v>
      </c>
      <c r="E591" s="39">
        <v>410.0</v>
      </c>
      <c r="F591" s="35"/>
      <c r="G591" s="35"/>
      <c r="H591" s="35"/>
      <c r="I591" s="35"/>
      <c r="J591" s="35"/>
      <c r="K591" s="35"/>
    </row>
    <row r="592">
      <c r="A592" s="38" t="s">
        <v>3290</v>
      </c>
      <c r="B592" s="36" t="s">
        <v>1928</v>
      </c>
      <c r="C592" s="37" t="s">
        <v>217</v>
      </c>
      <c r="D592" s="37">
        <v>5.0</v>
      </c>
      <c r="E592" s="39">
        <v>1195.0</v>
      </c>
      <c r="F592" s="35"/>
      <c r="G592" s="35"/>
      <c r="H592" s="35"/>
      <c r="I592" s="35"/>
      <c r="J592" s="35"/>
      <c r="K592" s="35"/>
    </row>
    <row r="593">
      <c r="A593" s="38" t="s">
        <v>3291</v>
      </c>
      <c r="B593" s="36" t="s">
        <v>1931</v>
      </c>
      <c r="C593" s="37" t="s">
        <v>178</v>
      </c>
      <c r="D593" s="37">
        <v>9.0</v>
      </c>
      <c r="E593" s="39">
        <v>268.0</v>
      </c>
      <c r="F593" s="35"/>
      <c r="G593" s="35"/>
      <c r="H593" s="35"/>
      <c r="I593" s="35"/>
      <c r="J593" s="35"/>
      <c r="K593" s="35"/>
    </row>
    <row r="594">
      <c r="A594" s="36" t="s">
        <v>3292</v>
      </c>
      <c r="B594" s="36" t="s">
        <v>1934</v>
      </c>
      <c r="C594" s="37" t="s">
        <v>178</v>
      </c>
      <c r="D594" s="37">
        <v>9.0</v>
      </c>
      <c r="E594" s="37">
        <v>112.0</v>
      </c>
      <c r="F594" s="35"/>
      <c r="G594" s="35"/>
      <c r="H594" s="35"/>
      <c r="I594" s="35"/>
      <c r="J594" s="35"/>
      <c r="K594" s="35"/>
    </row>
    <row r="595">
      <c r="A595" s="36" t="s">
        <v>3293</v>
      </c>
      <c r="B595" s="36" t="s">
        <v>1937</v>
      </c>
      <c r="C595" s="37" t="s">
        <v>42</v>
      </c>
      <c r="D595" s="37">
        <v>7.0</v>
      </c>
      <c r="E595" s="37">
        <v>592.0</v>
      </c>
      <c r="F595" s="35"/>
      <c r="G595" s="35"/>
      <c r="H595" s="35"/>
      <c r="I595" s="35"/>
      <c r="J595" s="35"/>
      <c r="K595" s="35"/>
    </row>
    <row r="596">
      <c r="A596" s="38" t="s">
        <v>3294</v>
      </c>
      <c r="B596" s="36" t="s">
        <v>1940</v>
      </c>
      <c r="C596" s="37" t="s">
        <v>42</v>
      </c>
      <c r="D596" s="37">
        <v>7.0</v>
      </c>
      <c r="E596" s="39">
        <v>162.0</v>
      </c>
      <c r="F596" s="35"/>
      <c r="G596" s="35"/>
      <c r="H596" s="35"/>
      <c r="I596" s="35"/>
      <c r="J596" s="35"/>
      <c r="K596" s="35"/>
    </row>
    <row r="597">
      <c r="A597" s="36" t="s">
        <v>3295</v>
      </c>
      <c r="B597" s="36" t="s">
        <v>1943</v>
      </c>
      <c r="C597" s="37" t="s">
        <v>199</v>
      </c>
      <c r="D597" s="37">
        <v>1.0</v>
      </c>
      <c r="E597" s="37">
        <v>466.0</v>
      </c>
      <c r="F597" s="35"/>
      <c r="G597" s="35"/>
      <c r="H597" s="35"/>
      <c r="I597" s="35"/>
      <c r="J597" s="35"/>
      <c r="K597" s="35"/>
    </row>
    <row r="598">
      <c r="A598" s="36" t="s">
        <v>3296</v>
      </c>
      <c r="B598" s="36" t="s">
        <v>1946</v>
      </c>
      <c r="C598" s="37" t="s">
        <v>204</v>
      </c>
      <c r="D598" s="37">
        <v>6.0</v>
      </c>
      <c r="E598" s="37">
        <v>72.0</v>
      </c>
      <c r="F598" s="35"/>
      <c r="G598" s="35"/>
      <c r="H598" s="35"/>
      <c r="I598" s="35"/>
      <c r="J598" s="35"/>
      <c r="K598" s="35"/>
    </row>
    <row r="599">
      <c r="A599" s="38" t="s">
        <v>3297</v>
      </c>
      <c r="B599" s="36" t="s">
        <v>1948</v>
      </c>
      <c r="C599" s="37" t="s">
        <v>121</v>
      </c>
      <c r="D599" s="37">
        <v>10.0</v>
      </c>
      <c r="E599" s="39">
        <v>180.0</v>
      </c>
      <c r="F599" s="35"/>
      <c r="G599" s="35"/>
      <c r="H599" s="35"/>
      <c r="I599" s="35"/>
      <c r="J599" s="35"/>
      <c r="K599" s="35"/>
    </row>
    <row r="600">
      <c r="A600" s="36" t="s">
        <v>3298</v>
      </c>
      <c r="B600" s="36" t="s">
        <v>1951</v>
      </c>
      <c r="C600" s="37" t="s">
        <v>204</v>
      </c>
      <c r="D600" s="37">
        <v>6.0</v>
      </c>
      <c r="E600" s="37">
        <v>289.0</v>
      </c>
      <c r="F600" s="35"/>
      <c r="G600" s="35"/>
      <c r="H600" s="35"/>
      <c r="I600" s="35"/>
      <c r="J600" s="35"/>
      <c r="K600" s="35"/>
    </row>
    <row r="601">
      <c r="A601" s="36" t="s">
        <v>3299</v>
      </c>
      <c r="B601" s="36" t="s">
        <v>1954</v>
      </c>
      <c r="C601" s="37" t="s">
        <v>42</v>
      </c>
      <c r="D601" s="37">
        <v>7.0</v>
      </c>
      <c r="E601" s="37">
        <v>344.0</v>
      </c>
      <c r="F601" s="35"/>
      <c r="G601" s="35"/>
      <c r="H601" s="35"/>
      <c r="I601" s="35"/>
      <c r="J601" s="35"/>
      <c r="K601" s="35"/>
    </row>
    <row r="602">
      <c r="A602" s="38" t="s">
        <v>3300</v>
      </c>
      <c r="B602" s="36" t="s">
        <v>1956</v>
      </c>
      <c r="C602" s="37" t="s">
        <v>232</v>
      </c>
      <c r="D602" s="37">
        <v>3.0</v>
      </c>
      <c r="E602" s="39">
        <v>279.0</v>
      </c>
      <c r="F602" s="35"/>
      <c r="G602" s="35"/>
      <c r="H602" s="35"/>
      <c r="I602" s="35"/>
      <c r="J602" s="35"/>
      <c r="K602" s="35"/>
    </row>
    <row r="603">
      <c r="A603" s="36" t="s">
        <v>3301</v>
      </c>
      <c r="B603" s="36" t="s">
        <v>1959</v>
      </c>
      <c r="C603" s="37" t="s">
        <v>47</v>
      </c>
      <c r="D603" s="37">
        <v>3.0</v>
      </c>
      <c r="E603" s="37">
        <v>173.0</v>
      </c>
      <c r="F603" s="35"/>
      <c r="G603" s="35"/>
      <c r="H603" s="35"/>
      <c r="I603" s="35"/>
      <c r="J603" s="35"/>
      <c r="K603" s="35"/>
    </row>
    <row r="604">
      <c r="A604" s="38" t="s">
        <v>3302</v>
      </c>
      <c r="B604" s="36" t="s">
        <v>1962</v>
      </c>
      <c r="C604" s="37" t="s">
        <v>232</v>
      </c>
      <c r="D604" s="37">
        <v>3.0</v>
      </c>
      <c r="E604" s="39">
        <v>75.0</v>
      </c>
      <c r="F604" s="35"/>
      <c r="G604" s="35"/>
      <c r="H604" s="35"/>
      <c r="I604" s="35"/>
      <c r="J604" s="35"/>
      <c r="K604" s="35"/>
    </row>
    <row r="605">
      <c r="A605" s="38" t="s">
        <v>3303</v>
      </c>
      <c r="B605" s="36" t="s">
        <v>1965</v>
      </c>
      <c r="C605" s="37" t="s">
        <v>232</v>
      </c>
      <c r="D605" s="37">
        <v>3.0</v>
      </c>
      <c r="E605" s="39">
        <v>112.0</v>
      </c>
      <c r="F605" s="35"/>
      <c r="G605" s="35"/>
      <c r="H605" s="35"/>
      <c r="I605" s="35"/>
      <c r="J605" s="35"/>
      <c r="K605" s="35"/>
    </row>
    <row r="606">
      <c r="A606" s="36" t="s">
        <v>1969</v>
      </c>
      <c r="B606" s="36" t="s">
        <v>1968</v>
      </c>
      <c r="C606" s="37" t="s">
        <v>217</v>
      </c>
      <c r="D606" s="37">
        <v>5.0</v>
      </c>
      <c r="E606" s="37">
        <v>105.0</v>
      </c>
      <c r="F606" s="35"/>
      <c r="G606" s="35"/>
      <c r="H606" s="35"/>
      <c r="I606" s="35"/>
      <c r="J606" s="35"/>
      <c r="K606" s="35"/>
    </row>
    <row r="607">
      <c r="A607" s="36" t="s">
        <v>3304</v>
      </c>
      <c r="B607" s="36" t="s">
        <v>1971</v>
      </c>
      <c r="C607" s="37" t="s">
        <v>82</v>
      </c>
      <c r="D607" s="37">
        <v>10.0</v>
      </c>
      <c r="E607" s="37">
        <v>124.0</v>
      </c>
      <c r="F607" s="35"/>
      <c r="G607" s="35"/>
      <c r="H607" s="35"/>
      <c r="I607" s="35"/>
      <c r="J607" s="35"/>
      <c r="K607" s="35"/>
    </row>
    <row r="608">
      <c r="A608" s="36" t="s">
        <v>3305</v>
      </c>
      <c r="B608" s="36" t="s">
        <v>1974</v>
      </c>
      <c r="C608" s="37" t="s">
        <v>204</v>
      </c>
      <c r="D608" s="37">
        <v>6.0</v>
      </c>
      <c r="E608" s="37">
        <v>474.0</v>
      </c>
      <c r="F608" s="35"/>
      <c r="G608" s="35"/>
      <c r="H608" s="35"/>
      <c r="I608" s="35"/>
      <c r="J608" s="35"/>
      <c r="K608" s="35"/>
    </row>
    <row r="609">
      <c r="A609" s="38" t="s">
        <v>1978</v>
      </c>
      <c r="B609" s="36" t="s">
        <v>1977</v>
      </c>
      <c r="C609" s="37" t="s">
        <v>42</v>
      </c>
      <c r="D609" s="37">
        <v>7.0</v>
      </c>
      <c r="E609" s="39">
        <v>139.0</v>
      </c>
      <c r="F609" s="35"/>
      <c r="G609" s="35"/>
      <c r="H609" s="35"/>
      <c r="I609" s="35"/>
      <c r="J609" s="35"/>
      <c r="K609" s="35"/>
    </row>
    <row r="610">
      <c r="A610" s="38" t="s">
        <v>3306</v>
      </c>
      <c r="B610" s="36" t="s">
        <v>1980</v>
      </c>
      <c r="C610" s="37" t="s">
        <v>204</v>
      </c>
      <c r="D610" s="37">
        <v>6.0</v>
      </c>
      <c r="E610" s="39">
        <v>85.0</v>
      </c>
      <c r="F610" s="35"/>
      <c r="G610" s="35"/>
      <c r="H610" s="35"/>
      <c r="I610" s="35"/>
      <c r="J610" s="35"/>
      <c r="K610" s="35"/>
    </row>
    <row r="611">
      <c r="A611" s="36" t="s">
        <v>3307</v>
      </c>
      <c r="B611" s="36" t="s">
        <v>1983</v>
      </c>
      <c r="C611" s="37" t="s">
        <v>82</v>
      </c>
      <c r="D611" s="37">
        <v>10.0</v>
      </c>
      <c r="E611" s="37">
        <v>93.0</v>
      </c>
      <c r="F611" s="35"/>
      <c r="G611" s="35"/>
      <c r="H611" s="35"/>
      <c r="I611" s="35"/>
      <c r="J611" s="35"/>
      <c r="K611" s="35"/>
    </row>
    <row r="612">
      <c r="A612" s="38" t="s">
        <v>1987</v>
      </c>
      <c r="B612" s="36" t="s">
        <v>1986</v>
      </c>
      <c r="C612" s="37" t="s">
        <v>204</v>
      </c>
      <c r="D612" s="37">
        <v>6.0</v>
      </c>
      <c r="E612" s="39">
        <v>130.0</v>
      </c>
      <c r="F612" s="35"/>
      <c r="G612" s="35"/>
      <c r="H612" s="35"/>
      <c r="I612" s="35"/>
      <c r="J612" s="35"/>
      <c r="K612" s="35"/>
    </row>
    <row r="613">
      <c r="A613" s="36" t="s">
        <v>3308</v>
      </c>
      <c r="B613" s="36" t="s">
        <v>1989</v>
      </c>
      <c r="C613" s="37" t="s">
        <v>31</v>
      </c>
      <c r="D613" s="37">
        <v>5.0</v>
      </c>
      <c r="E613" s="37">
        <v>107.0</v>
      </c>
      <c r="F613" s="35"/>
      <c r="G613" s="35"/>
      <c r="H613" s="35"/>
      <c r="I613" s="35"/>
      <c r="J613" s="35"/>
      <c r="K613" s="35"/>
    </row>
    <row r="614">
      <c r="A614" s="38" t="s">
        <v>3309</v>
      </c>
      <c r="B614" s="36" t="s">
        <v>1992</v>
      </c>
      <c r="C614" s="37" t="s">
        <v>82</v>
      </c>
      <c r="D614" s="37">
        <v>10.0</v>
      </c>
      <c r="E614" s="39">
        <v>300.0</v>
      </c>
      <c r="F614" s="35"/>
      <c r="G614" s="35"/>
      <c r="H614" s="35"/>
      <c r="I614" s="35"/>
      <c r="J614" s="35"/>
      <c r="K614" s="35"/>
    </row>
    <row r="615">
      <c r="A615" s="36" t="s">
        <v>1996</v>
      </c>
      <c r="B615" s="36" t="s">
        <v>1995</v>
      </c>
      <c r="C615" s="37" t="s">
        <v>243</v>
      </c>
      <c r="D615" s="37">
        <v>4.0</v>
      </c>
      <c r="E615" s="37">
        <v>176.0</v>
      </c>
      <c r="F615" s="35"/>
      <c r="G615" s="35"/>
      <c r="H615" s="35"/>
      <c r="I615" s="35"/>
      <c r="J615" s="35"/>
      <c r="K615" s="35"/>
    </row>
    <row r="616">
      <c r="A616" s="36" t="s">
        <v>3310</v>
      </c>
      <c r="B616" s="36" t="s">
        <v>1998</v>
      </c>
      <c r="C616" s="37" t="s">
        <v>31</v>
      </c>
      <c r="D616" s="37">
        <v>5.0</v>
      </c>
      <c r="E616" s="37">
        <v>76.0</v>
      </c>
      <c r="F616" s="35"/>
      <c r="G616" s="35"/>
      <c r="H616" s="35"/>
      <c r="I616" s="35"/>
      <c r="J616" s="35"/>
      <c r="K616" s="35"/>
    </row>
    <row r="617">
      <c r="A617" s="38" t="s">
        <v>3311</v>
      </c>
      <c r="B617" s="36" t="s">
        <v>2001</v>
      </c>
      <c r="C617" s="37" t="s">
        <v>217</v>
      </c>
      <c r="D617" s="37">
        <v>5.0</v>
      </c>
      <c r="E617" s="39">
        <v>84.0</v>
      </c>
      <c r="F617" s="35"/>
      <c r="G617" s="35"/>
      <c r="H617" s="35"/>
      <c r="I617" s="35"/>
      <c r="J617" s="35"/>
      <c r="K617" s="35"/>
    </row>
    <row r="618">
      <c r="A618" s="38" t="s">
        <v>3312</v>
      </c>
      <c r="B618" s="36" t="s">
        <v>2004</v>
      </c>
      <c r="C618" s="37" t="s">
        <v>21</v>
      </c>
      <c r="D618" s="37">
        <v>7.0</v>
      </c>
      <c r="E618" s="39">
        <v>98.0</v>
      </c>
      <c r="F618" s="35"/>
      <c r="G618" s="35"/>
      <c r="H618" s="35"/>
      <c r="I618" s="35"/>
      <c r="J618" s="35"/>
      <c r="K618" s="35"/>
    </row>
    <row r="619">
      <c r="A619" s="36" t="s">
        <v>3313</v>
      </c>
      <c r="B619" s="36" t="s">
        <v>2007</v>
      </c>
      <c r="C619" s="37" t="s">
        <v>187</v>
      </c>
      <c r="D619" s="37">
        <v>9.0</v>
      </c>
      <c r="E619" s="37">
        <v>81.0</v>
      </c>
      <c r="F619" s="35"/>
      <c r="G619" s="35"/>
      <c r="H619" s="35"/>
      <c r="I619" s="35"/>
      <c r="J619" s="35"/>
      <c r="K619" s="35"/>
    </row>
    <row r="620">
      <c r="A620" s="38" t="s">
        <v>3314</v>
      </c>
      <c r="B620" s="36" t="s">
        <v>2013</v>
      </c>
      <c r="C620" s="37" t="s">
        <v>31</v>
      </c>
      <c r="D620" s="37">
        <v>5.0</v>
      </c>
      <c r="E620" s="39">
        <v>470.0</v>
      </c>
      <c r="F620" s="35"/>
      <c r="G620" s="35"/>
      <c r="H620" s="35"/>
      <c r="I620" s="35"/>
      <c r="J620" s="35"/>
      <c r="K620" s="35"/>
    </row>
    <row r="621">
      <c r="A621" s="38" t="s">
        <v>3315</v>
      </c>
      <c r="B621" s="36" t="s">
        <v>2016</v>
      </c>
      <c r="C621" s="37" t="s">
        <v>217</v>
      </c>
      <c r="D621" s="37">
        <v>5.0</v>
      </c>
      <c r="E621" s="39">
        <v>2146.0</v>
      </c>
      <c r="F621" s="35"/>
      <c r="G621" s="35"/>
      <c r="H621" s="35"/>
      <c r="I621" s="35"/>
      <c r="J621" s="35"/>
      <c r="K621" s="35"/>
    </row>
    <row r="622">
      <c r="A622" s="36" t="s">
        <v>3316</v>
      </c>
      <c r="B622" s="36" t="s">
        <v>2019</v>
      </c>
      <c r="C622" s="37" t="s">
        <v>42</v>
      </c>
      <c r="D622" s="37">
        <v>7.0</v>
      </c>
      <c r="E622" s="37">
        <v>514.0</v>
      </c>
      <c r="F622" s="35"/>
      <c r="G622" s="35"/>
      <c r="H622" s="35"/>
      <c r="I622" s="35"/>
      <c r="J622" s="35"/>
      <c r="K622" s="35"/>
    </row>
    <row r="623">
      <c r="A623" s="38" t="s">
        <v>3317</v>
      </c>
      <c r="B623" s="42" t="e">
        <v>#N/A</v>
      </c>
      <c r="C623" s="37" t="e">
        <v>#N/A</v>
      </c>
      <c r="D623" s="37" t="s">
        <v>2783</v>
      </c>
      <c r="E623" s="41"/>
      <c r="F623" s="35"/>
      <c r="G623" s="35"/>
      <c r="H623" s="35"/>
      <c r="I623" s="35"/>
      <c r="J623" s="35"/>
      <c r="K623" s="35"/>
    </row>
    <row r="624">
      <c r="A624" s="38" t="s">
        <v>3318</v>
      </c>
      <c r="B624" s="42" t="e">
        <v>#N/A</v>
      </c>
      <c r="C624" s="37" t="e">
        <v>#N/A</v>
      </c>
      <c r="D624" s="37" t="s">
        <v>2783</v>
      </c>
      <c r="E624" s="39">
        <v>94.0</v>
      </c>
      <c r="F624" s="35"/>
      <c r="G624" s="35"/>
      <c r="H624" s="35"/>
      <c r="I624" s="35"/>
      <c r="J624" s="35"/>
      <c r="K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</row>
    <row r="999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</row>
  </sheetData>
  <drawing r:id="rId1"/>
</worksheet>
</file>